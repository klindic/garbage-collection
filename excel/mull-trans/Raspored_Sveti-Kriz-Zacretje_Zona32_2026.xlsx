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'Raspored'!$A$4:$H$64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IFERROR(1/(1/_xlfn.MINIFS(Raspored!$A$5:$A$64,Raspored!$D$5:$D$64,"x",Raspored!$A$5:$A$64,"&gt;="&amp;$B$3)),"nema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COUNTIF(Raspored!$D$5:$D$64,"x")</f>
        <v/>
      </c>
    </row>
    <row r="7">
      <c r="A7" s="9" t="inlineStr">
        <is>
          <t>Plastika i metal</t>
        </is>
      </c>
      <c r="B7" s="6">
        <f>IFERROR(1/(1/_xlfn.MINIFS(Raspored!$A$5:$A$64,Raspored!$E$5:$E$64,"x",Raspored!$A$5:$A$64,"&gt;="&amp;$B$3)),"nema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COUNTIF(Raspored!$E$5:$E$64,"x")</f>
        <v/>
      </c>
    </row>
    <row r="8">
      <c r="A8" s="10" t="inlineStr">
        <is>
          <t>Papir i karton</t>
        </is>
      </c>
      <c r="B8" s="6">
        <f>IFERROR(1/(1/_xlfn.MINIFS(Raspored!$A$5:$A$64,Raspored!$F$5:$F$64,"x",Raspored!$A$5:$A$64,"&gt;="&amp;$B$3)),"nema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COUNTIF(Raspored!$F$5:$F$64,"x")</f>
        <v/>
      </c>
    </row>
    <row r="9">
      <c r="A9" s="11" t="inlineStr">
        <is>
          <t>Glomazni otpad</t>
        </is>
      </c>
      <c r="B9" s="6">
        <f>IFERROR(1/(1/_xlfn.MINIFS(Raspored!$A$5:$A$64,Raspored!$G$5:$G$64,"x",Raspored!$A$5:$A$64,"&gt;="&amp;$B$3)),"nema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COUNTIFS(Raspored!$C$5:$C$64,$A13,Raspored!$D$5:$D$64,"x")</f>
        <v/>
      </c>
      <c r="C13" s="7">
        <f>COUNTIFS(Raspored!$C$5:$C$64,$A13,Raspored!$E$5:$E$64,"x")</f>
        <v/>
      </c>
      <c r="D13" s="7">
        <f>COUNTIFS(Raspored!$C$5:$C$64,$A13,Raspored!$F$5:$F$64,"x")</f>
        <v/>
      </c>
      <c r="E13" s="7">
        <f>COUNTIFS(Raspored!$C$5:$C$64,$A13,Raspored!$G$5:$G$64,"x")</f>
        <v/>
      </c>
    </row>
    <row r="14">
      <c r="A14" s="17" t="inlineStr">
        <is>
          <t>veljača</t>
        </is>
      </c>
      <c r="B14" s="7">
        <f>COUNTIFS(Raspored!$C$5:$C$64,$A14,Raspored!$D$5:$D$64,"x")</f>
        <v/>
      </c>
      <c r="C14" s="7">
        <f>COUNTIFS(Raspored!$C$5:$C$64,$A14,Raspored!$E$5:$E$64,"x")</f>
        <v/>
      </c>
      <c r="D14" s="7">
        <f>COUNTIFS(Raspored!$C$5:$C$64,$A14,Raspored!$F$5:$F$64,"x")</f>
        <v/>
      </c>
      <c r="E14" s="7">
        <f>COUNTIFS(Raspored!$C$5:$C$64,$A14,Raspored!$G$5:$G$64,"x")</f>
        <v/>
      </c>
    </row>
    <row r="15">
      <c r="A15" s="17" t="inlineStr">
        <is>
          <t>ožujak</t>
        </is>
      </c>
      <c r="B15" s="7">
        <f>COUNTIFS(Raspored!$C$5:$C$64,$A15,Raspored!$D$5:$D$64,"x")</f>
        <v/>
      </c>
      <c r="C15" s="7">
        <f>COUNTIFS(Raspored!$C$5:$C$64,$A15,Raspored!$E$5:$E$64,"x")</f>
        <v/>
      </c>
      <c r="D15" s="7">
        <f>COUNTIFS(Raspored!$C$5:$C$64,$A15,Raspored!$F$5:$F$64,"x")</f>
        <v/>
      </c>
      <c r="E15" s="7">
        <f>COUNTIFS(Raspored!$C$5:$C$64,$A15,Raspored!$G$5:$G$64,"x")</f>
        <v/>
      </c>
    </row>
    <row r="16">
      <c r="A16" s="17" t="inlineStr">
        <is>
          <t>travanj</t>
        </is>
      </c>
      <c r="B16" s="7">
        <f>COUNTIFS(Raspored!$C$5:$C$64,$A16,Raspored!$D$5:$D$64,"x")</f>
        <v/>
      </c>
      <c r="C16" s="7">
        <f>COUNTIFS(Raspored!$C$5:$C$64,$A16,Raspored!$E$5:$E$64,"x")</f>
        <v/>
      </c>
      <c r="D16" s="7">
        <f>COUNTIFS(Raspored!$C$5:$C$64,$A16,Raspored!$F$5:$F$64,"x")</f>
        <v/>
      </c>
      <c r="E16" s="7">
        <f>COUNTIFS(Raspored!$C$5:$C$64,$A16,Raspored!$G$5:$G$64,"x")</f>
        <v/>
      </c>
    </row>
    <row r="17">
      <c r="A17" s="17" t="inlineStr">
        <is>
          <t>svibanj</t>
        </is>
      </c>
      <c r="B17" s="7">
        <f>COUNTIFS(Raspored!$C$5:$C$64,$A17,Raspored!$D$5:$D$64,"x")</f>
        <v/>
      </c>
      <c r="C17" s="7">
        <f>COUNTIFS(Raspored!$C$5:$C$64,$A17,Raspored!$E$5:$E$64,"x")</f>
        <v/>
      </c>
      <c r="D17" s="7">
        <f>COUNTIFS(Raspored!$C$5:$C$64,$A17,Raspored!$F$5:$F$64,"x")</f>
        <v/>
      </c>
      <c r="E17" s="7">
        <f>COUNTIFS(Raspored!$C$5:$C$64,$A17,Raspored!$G$5:$G$64,"x")</f>
        <v/>
      </c>
    </row>
    <row r="18">
      <c r="A18" s="17" t="inlineStr">
        <is>
          <t>lipanj</t>
        </is>
      </c>
      <c r="B18" s="7">
        <f>COUNTIFS(Raspored!$C$5:$C$64,$A18,Raspored!$D$5:$D$64,"x")</f>
        <v/>
      </c>
      <c r="C18" s="7">
        <f>COUNTIFS(Raspored!$C$5:$C$64,$A18,Raspored!$E$5:$E$64,"x")</f>
        <v/>
      </c>
      <c r="D18" s="7">
        <f>COUNTIFS(Raspored!$C$5:$C$64,$A18,Raspored!$F$5:$F$64,"x")</f>
        <v/>
      </c>
      <c r="E18" s="7">
        <f>COUNTIFS(Raspored!$C$5:$C$64,$A18,Raspored!$G$5:$G$64,"x")</f>
        <v/>
      </c>
    </row>
    <row r="19">
      <c r="A19" s="17" t="inlineStr">
        <is>
          <t>srpanj</t>
        </is>
      </c>
      <c r="B19" s="7">
        <f>COUNTIFS(Raspored!$C$5:$C$64,$A19,Raspored!$D$5:$D$64,"x")</f>
        <v/>
      </c>
      <c r="C19" s="7">
        <f>COUNTIFS(Raspored!$C$5:$C$64,$A19,Raspored!$E$5:$E$64,"x")</f>
        <v/>
      </c>
      <c r="D19" s="7">
        <f>COUNTIFS(Raspored!$C$5:$C$64,$A19,Raspored!$F$5:$F$64,"x")</f>
        <v/>
      </c>
      <c r="E19" s="7">
        <f>COUNTIFS(Raspored!$C$5:$C$64,$A19,Raspored!$G$5:$G$64,"x")</f>
        <v/>
      </c>
    </row>
    <row r="20">
      <c r="A20" s="17" t="inlineStr">
        <is>
          <t>kolovoz</t>
        </is>
      </c>
      <c r="B20" s="7">
        <f>COUNTIFS(Raspored!$C$5:$C$64,$A20,Raspored!$D$5:$D$64,"x")</f>
        <v/>
      </c>
      <c r="C20" s="7">
        <f>COUNTIFS(Raspored!$C$5:$C$64,$A20,Raspored!$E$5:$E$64,"x")</f>
        <v/>
      </c>
      <c r="D20" s="7">
        <f>COUNTIFS(Raspored!$C$5:$C$64,$A20,Raspored!$F$5:$F$64,"x")</f>
        <v/>
      </c>
      <c r="E20" s="7">
        <f>COUNTIFS(Raspored!$C$5:$C$64,$A20,Raspored!$G$5:$G$64,"x")</f>
        <v/>
      </c>
    </row>
    <row r="21">
      <c r="A21" s="17" t="inlineStr">
        <is>
          <t>rujan</t>
        </is>
      </c>
      <c r="B21" s="7">
        <f>COUNTIFS(Raspored!$C$5:$C$64,$A21,Raspored!$D$5:$D$64,"x")</f>
        <v/>
      </c>
      <c r="C21" s="7">
        <f>COUNTIFS(Raspored!$C$5:$C$64,$A21,Raspored!$E$5:$E$64,"x")</f>
        <v/>
      </c>
      <c r="D21" s="7">
        <f>COUNTIFS(Raspored!$C$5:$C$64,$A21,Raspored!$F$5:$F$64,"x")</f>
        <v/>
      </c>
      <c r="E21" s="7">
        <f>COUNTIFS(Raspored!$C$5:$C$64,$A21,Raspored!$G$5:$G$64,"x")</f>
        <v/>
      </c>
    </row>
    <row r="22">
      <c r="A22" s="17" t="inlineStr">
        <is>
          <t>listopad</t>
        </is>
      </c>
      <c r="B22" s="7">
        <f>COUNTIFS(Raspored!$C$5:$C$64,$A22,Raspored!$D$5:$D$64,"x")</f>
        <v/>
      </c>
      <c r="C22" s="7">
        <f>COUNTIFS(Raspored!$C$5:$C$64,$A22,Raspored!$E$5:$E$64,"x")</f>
        <v/>
      </c>
      <c r="D22" s="7">
        <f>COUNTIFS(Raspored!$C$5:$C$64,$A22,Raspored!$F$5:$F$64,"x")</f>
        <v/>
      </c>
      <c r="E22" s="7">
        <f>COUNTIFS(Raspored!$C$5:$C$64,$A22,Raspored!$G$5:$G$64,"x")</f>
        <v/>
      </c>
    </row>
    <row r="23">
      <c r="A23" s="17" t="inlineStr">
        <is>
          <t>studeni</t>
        </is>
      </c>
      <c r="B23" s="7">
        <f>COUNTIFS(Raspored!$C$5:$C$64,$A23,Raspored!$D$5:$D$64,"x")</f>
        <v/>
      </c>
      <c r="C23" s="7">
        <f>COUNTIFS(Raspored!$C$5:$C$64,$A23,Raspored!$E$5:$E$64,"x")</f>
        <v/>
      </c>
      <c r="D23" s="7">
        <f>COUNTIFS(Raspored!$C$5:$C$64,$A23,Raspored!$F$5:$F$64,"x")</f>
        <v/>
      </c>
      <c r="E23" s="7">
        <f>COUNTIFS(Raspored!$C$5:$C$64,$A23,Raspored!$G$5:$G$64,"x")</f>
        <v/>
      </c>
    </row>
    <row r="24">
      <c r="A24" s="17" t="inlineStr">
        <is>
          <t>prosinac</t>
        </is>
      </c>
      <c r="B24" s="7">
        <f>COUNTIFS(Raspored!$C$5:$C$64,$A24,Raspored!$D$5:$D$64,"x")</f>
        <v/>
      </c>
      <c r="C24" s="7">
        <f>COUNTIFS(Raspored!$C$5:$C$64,$A24,Raspored!$E$5:$E$64,"x")</f>
        <v/>
      </c>
      <c r="D24" s="7">
        <f>COUNTIFS(Raspored!$C$5:$C$64,$A24,Raspored!$F$5:$F$64,"x")</f>
        <v/>
      </c>
      <c r="E24" s="7">
        <f>COUNTIFS(Raspored!$C$5:$C$64,$A24,Raspored!$G$5:$G$64,"x")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PDF ne navodi naselja po terenima; svoj teren (dan odvoza miješanog otpada: četvrtak, petak) provjerite kod Mull-Transa (049/587-837, info@mull-trans.hr). Papir i plastika: PDF za cijelu općinu navodi nekoliko uzastopnih dana; koji je dan za koji teren nije objavljeno, pa su navedeni svi. Mobilno reciklažno dvorište: 7.1., 4.2., 4.3., 1.4., 6.5., 3.6., 1.7., 4.8., 2.9., 7.10., 4.11., 2.12. (lokacije i vrijeme u PDF-u). Izvor: https://mull-trans.hr/wp-content/uploads/2026/04/Opcina-Sveti-Kriz-Zacretje-raspored-za-2026.pdf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32 (Sveti Križ Začretje)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5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5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5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5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23" t="n">
        <v>46179</v>
      </c>
      <c r="B30" s="24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inlineStr">
        <is>
          <t>Pomaknuto zbog neradnog dana u tjednu</t>
        </is>
      </c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n"/>
      <c r="H31" s="25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46191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46198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5" t="n"/>
    </row>
    <row r="38">
      <c r="A38" s="6" t="n">
        <v>46219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46233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46240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46245</v>
      </c>
      <c r="B41" s="7" t="inlineStr">
        <is>
          <t>utorak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46246</v>
      </c>
      <c r="B42" s="7" t="inlineStr">
        <is>
          <t>srijeda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n"/>
      <c r="H42" s="25" t="n"/>
    </row>
    <row r="43">
      <c r="A43" s="6" t="n">
        <v>46254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46261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46268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46282</v>
      </c>
      <c r="B46" s="7" t="inlineStr">
        <is>
          <t>četvrtak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46287</v>
      </c>
      <c r="B47" s="7" t="inlineStr">
        <is>
          <t>utorak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46288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n"/>
      <c r="H48" s="25" t="n"/>
    </row>
    <row r="49">
      <c r="A49" s="6" t="n">
        <v>46289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46296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46308</v>
      </c>
      <c r="B51" s="7" t="inlineStr">
        <is>
          <t>utorak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46309</v>
      </c>
      <c r="B52" s="7" t="inlineStr">
        <is>
          <t>srijeda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46310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46324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46331</v>
      </c>
      <c r="B55" s="7" t="inlineStr">
        <is>
          <t>četvrtak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46336</v>
      </c>
      <c r="B56" s="7" t="inlineStr">
        <is>
          <t>utorak</t>
        </is>
      </c>
      <c r="C56" s="7" t="inlineStr">
        <is>
          <t>studeni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46337</v>
      </c>
      <c r="B57" s="7" t="inlineStr">
        <is>
          <t>srijeda</t>
        </is>
      </c>
      <c r="C57" s="7" t="inlineStr">
        <is>
          <t>studeni</t>
        </is>
      </c>
      <c r="D57" s="7" t="n"/>
      <c r="E57" s="7" t="n"/>
      <c r="F57" s="7" t="inlineStr">
        <is>
          <t>x</t>
        </is>
      </c>
      <c r="G57" s="7" t="n"/>
      <c r="H57" s="25" t="n"/>
    </row>
    <row r="58">
      <c r="A58" s="6" t="n">
        <v>46345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46352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46359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46364</v>
      </c>
      <c r="B61" s="7" t="inlineStr">
        <is>
          <t>utorak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46365</v>
      </c>
      <c r="B62" s="7" t="inlineStr">
        <is>
          <t>srijeda</t>
        </is>
      </c>
      <c r="C62" s="7" t="inlineStr">
        <is>
          <t>prosinac</t>
        </is>
      </c>
      <c r="D62" s="7" t="n"/>
      <c r="E62" s="7" t="n"/>
      <c r="F62" s="7" t="inlineStr">
        <is>
          <t>x</t>
        </is>
      </c>
      <c r="G62" s="7" t="n"/>
      <c r="H62" s="25" t="n"/>
    </row>
    <row r="63">
      <c r="A63" s="6" t="n">
        <v>46366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46380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5" t="n"/>
    </row>
  </sheetData>
  <autoFilter ref="A4:H64"/>
  <conditionalFormatting sqref="D5:D64">
    <cfRule type="expression" priority="1" dxfId="0">
      <formula>D5="x"</formula>
    </cfRule>
  </conditionalFormatting>
  <conditionalFormatting sqref="E5:E64">
    <cfRule type="expression" priority="2" dxfId="1">
      <formula>E5="x"</formula>
    </cfRule>
  </conditionalFormatting>
  <conditionalFormatting sqref="F5:F64">
    <cfRule type="expression" priority="3" dxfId="2">
      <formula>F5="x"</formula>
    </cfRule>
  </conditionalFormatting>
  <conditionalFormatting sqref="G5:G64">
    <cfRule type="expression" priority="4" dxfId="3">
      <formula>G5="x"</formula>
    </cfRule>
  </conditionalFormatting>
  <conditionalFormatting sqref="A5:H6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9" t="inlineStr">
        <is>
          <t>Plastika i metal</t>
        </is>
      </c>
      <c r="D3" s="17" t="n"/>
    </row>
    <row r="4">
      <c r="A4" s="26" t="n">
        <v>46035</v>
      </c>
      <c r="B4" s="17" t="inlineStr">
        <is>
          <t>utorak</t>
        </is>
      </c>
      <c r="C4" s="10" t="inlineStr">
        <is>
          <t>Papir i karton</t>
        </is>
      </c>
      <c r="D4" s="17" t="n"/>
    </row>
    <row r="5">
      <c r="A5" s="26" t="n">
        <v>46036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6" t="n">
        <v>46036</v>
      </c>
      <c r="B6" s="17" t="inlineStr">
        <is>
          <t>srijeda</t>
        </is>
      </c>
      <c r="C6" s="10" t="inlineStr">
        <is>
          <t>Papir i karton</t>
        </is>
      </c>
      <c r="D6" s="17" t="n"/>
    </row>
    <row r="7">
      <c r="A7" s="26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46063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6" t="n">
        <v>46064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46079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46086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46091</v>
      </c>
      <c r="B15" s="17" t="inlineStr">
        <is>
          <t>utorak</t>
        </is>
      </c>
      <c r="C15" s="10" t="inlineStr">
        <is>
          <t>Papir i karton</t>
        </is>
      </c>
      <c r="D15" s="17" t="n"/>
    </row>
    <row r="16">
      <c r="A16" s="26" t="n">
        <v>46092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46093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46107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46114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46126</v>
      </c>
      <c r="B20" s="17" t="inlineStr">
        <is>
          <t>utorak</t>
        </is>
      </c>
      <c r="C20" s="10" t="inlineStr">
        <is>
          <t>Papir i karton</t>
        </is>
      </c>
      <c r="D20" s="17" t="n"/>
    </row>
    <row r="21">
      <c r="A21" s="26" t="n">
        <v>46127</v>
      </c>
      <c r="B21" s="17" t="inlineStr">
        <is>
          <t>srijeda</t>
        </is>
      </c>
      <c r="C21" s="9" t="inlineStr">
        <is>
          <t>Plastika i metal</t>
        </is>
      </c>
      <c r="D21" s="17" t="n"/>
    </row>
    <row r="22">
      <c r="A22" s="26" t="n">
        <v>46128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46128</v>
      </c>
      <c r="B23" s="17" t="inlineStr">
        <is>
          <t>četvrtak</t>
        </is>
      </c>
      <c r="C23" s="11" t="inlineStr">
        <is>
          <t>Glomazni otpad</t>
        </is>
      </c>
      <c r="D23" s="17" t="n"/>
    </row>
    <row r="24">
      <c r="A24" s="26" t="n">
        <v>46135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46149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46154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6" t="n">
        <v>46155</v>
      </c>
      <c r="B27" s="17" t="inlineStr">
        <is>
          <t>srijeda</t>
        </is>
      </c>
      <c r="C27" s="10" t="inlineStr">
        <is>
          <t>Papir i karton</t>
        </is>
      </c>
      <c r="D27" s="17" t="n"/>
    </row>
    <row r="28">
      <c r="A28" s="26" t="n">
        <v>46156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46170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46179</v>
      </c>
      <c r="B30" s="17" t="inlineStr">
        <is>
          <t>subota</t>
        </is>
      </c>
      <c r="C30" s="5" t="inlineStr">
        <is>
          <t>Miješani komunalni otpad</t>
        </is>
      </c>
      <c r="D30" s="17" t="inlineStr">
        <is>
          <t>Pomaknuto zbog neradnog dana u tjednu</t>
        </is>
      </c>
    </row>
    <row r="31">
      <c r="A31" s="26" t="n">
        <v>46182</v>
      </c>
      <c r="B31" s="17" t="inlineStr">
        <is>
          <t>utorak</t>
        </is>
      </c>
      <c r="C31" s="10" t="inlineStr">
        <is>
          <t>Papir i karton</t>
        </is>
      </c>
      <c r="D31" s="17" t="n"/>
    </row>
    <row r="32">
      <c r="A32" s="26" t="n">
        <v>46183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46191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46198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46205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46210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6" t="n">
        <v>46211</v>
      </c>
      <c r="B37" s="17" t="inlineStr">
        <is>
          <t>srijeda</t>
        </is>
      </c>
      <c r="C37" s="10" t="inlineStr">
        <is>
          <t>Papir i karton</t>
        </is>
      </c>
      <c r="D37" s="17" t="n"/>
    </row>
    <row r="38">
      <c r="A38" s="26" t="n">
        <v>46219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46233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46240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46245</v>
      </c>
      <c r="B41" s="17" t="inlineStr">
        <is>
          <t>utorak</t>
        </is>
      </c>
      <c r="C41" s="9" t="inlineStr">
        <is>
          <t>Plastika i metal</t>
        </is>
      </c>
      <c r="D41" s="17" t="n"/>
    </row>
    <row r="42">
      <c r="A42" s="26" t="n">
        <v>46246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6" t="n">
        <v>46254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46261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46268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46282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46287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6" t="n">
        <v>46288</v>
      </c>
      <c r="B48" s="17" t="inlineStr">
        <is>
          <t>srijeda</t>
        </is>
      </c>
      <c r="C48" s="10" t="inlineStr">
        <is>
          <t>Papir i karton</t>
        </is>
      </c>
      <c r="D48" s="17" t="n"/>
    </row>
    <row r="49">
      <c r="A49" s="26" t="n">
        <v>46289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46296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46308</v>
      </c>
      <c r="B51" s="17" t="inlineStr">
        <is>
          <t>utorak</t>
        </is>
      </c>
      <c r="C51" s="9" t="inlineStr">
        <is>
          <t>Plastika i metal</t>
        </is>
      </c>
      <c r="D51" s="17" t="n"/>
    </row>
    <row r="52">
      <c r="A52" s="26" t="n">
        <v>46309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6" t="n">
        <v>46310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46324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46331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46336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6" t="n">
        <v>46337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46345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46352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46359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46364</v>
      </c>
      <c r="B61" s="17" t="inlineStr">
        <is>
          <t>utorak</t>
        </is>
      </c>
      <c r="C61" s="9" t="inlineStr">
        <is>
          <t>Plastika i metal</t>
        </is>
      </c>
      <c r="D61" s="17" t="n"/>
    </row>
    <row r="62">
      <c r="A62" s="26" t="n">
        <v>46365</v>
      </c>
      <c r="B62" s="17" t="inlineStr">
        <is>
          <t>srijeda</t>
        </is>
      </c>
      <c r="C62" s="10" t="inlineStr">
        <is>
          <t>Papir i karton</t>
        </is>
      </c>
      <c r="D62" s="17" t="n"/>
    </row>
    <row r="63">
      <c r="A63" s="26" t="n">
        <v>46366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46380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</sheetData>
  <autoFilter ref="A1:D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
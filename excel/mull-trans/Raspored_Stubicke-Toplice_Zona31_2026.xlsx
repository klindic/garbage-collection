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'Raspored'!$A$4:$H$65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Plastika i metal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Papir i karton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Glomazni otpad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COUNTIFS(Raspored!$C$5:$C$65,$A13,Raspored!$D$5:$D$65,"x")</f>
        <v/>
      </c>
      <c r="C13" s="7">
        <f>COUNTIFS(Raspored!$C$5:$C$65,$A13,Raspored!$E$5:$E$65,"x")</f>
        <v/>
      </c>
      <c r="D13" s="7">
        <f>COUNTIFS(Raspored!$C$5:$C$65,$A13,Raspored!$F$5:$F$65,"x")</f>
        <v/>
      </c>
      <c r="E13" s="7">
        <f>COUNTIFS(Raspored!$C$5:$C$65,$A13,Raspored!$G$5:$G$65,"x")</f>
        <v/>
      </c>
    </row>
    <row r="14">
      <c r="A14" s="17" t="inlineStr">
        <is>
          <t>veljača</t>
        </is>
      </c>
      <c r="B14" s="7">
        <f>COUNTIFS(Raspored!$C$5:$C$65,$A14,Raspored!$D$5:$D$65,"x")</f>
        <v/>
      </c>
      <c r="C14" s="7">
        <f>COUNTIFS(Raspored!$C$5:$C$65,$A14,Raspored!$E$5:$E$65,"x")</f>
        <v/>
      </c>
      <c r="D14" s="7">
        <f>COUNTIFS(Raspored!$C$5:$C$65,$A14,Raspored!$F$5:$F$65,"x")</f>
        <v/>
      </c>
      <c r="E14" s="7">
        <f>COUNTIFS(Raspored!$C$5:$C$65,$A14,Raspored!$G$5:$G$65,"x")</f>
        <v/>
      </c>
    </row>
    <row r="15">
      <c r="A15" s="17" t="inlineStr">
        <is>
          <t>ožujak</t>
        </is>
      </c>
      <c r="B15" s="7">
        <f>COUNTIFS(Raspored!$C$5:$C$65,$A15,Raspored!$D$5:$D$65,"x")</f>
        <v/>
      </c>
      <c r="C15" s="7">
        <f>COUNTIFS(Raspored!$C$5:$C$65,$A15,Raspored!$E$5:$E$65,"x")</f>
        <v/>
      </c>
      <c r="D15" s="7">
        <f>COUNTIFS(Raspored!$C$5:$C$65,$A15,Raspored!$F$5:$F$65,"x")</f>
        <v/>
      </c>
      <c r="E15" s="7">
        <f>COUNTIFS(Raspored!$C$5:$C$65,$A15,Raspored!$G$5:$G$65,"x")</f>
        <v/>
      </c>
    </row>
    <row r="16">
      <c r="A16" s="17" t="inlineStr">
        <is>
          <t>travanj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</row>
    <row r="17">
      <c r="A17" s="17" t="inlineStr">
        <is>
          <t>svibanj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</row>
    <row r="18">
      <c r="A18" s="17" t="inlineStr">
        <is>
          <t>lipanj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</row>
    <row r="19">
      <c r="A19" s="17" t="inlineStr">
        <is>
          <t>srpanj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</row>
    <row r="20">
      <c r="A20" s="17" t="inlineStr">
        <is>
          <t>kolovoz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</row>
    <row r="21">
      <c r="A21" s="17" t="inlineStr">
        <is>
          <t>rujan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</row>
    <row r="22">
      <c r="A22" s="17" t="inlineStr">
        <is>
          <t>listopad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</row>
    <row r="23">
      <c r="A23" s="17" t="inlineStr">
        <is>
          <t>studeni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</row>
    <row r="24">
      <c r="A24" s="17" t="inlineStr">
        <is>
          <t>prosinac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Mobilno reciklažno dvorište: 5.3., 8.7., 4.9. (lokacije i vrijeme u PDF-u). Izvor: https://mull-trans.hr/wp-content/uploads/2026/04/Opcina-Stubicke-Toplice-raspored-za-2026.pdf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(Stubičke Toplice)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46128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46147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25" t="n"/>
    </row>
    <row r="27">
      <c r="A27" s="6" t="n">
        <v>46156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46175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n"/>
      <c r="H31" s="25" t="n"/>
    </row>
    <row r="32">
      <c r="A32" s="6" t="n">
        <v>46184</v>
      </c>
      <c r="B32" s="7" t="inlineStr">
        <is>
          <t>četvrtak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46210</v>
      </c>
      <c r="B35" s="7" t="inlineStr">
        <is>
          <t>utorak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46224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46231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46232</v>
      </c>
      <c r="B40" s="7" t="inlineStr">
        <is>
          <t>srijeda</t>
        </is>
      </c>
      <c r="C40" s="7" t="inlineStr">
        <is>
          <t>srpanj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46238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46244</v>
      </c>
      <c r="B42" s="7" t="inlineStr">
        <is>
          <t>ponedjeljak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n"/>
      <c r="H42" s="25" t="n"/>
    </row>
    <row r="43">
      <c r="A43" s="6" t="n">
        <v>46247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46266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46279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46280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46282</v>
      </c>
      <c r="B49" s="7" t="inlineStr">
        <is>
          <t>četvrtak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46294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46301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46307</v>
      </c>
      <c r="B52" s="7" t="inlineStr">
        <is>
          <t>ponedjeljak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46310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46315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46322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46329</v>
      </c>
      <c r="B56" s="7" t="inlineStr">
        <is>
          <t>utorak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46335</v>
      </c>
      <c r="B57" s="7" t="inlineStr">
        <is>
          <t>ponedjeljak</t>
        </is>
      </c>
      <c r="C57" s="7" t="inlineStr">
        <is>
          <t>studeni</t>
        </is>
      </c>
      <c r="D57" s="7" t="n"/>
      <c r="E57" s="7" t="n"/>
      <c r="F57" s="7" t="inlineStr">
        <is>
          <t>x</t>
        </is>
      </c>
      <c r="G57" s="7" t="n"/>
      <c r="H57" s="25" t="n"/>
    </row>
    <row r="58">
      <c r="A58" s="6" t="n">
        <v>46338</v>
      </c>
      <c r="B58" s="7" t="inlineStr">
        <is>
          <t>četvrtak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46343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46350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46357</v>
      </c>
      <c r="B61" s="7" t="inlineStr">
        <is>
          <t>utorak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46364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46370</v>
      </c>
      <c r="B63" s="7" t="inlineStr">
        <is>
          <t>ponedjeljak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n"/>
      <c r="H63" s="25" t="n"/>
    </row>
    <row r="64">
      <c r="A64" s="6" t="n">
        <v>46373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46378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5" t="n"/>
    </row>
  </sheetData>
  <autoFilter ref="A4:H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A5:H6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46034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6" t="n">
        <v>46037</v>
      </c>
      <c r="B4" s="17" t="inlineStr">
        <is>
          <t>četvrtak</t>
        </is>
      </c>
      <c r="C4" s="9" t="inlineStr">
        <is>
          <t>Plastika i metal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46062</v>
      </c>
      <c r="B8" s="17" t="inlineStr">
        <is>
          <t>ponedjeljak</t>
        </is>
      </c>
      <c r="C8" s="10" t="inlineStr">
        <is>
          <t>Papir i karton</t>
        </is>
      </c>
      <c r="D8" s="17" t="n"/>
    </row>
    <row r="9">
      <c r="A9" s="26" t="n">
        <v>46065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46070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46077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46084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6" t="n">
        <v>46093</v>
      </c>
      <c r="B14" s="17" t="inlineStr">
        <is>
          <t>četvrtak</t>
        </is>
      </c>
      <c r="C14" s="9" t="inlineStr">
        <is>
          <t>Plastika i metal</t>
        </is>
      </c>
      <c r="D14" s="17" t="n"/>
    </row>
    <row r="15">
      <c r="A15" s="26" t="n">
        <v>46098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46112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46125</v>
      </c>
      <c r="B17" s="17" t="inlineStr">
        <is>
          <t>ponedjeljak</t>
        </is>
      </c>
      <c r="C17" s="10" t="inlineStr">
        <is>
          <t>Papir i karton</t>
        </is>
      </c>
      <c r="D17" s="17" t="n"/>
    </row>
    <row r="18">
      <c r="A18" s="26" t="n">
        <v>46126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46128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46133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46140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46147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46153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6" t="n">
        <v>46156</v>
      </c>
      <c r="B24" s="17" t="inlineStr">
        <is>
          <t>četvrtak</t>
        </is>
      </c>
      <c r="C24" s="9" t="inlineStr">
        <is>
          <t>Plastika i metal</t>
        </is>
      </c>
      <c r="D24" s="17" t="n"/>
    </row>
    <row r="25">
      <c r="A25" s="26" t="n">
        <v>46161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46168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46175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46181</v>
      </c>
      <c r="B28" s="17" t="inlineStr">
        <is>
          <t>ponedjeljak</t>
        </is>
      </c>
      <c r="C28" s="10" t="inlineStr">
        <is>
          <t>Papir i karton</t>
        </is>
      </c>
      <c r="D28" s="17" t="n"/>
    </row>
    <row r="29">
      <c r="A29" s="26" t="n">
        <v>46184</v>
      </c>
      <c r="B29" s="17" t="inlineStr">
        <is>
          <t>četvrtak</t>
        </is>
      </c>
      <c r="C29" s="9" t="inlineStr">
        <is>
          <t>Plastika i metal</t>
        </is>
      </c>
      <c r="D29" s="17" t="n"/>
    </row>
    <row r="30">
      <c r="A30" s="26" t="n">
        <v>46189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46203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46210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46216</v>
      </c>
      <c r="B33" s="17" t="inlineStr">
        <is>
          <t>ponedjeljak</t>
        </is>
      </c>
      <c r="C33" s="10" t="inlineStr">
        <is>
          <t>Papir i karton</t>
        </is>
      </c>
      <c r="D33" s="17" t="n"/>
    </row>
    <row r="34">
      <c r="A34" s="26" t="n">
        <v>46219</v>
      </c>
      <c r="B34" s="17" t="inlineStr">
        <is>
          <t>četvrtak</t>
        </is>
      </c>
      <c r="C34" s="9" t="inlineStr">
        <is>
          <t>Plastika i metal</t>
        </is>
      </c>
      <c r="D34" s="17" t="n"/>
    </row>
    <row r="35">
      <c r="A35" s="26" t="n">
        <v>46224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46231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46232</v>
      </c>
      <c r="B37" s="17" t="inlineStr">
        <is>
          <t>srijeda</t>
        </is>
      </c>
      <c r="C37" s="11" t="inlineStr">
        <is>
          <t>Glomazni otpad</t>
        </is>
      </c>
      <c r="D37" s="17" t="n"/>
    </row>
    <row r="38">
      <c r="A38" s="26" t="n">
        <v>46238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46244</v>
      </c>
      <c r="B39" s="17" t="inlineStr">
        <is>
          <t>ponedjeljak</t>
        </is>
      </c>
      <c r="C39" s="10" t="inlineStr">
        <is>
          <t>Papir i karton</t>
        </is>
      </c>
      <c r="D39" s="17" t="n"/>
    </row>
    <row r="40">
      <c r="A40" s="26" t="n">
        <v>46247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46252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46259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46266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46279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6" t="n">
        <v>46280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46282</v>
      </c>
      <c r="B46" s="17" t="inlineStr">
        <is>
          <t>četvrtak</t>
        </is>
      </c>
      <c r="C46" s="9" t="inlineStr">
        <is>
          <t>Plastika i metal</t>
        </is>
      </c>
      <c r="D46" s="17" t="n"/>
    </row>
    <row r="47">
      <c r="A47" s="26" t="n">
        <v>46294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46301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46307</v>
      </c>
      <c r="B49" s="17" t="inlineStr">
        <is>
          <t>ponedjeljak</t>
        </is>
      </c>
      <c r="C49" s="10" t="inlineStr">
        <is>
          <t>Papir i karton</t>
        </is>
      </c>
      <c r="D49" s="17" t="n"/>
    </row>
    <row r="50">
      <c r="A50" s="26" t="n">
        <v>46310</v>
      </c>
      <c r="B50" s="17" t="inlineStr">
        <is>
          <t>četvrtak</t>
        </is>
      </c>
      <c r="C50" s="9" t="inlineStr">
        <is>
          <t>Plastika i metal</t>
        </is>
      </c>
      <c r="D50" s="17" t="n"/>
    </row>
    <row r="51">
      <c r="A51" s="26" t="n">
        <v>46315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46322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46329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46335</v>
      </c>
      <c r="B54" s="17" t="inlineStr">
        <is>
          <t>ponedjeljak</t>
        </is>
      </c>
      <c r="C54" s="10" t="inlineStr">
        <is>
          <t>Papir i karton</t>
        </is>
      </c>
      <c r="D54" s="17" t="n"/>
    </row>
    <row r="55">
      <c r="A55" s="26" t="n">
        <v>46338</v>
      </c>
      <c r="B55" s="17" t="inlineStr">
        <is>
          <t>četvrtak</t>
        </is>
      </c>
      <c r="C55" s="9" t="inlineStr">
        <is>
          <t>Plastika i metal</t>
        </is>
      </c>
      <c r="D55" s="17" t="n"/>
    </row>
    <row r="56">
      <c r="A56" s="26" t="n">
        <v>46343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46350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46357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46364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46370</v>
      </c>
      <c r="B60" s="17" t="inlineStr">
        <is>
          <t>ponedjeljak</t>
        </is>
      </c>
      <c r="C60" s="10" t="inlineStr">
        <is>
          <t>Papir i karton</t>
        </is>
      </c>
      <c r="D60" s="17" t="n"/>
    </row>
    <row r="61">
      <c r="A61" s="26" t="n">
        <v>46373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6" t="n">
        <v>46378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</sheetData>
  <autoFilter ref="A1:D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
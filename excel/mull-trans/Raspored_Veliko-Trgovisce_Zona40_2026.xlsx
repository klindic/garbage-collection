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'Raspored'!$A$4:$H$52</definedName>
    <definedName name="_xlnm._FilterDatabase" localSheetId="2" hidden="1">'Po vrsti'!$A$1:$D$62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IFERROR(1/(1/_xlfn.MINIFS(Raspored!$A$5:$A$52,Raspored!$D$5:$D$52,"x",Raspored!$A$5:$A$52,"&gt;="&amp;$B$3)),"nema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COUNTIF(Raspored!$D$5:$D$52,"x")</f>
        <v/>
      </c>
    </row>
    <row r="7">
      <c r="A7" s="9" t="inlineStr">
        <is>
          <t>Plastika i metal</t>
        </is>
      </c>
      <c r="B7" s="6">
        <f>IFERROR(1/(1/_xlfn.MINIFS(Raspored!$A$5:$A$52,Raspored!$E$5:$E$52,"x",Raspored!$A$5:$A$52,"&gt;="&amp;$B$3)),"nema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COUNTIF(Raspored!$E$5:$E$52,"x")</f>
        <v/>
      </c>
    </row>
    <row r="8">
      <c r="A8" s="10" t="inlineStr">
        <is>
          <t>Papir i karton</t>
        </is>
      </c>
      <c r="B8" s="6">
        <f>IFERROR(1/(1/_xlfn.MINIFS(Raspored!$A$5:$A$52,Raspored!$F$5:$F$52,"x",Raspored!$A$5:$A$52,"&gt;="&amp;$B$3)),"nema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COUNTIF(Raspored!$F$5:$F$52,"x")</f>
        <v/>
      </c>
    </row>
    <row r="9">
      <c r="A9" s="11" t="inlineStr">
        <is>
          <t>Glomazni otpad</t>
        </is>
      </c>
      <c r="B9" s="6">
        <f>IFERROR(1/(1/_xlfn.MINIFS(Raspored!$A$5:$A$52,Raspored!$G$5:$G$52,"x",Raspored!$A$5:$A$52,"&gt;="&amp;$B$3)),"nema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COUNTIFS(Raspored!$C$5:$C$52,$A13,Raspored!$D$5:$D$52,"x")</f>
        <v/>
      </c>
      <c r="C13" s="7">
        <f>COUNTIFS(Raspored!$C$5:$C$52,$A13,Raspored!$E$5:$E$52,"x")</f>
        <v/>
      </c>
      <c r="D13" s="7">
        <f>COUNTIFS(Raspored!$C$5:$C$52,$A13,Raspored!$F$5:$F$52,"x")</f>
        <v/>
      </c>
      <c r="E13" s="7">
        <f>COUNTIFS(Raspored!$C$5:$C$52,$A13,Raspored!$G$5:$G$52,"x")</f>
        <v/>
      </c>
    </row>
    <row r="14">
      <c r="A14" s="17" t="inlineStr">
        <is>
          <t>veljača</t>
        </is>
      </c>
      <c r="B14" s="7">
        <f>COUNTIFS(Raspored!$C$5:$C$52,$A14,Raspored!$D$5:$D$52,"x")</f>
        <v/>
      </c>
      <c r="C14" s="7">
        <f>COUNTIFS(Raspored!$C$5:$C$52,$A14,Raspored!$E$5:$E$52,"x")</f>
        <v/>
      </c>
      <c r="D14" s="7">
        <f>COUNTIFS(Raspored!$C$5:$C$52,$A14,Raspored!$F$5:$F$52,"x")</f>
        <v/>
      </c>
      <c r="E14" s="7">
        <f>COUNTIFS(Raspored!$C$5:$C$52,$A14,Raspored!$G$5:$G$52,"x")</f>
        <v/>
      </c>
    </row>
    <row r="15">
      <c r="A15" s="17" t="inlineStr">
        <is>
          <t>ožujak</t>
        </is>
      </c>
      <c r="B15" s="7">
        <f>COUNTIFS(Raspored!$C$5:$C$52,$A15,Raspored!$D$5:$D$52,"x")</f>
        <v/>
      </c>
      <c r="C15" s="7">
        <f>COUNTIFS(Raspored!$C$5:$C$52,$A15,Raspored!$E$5:$E$52,"x")</f>
        <v/>
      </c>
      <c r="D15" s="7">
        <f>COUNTIFS(Raspored!$C$5:$C$52,$A15,Raspored!$F$5:$F$52,"x")</f>
        <v/>
      </c>
      <c r="E15" s="7">
        <f>COUNTIFS(Raspored!$C$5:$C$52,$A15,Raspored!$G$5:$G$52,"x")</f>
        <v/>
      </c>
    </row>
    <row r="16">
      <c r="A16" s="17" t="inlineStr">
        <is>
          <t>travanj</t>
        </is>
      </c>
      <c r="B16" s="7">
        <f>COUNTIFS(Raspored!$C$5:$C$52,$A16,Raspored!$D$5:$D$52,"x")</f>
        <v/>
      </c>
      <c r="C16" s="7">
        <f>COUNTIFS(Raspored!$C$5:$C$52,$A16,Raspored!$E$5:$E$52,"x")</f>
        <v/>
      </c>
      <c r="D16" s="7">
        <f>COUNTIFS(Raspored!$C$5:$C$52,$A16,Raspored!$F$5:$F$52,"x")</f>
        <v/>
      </c>
      <c r="E16" s="7">
        <f>COUNTIFS(Raspored!$C$5:$C$52,$A16,Raspored!$G$5:$G$52,"x")</f>
        <v/>
      </c>
    </row>
    <row r="17">
      <c r="A17" s="17" t="inlineStr">
        <is>
          <t>svibanj</t>
        </is>
      </c>
      <c r="B17" s="7">
        <f>COUNTIFS(Raspored!$C$5:$C$52,$A17,Raspored!$D$5:$D$52,"x")</f>
        <v/>
      </c>
      <c r="C17" s="7">
        <f>COUNTIFS(Raspored!$C$5:$C$52,$A17,Raspored!$E$5:$E$52,"x")</f>
        <v/>
      </c>
      <c r="D17" s="7">
        <f>COUNTIFS(Raspored!$C$5:$C$52,$A17,Raspored!$F$5:$F$52,"x")</f>
        <v/>
      </c>
      <c r="E17" s="7">
        <f>COUNTIFS(Raspored!$C$5:$C$52,$A17,Raspored!$G$5:$G$52,"x")</f>
        <v/>
      </c>
    </row>
    <row r="18">
      <c r="A18" s="17" t="inlineStr">
        <is>
          <t>lipanj</t>
        </is>
      </c>
      <c r="B18" s="7">
        <f>COUNTIFS(Raspored!$C$5:$C$52,$A18,Raspored!$D$5:$D$52,"x")</f>
        <v/>
      </c>
      <c r="C18" s="7">
        <f>COUNTIFS(Raspored!$C$5:$C$52,$A18,Raspored!$E$5:$E$52,"x")</f>
        <v/>
      </c>
      <c r="D18" s="7">
        <f>COUNTIFS(Raspored!$C$5:$C$52,$A18,Raspored!$F$5:$F$52,"x")</f>
        <v/>
      </c>
      <c r="E18" s="7">
        <f>COUNTIFS(Raspored!$C$5:$C$52,$A18,Raspored!$G$5:$G$52,"x")</f>
        <v/>
      </c>
    </row>
    <row r="19">
      <c r="A19" s="17" t="inlineStr">
        <is>
          <t>srpanj</t>
        </is>
      </c>
      <c r="B19" s="7">
        <f>COUNTIFS(Raspored!$C$5:$C$52,$A19,Raspored!$D$5:$D$52,"x")</f>
        <v/>
      </c>
      <c r="C19" s="7">
        <f>COUNTIFS(Raspored!$C$5:$C$52,$A19,Raspored!$E$5:$E$52,"x")</f>
        <v/>
      </c>
      <c r="D19" s="7">
        <f>COUNTIFS(Raspored!$C$5:$C$52,$A19,Raspored!$F$5:$F$52,"x")</f>
        <v/>
      </c>
      <c r="E19" s="7">
        <f>COUNTIFS(Raspored!$C$5:$C$52,$A19,Raspored!$G$5:$G$52,"x")</f>
        <v/>
      </c>
    </row>
    <row r="20">
      <c r="A20" s="17" t="inlineStr">
        <is>
          <t>kolovoz</t>
        </is>
      </c>
      <c r="B20" s="7">
        <f>COUNTIFS(Raspored!$C$5:$C$52,$A20,Raspored!$D$5:$D$52,"x")</f>
        <v/>
      </c>
      <c r="C20" s="7">
        <f>COUNTIFS(Raspored!$C$5:$C$52,$A20,Raspored!$E$5:$E$52,"x")</f>
        <v/>
      </c>
      <c r="D20" s="7">
        <f>COUNTIFS(Raspored!$C$5:$C$52,$A20,Raspored!$F$5:$F$52,"x")</f>
        <v/>
      </c>
      <c r="E20" s="7">
        <f>COUNTIFS(Raspored!$C$5:$C$52,$A20,Raspored!$G$5:$G$52,"x")</f>
        <v/>
      </c>
    </row>
    <row r="21">
      <c r="A21" s="17" t="inlineStr">
        <is>
          <t>rujan</t>
        </is>
      </c>
      <c r="B21" s="7">
        <f>COUNTIFS(Raspored!$C$5:$C$52,$A21,Raspored!$D$5:$D$52,"x")</f>
        <v/>
      </c>
      <c r="C21" s="7">
        <f>COUNTIFS(Raspored!$C$5:$C$52,$A21,Raspored!$E$5:$E$52,"x")</f>
        <v/>
      </c>
      <c r="D21" s="7">
        <f>COUNTIFS(Raspored!$C$5:$C$52,$A21,Raspored!$F$5:$F$52,"x")</f>
        <v/>
      </c>
      <c r="E21" s="7">
        <f>COUNTIFS(Raspored!$C$5:$C$52,$A21,Raspored!$G$5:$G$52,"x")</f>
        <v/>
      </c>
    </row>
    <row r="22">
      <c r="A22" s="17" t="inlineStr">
        <is>
          <t>listopad</t>
        </is>
      </c>
      <c r="B22" s="7">
        <f>COUNTIFS(Raspored!$C$5:$C$52,$A22,Raspored!$D$5:$D$52,"x")</f>
        <v/>
      </c>
      <c r="C22" s="7">
        <f>COUNTIFS(Raspored!$C$5:$C$52,$A22,Raspored!$E$5:$E$52,"x")</f>
        <v/>
      </c>
      <c r="D22" s="7">
        <f>COUNTIFS(Raspored!$C$5:$C$52,$A22,Raspored!$F$5:$F$52,"x")</f>
        <v/>
      </c>
      <c r="E22" s="7">
        <f>COUNTIFS(Raspored!$C$5:$C$52,$A22,Raspored!$G$5:$G$52,"x")</f>
        <v/>
      </c>
    </row>
    <row r="23">
      <c r="A23" s="17" t="inlineStr">
        <is>
          <t>studeni</t>
        </is>
      </c>
      <c r="B23" s="7">
        <f>COUNTIFS(Raspored!$C$5:$C$52,$A23,Raspored!$D$5:$D$52,"x")</f>
        <v/>
      </c>
      <c r="C23" s="7">
        <f>COUNTIFS(Raspored!$C$5:$C$52,$A23,Raspored!$E$5:$E$52,"x")</f>
        <v/>
      </c>
      <c r="D23" s="7">
        <f>COUNTIFS(Raspored!$C$5:$C$52,$A23,Raspored!$F$5:$F$52,"x")</f>
        <v/>
      </c>
      <c r="E23" s="7">
        <f>COUNTIFS(Raspored!$C$5:$C$52,$A23,Raspored!$G$5:$G$52,"x")</f>
        <v/>
      </c>
    </row>
    <row r="24">
      <c r="A24" s="17" t="inlineStr">
        <is>
          <t>prosinac</t>
        </is>
      </c>
      <c r="B24" s="7">
        <f>COUNTIFS(Raspored!$C$5:$C$52,$A24,Raspored!$D$5:$D$52,"x")</f>
        <v/>
      </c>
      <c r="C24" s="7">
        <f>COUNTIFS(Raspored!$C$5:$C$52,$A24,Raspored!$E$5:$E$52,"x")</f>
        <v/>
      </c>
      <c r="D24" s="7">
        <f>COUNTIFS(Raspored!$C$5:$C$52,$A24,Raspored!$F$5:$F$52,"x")</f>
        <v/>
      </c>
      <c r="E24" s="7">
        <f>COUNTIFS(Raspored!$C$5:$C$52,$A24,Raspored!$G$5:$G$52,"x")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PDF ne navodi naselja po terenima; svoj teren (dan odvoza miješanog otpada: srijeda, četvrtak) provjerite kod Mull-Transa (049/587-837, info@mull-trans.hr). Mobilno reciklažno dvorište: 31.3., 31.7., 30.10. (lokacije i vrijeme u PDF-u). Izvor: https://mull-trans.hr/wp-content/uploads/2026/04/Opcina-Veliko-Trgovisce-raspored-odvoza-otpada-za-2026.pdf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40 (Veliko Trgovišće)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46051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46065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46072</v>
      </c>
      <c r="B11" s="7" t="inlineStr">
        <is>
          <t>četvrtak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46121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46128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46135</v>
      </c>
      <c r="B20" s="7" t="inlineStr">
        <is>
          <t>četvrtak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46142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46149</v>
      </c>
      <c r="B22" s="7" t="inlineStr">
        <is>
          <t>četvrtak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46156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46163</v>
      </c>
      <c r="B24" s="7" t="inlineStr">
        <is>
          <t>četvrtak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46170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24" t="n">
        <v>46179</v>
      </c>
      <c r="B26" s="25" t="inlineStr">
        <is>
          <t>subota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inlineStr">
        <is>
          <t>Pomaknuto zbog neradnog dana u tjednu</t>
        </is>
      </c>
    </row>
    <row r="27">
      <c r="A27" s="6" t="n">
        <v>46184</v>
      </c>
      <c r="B27" s="7" t="inlineStr">
        <is>
          <t>četvrtak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46191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46198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46205</v>
      </c>
      <c r="B30" s="7" t="inlineStr">
        <is>
          <t>četvrtak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46212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46219</v>
      </c>
      <c r="B32" s="7" t="inlineStr">
        <is>
          <t>četvrtak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46226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46240</v>
      </c>
      <c r="B34" s="7" t="inlineStr">
        <is>
          <t>četvrtak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46247</v>
      </c>
      <c r="B35" s="7" t="inlineStr">
        <is>
          <t>četvrtak</t>
        </is>
      </c>
      <c r="C35" s="7" t="inlineStr">
        <is>
          <t>kolovoz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46254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46261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46275</v>
      </c>
      <c r="B38" s="7" t="inlineStr">
        <is>
          <t>četvrtak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46282</v>
      </c>
      <c r="B39" s="7" t="inlineStr">
        <is>
          <t>četvrtak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46289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46303</v>
      </c>
      <c r="B41" s="7" t="inlineStr">
        <is>
          <t>četvrtak</t>
        </is>
      </c>
      <c r="C41" s="7" t="inlineStr">
        <is>
          <t>listopad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46310</v>
      </c>
      <c r="B42" s="7" t="inlineStr">
        <is>
          <t>četvrtak</t>
        </is>
      </c>
      <c r="C42" s="7" t="inlineStr">
        <is>
          <t>listopad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46317</v>
      </c>
      <c r="B43" s="7" t="inlineStr">
        <is>
          <t>četvrtak</t>
        </is>
      </c>
      <c r="C43" s="7" t="inlineStr">
        <is>
          <t>listopad</t>
        </is>
      </c>
      <c r="D43" s="7" t="n"/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46324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46331</v>
      </c>
      <c r="B45" s="7" t="inlineStr">
        <is>
          <t>četvrtak</t>
        </is>
      </c>
      <c r="C45" s="7" t="inlineStr">
        <is>
          <t>studeni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46338</v>
      </c>
      <c r="B46" s="7" t="inlineStr">
        <is>
          <t>četvrtak</t>
        </is>
      </c>
      <c r="C46" s="7" t="inlineStr">
        <is>
          <t>studeni</t>
        </is>
      </c>
      <c r="D46" s="7" t="n"/>
      <c r="E46" s="7" t="inlineStr">
        <is>
          <t>x</t>
        </is>
      </c>
      <c r="F46" s="7" t="inlineStr">
        <is>
          <t>x</t>
        </is>
      </c>
      <c r="G46" s="7" t="n"/>
      <c r="H46" s="23" t="n"/>
    </row>
    <row r="47">
      <c r="A47" s="6" t="n">
        <v>46345</v>
      </c>
      <c r="B47" s="7" t="inlineStr">
        <is>
          <t>četvrtak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46352</v>
      </c>
      <c r="B48" s="7" t="inlineStr">
        <is>
          <t>četvrtak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46366</v>
      </c>
      <c r="B49" s="7" t="inlineStr">
        <is>
          <t>četvrtak</t>
        </is>
      </c>
      <c r="C49" s="7" t="inlineStr">
        <is>
          <t>prosinac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46373</v>
      </c>
      <c r="B50" s="7" t="inlineStr">
        <is>
          <t>četvrtak</t>
        </is>
      </c>
      <c r="C50" s="7" t="inlineStr">
        <is>
          <t>prosinac</t>
        </is>
      </c>
      <c r="D50" s="7" t="n"/>
      <c r="E50" s="7" t="inlineStr">
        <is>
          <t>x</t>
        </is>
      </c>
      <c r="F50" s="7" t="inlineStr">
        <is>
          <t>x</t>
        </is>
      </c>
      <c r="G50" s="7" t="n"/>
      <c r="H50" s="23" t="n"/>
    </row>
    <row r="51">
      <c r="A51" s="6" t="n">
        <v>46380</v>
      </c>
      <c r="B51" s="7" t="inlineStr">
        <is>
          <t>četvrtak</t>
        </is>
      </c>
      <c r="C51" s="7" t="inlineStr">
        <is>
          <t>prosinac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46387</v>
      </c>
      <c r="B52" s="7" t="inlineStr">
        <is>
          <t>četvrtak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</sheetData>
  <autoFilter ref="A4:H52"/>
  <conditionalFormatting sqref="D5:D52">
    <cfRule type="expression" priority="1" dxfId="0">
      <formula>D5="x"</formula>
    </cfRule>
  </conditionalFormatting>
  <conditionalFormatting sqref="E5:E52">
    <cfRule type="expression" priority="2" dxfId="1">
      <formula>E5="x"</formula>
    </cfRule>
  </conditionalFormatting>
  <conditionalFormatting sqref="F5:F52">
    <cfRule type="expression" priority="3" dxfId="2">
      <formula>F5="x"</formula>
    </cfRule>
  </conditionalFormatting>
  <conditionalFormatting sqref="G5:G52">
    <cfRule type="expression" priority="4" dxfId="3">
      <formula>G5="x"</formula>
    </cfRule>
  </conditionalFormatting>
  <conditionalFormatting sqref="A5:H5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46030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6" t="n">
        <v>46037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6" t="n">
        <v>46044</v>
      </c>
      <c r="B4" s="17" t="inlineStr">
        <is>
          <t>četvrtak</t>
        </is>
      </c>
      <c r="C4" s="9" t="inlineStr">
        <is>
          <t>Plastika i metal</t>
        </is>
      </c>
      <c r="D4" s="17" t="n"/>
    </row>
    <row r="5">
      <c r="A5" s="26" t="n">
        <v>46044</v>
      </c>
      <c r="B5" s="17" t="inlineStr">
        <is>
          <t>četvrtak</t>
        </is>
      </c>
      <c r="C5" s="10" t="inlineStr">
        <is>
          <t>Papir i karton</t>
        </is>
      </c>
      <c r="D5" s="17" t="n"/>
    </row>
    <row r="6">
      <c r="A6" s="26" t="n">
        <v>46051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46058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46065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46072</v>
      </c>
      <c r="B9" s="17" t="inlineStr">
        <is>
          <t>četvrtak</t>
        </is>
      </c>
      <c r="C9" s="9" t="inlineStr">
        <is>
          <t>Plastika i metal</t>
        </is>
      </c>
      <c r="D9" s="17" t="n"/>
    </row>
    <row r="10">
      <c r="A10" s="26" t="n">
        <v>46072</v>
      </c>
      <c r="B10" s="17" t="inlineStr">
        <is>
          <t>četvrtak</t>
        </is>
      </c>
      <c r="C10" s="10" t="inlineStr">
        <is>
          <t>Papir i karton</t>
        </is>
      </c>
      <c r="D10" s="17" t="n"/>
    </row>
    <row r="11">
      <c r="A11" s="26" t="n">
        <v>46078</v>
      </c>
      <c r="B11" s="17" t="inlineStr">
        <is>
          <t>srijeda</t>
        </is>
      </c>
      <c r="C11" s="11" t="inlineStr">
        <is>
          <t>Glomazni otpad</t>
        </is>
      </c>
      <c r="D11" s="17" t="n"/>
    </row>
    <row r="12">
      <c r="A12" s="26" t="n">
        <v>46079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46086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6" t="n">
        <v>46093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46100</v>
      </c>
      <c r="B15" s="17" t="inlineStr">
        <is>
          <t>četvrtak</t>
        </is>
      </c>
      <c r="C15" s="9" t="inlineStr">
        <is>
          <t>Plastika i metal</t>
        </is>
      </c>
      <c r="D15" s="17" t="n"/>
    </row>
    <row r="16">
      <c r="A16" s="26" t="n">
        <v>46100</v>
      </c>
      <c r="B16" s="17" t="inlineStr">
        <is>
          <t>četvrtak</t>
        </is>
      </c>
      <c r="C16" s="10" t="inlineStr">
        <is>
          <t>Papir i karton</t>
        </is>
      </c>
      <c r="D16" s="17" t="n"/>
    </row>
    <row r="17">
      <c r="A17" s="26" t="n">
        <v>46107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6" t="n">
        <v>46121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46128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46135</v>
      </c>
      <c r="B20" s="17" t="inlineStr">
        <is>
          <t>četvrtak</t>
        </is>
      </c>
      <c r="C20" s="9" t="inlineStr">
        <is>
          <t>Plastika i metal</t>
        </is>
      </c>
      <c r="D20" s="17" t="n"/>
    </row>
    <row r="21">
      <c r="A21" s="26" t="n">
        <v>46135</v>
      </c>
      <c r="B21" s="17" t="inlineStr">
        <is>
          <t>četvrtak</t>
        </is>
      </c>
      <c r="C21" s="10" t="inlineStr">
        <is>
          <t>Papir i karton</t>
        </is>
      </c>
      <c r="D21" s="17" t="n"/>
    </row>
    <row r="22">
      <c r="A22" s="26" t="n">
        <v>46142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46149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6" t="n">
        <v>46156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46163</v>
      </c>
      <c r="B25" s="17" t="inlineStr">
        <is>
          <t>četvrtak</t>
        </is>
      </c>
      <c r="C25" s="9" t="inlineStr">
        <is>
          <t>Plastika i metal</t>
        </is>
      </c>
      <c r="D25" s="17" t="n"/>
    </row>
    <row r="26">
      <c r="A26" s="26" t="n">
        <v>46163</v>
      </c>
      <c r="B26" s="17" t="inlineStr">
        <is>
          <t>četvrtak</t>
        </is>
      </c>
      <c r="C26" s="10" t="inlineStr">
        <is>
          <t>Papir i karton</t>
        </is>
      </c>
      <c r="D26" s="17" t="n"/>
    </row>
    <row r="27">
      <c r="A27" s="26" t="n">
        <v>46170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6" t="n">
        <v>46179</v>
      </c>
      <c r="B28" s="17" t="inlineStr">
        <is>
          <t>subota</t>
        </is>
      </c>
      <c r="C28" s="5" t="inlineStr">
        <is>
          <t>Miješani komunalni otpad</t>
        </is>
      </c>
      <c r="D28" s="17" t="inlineStr">
        <is>
          <t>Pomaknuto zbog neradnog dana u tjednu</t>
        </is>
      </c>
    </row>
    <row r="29">
      <c r="A29" s="26" t="n">
        <v>46184</v>
      </c>
      <c r="B29" s="17" t="inlineStr">
        <is>
          <t>četvrtak</t>
        </is>
      </c>
      <c r="C29" s="9" t="inlineStr">
        <is>
          <t>Plastika i metal</t>
        </is>
      </c>
      <c r="D29" s="17" t="n"/>
    </row>
    <row r="30">
      <c r="A30" s="26" t="n">
        <v>46184</v>
      </c>
      <c r="B30" s="17" t="inlineStr">
        <is>
          <t>četvrtak</t>
        </is>
      </c>
      <c r="C30" s="10" t="inlineStr">
        <is>
          <t>Papir i karton</t>
        </is>
      </c>
      <c r="D30" s="17" t="n"/>
    </row>
    <row r="31">
      <c r="A31" s="26" t="n">
        <v>46191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6" t="n">
        <v>46198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46205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6" t="n">
        <v>46212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46219</v>
      </c>
      <c r="B35" s="17" t="inlineStr">
        <is>
          <t>četvrtak</t>
        </is>
      </c>
      <c r="C35" s="9" t="inlineStr">
        <is>
          <t>Plastika i metal</t>
        </is>
      </c>
      <c r="D35" s="17" t="n"/>
    </row>
    <row r="36">
      <c r="A36" s="26" t="n">
        <v>46219</v>
      </c>
      <c r="B36" s="17" t="inlineStr">
        <is>
          <t>četvrtak</t>
        </is>
      </c>
      <c r="C36" s="10" t="inlineStr">
        <is>
          <t>Papir i karton</t>
        </is>
      </c>
      <c r="D36" s="17" t="n"/>
    </row>
    <row r="37">
      <c r="A37" s="26" t="n">
        <v>46226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6" t="n">
        <v>46240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46247</v>
      </c>
      <c r="B39" s="17" t="inlineStr">
        <is>
          <t>četvrtak</t>
        </is>
      </c>
      <c r="C39" s="9" t="inlineStr">
        <is>
          <t>Plastika i metal</t>
        </is>
      </c>
      <c r="D39" s="17" t="n"/>
    </row>
    <row r="40">
      <c r="A40" s="26" t="n">
        <v>46247</v>
      </c>
      <c r="B40" s="17" t="inlineStr">
        <is>
          <t>četvrtak</t>
        </is>
      </c>
      <c r="C40" s="10" t="inlineStr">
        <is>
          <t>Papir i karton</t>
        </is>
      </c>
      <c r="D40" s="17" t="n"/>
    </row>
    <row r="41">
      <c r="A41" s="26" t="n">
        <v>46254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46261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46275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6" t="n">
        <v>46282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46289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6" t="n">
        <v>46289</v>
      </c>
      <c r="B46" s="17" t="inlineStr">
        <is>
          <t>četvrtak</t>
        </is>
      </c>
      <c r="C46" s="9" t="inlineStr">
        <is>
          <t>Plastika i metal</t>
        </is>
      </c>
      <c r="D46" s="17" t="n"/>
    </row>
    <row r="47">
      <c r="A47" s="26" t="n">
        <v>46289</v>
      </c>
      <c r="B47" s="17" t="inlineStr">
        <is>
          <t>četvrtak</t>
        </is>
      </c>
      <c r="C47" s="10" t="inlineStr">
        <is>
          <t>Papir i karton</t>
        </is>
      </c>
      <c r="D47" s="17" t="n"/>
    </row>
    <row r="48">
      <c r="A48" s="26" t="n">
        <v>46303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46310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46317</v>
      </c>
      <c r="B50" s="17" t="inlineStr">
        <is>
          <t>četvrtak</t>
        </is>
      </c>
      <c r="C50" s="9" t="inlineStr">
        <is>
          <t>Plastika i metal</t>
        </is>
      </c>
      <c r="D50" s="17" t="n"/>
    </row>
    <row r="51">
      <c r="A51" s="26" t="n">
        <v>46317</v>
      </c>
      <c r="B51" s="17" t="inlineStr">
        <is>
          <t>četvrtak</t>
        </is>
      </c>
      <c r="C51" s="10" t="inlineStr">
        <is>
          <t>Papir i karton</t>
        </is>
      </c>
      <c r="D51" s="17" t="n"/>
    </row>
    <row r="52">
      <c r="A52" s="26" t="n">
        <v>46324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46331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6" t="n">
        <v>46338</v>
      </c>
      <c r="B54" s="17" t="inlineStr">
        <is>
          <t>četvrtak</t>
        </is>
      </c>
      <c r="C54" s="9" t="inlineStr">
        <is>
          <t>Plastika i metal</t>
        </is>
      </c>
      <c r="D54" s="17" t="n"/>
    </row>
    <row r="55">
      <c r="A55" s="26" t="n">
        <v>46338</v>
      </c>
      <c r="B55" s="17" t="inlineStr">
        <is>
          <t>četvrtak</t>
        </is>
      </c>
      <c r="C55" s="10" t="inlineStr">
        <is>
          <t>Papir i karton</t>
        </is>
      </c>
      <c r="D55" s="17" t="n"/>
    </row>
    <row r="56">
      <c r="A56" s="26" t="n">
        <v>46345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46352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6" t="n">
        <v>46366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46373</v>
      </c>
      <c r="B59" s="17" t="inlineStr">
        <is>
          <t>četvrtak</t>
        </is>
      </c>
      <c r="C59" s="9" t="inlineStr">
        <is>
          <t>Plastika i metal</t>
        </is>
      </c>
      <c r="D59" s="17" t="n"/>
    </row>
    <row r="60">
      <c r="A60" s="26" t="n">
        <v>46373</v>
      </c>
      <c r="B60" s="17" t="inlineStr">
        <is>
          <t>četvrtak</t>
        </is>
      </c>
      <c r="C60" s="10" t="inlineStr">
        <is>
          <t>Papir i karton</t>
        </is>
      </c>
      <c r="D60" s="17" t="n"/>
    </row>
    <row r="61">
      <c r="A61" s="26" t="n">
        <v>46380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6" t="n">
        <v>46387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</sheetData>
  <autoFilter ref="A1:D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2026-10-07T18:55:14Z</dcterms:created>
  <dcterms:modified xmlns:dcterms="http://purl.org/dc/terms/" xmlns:xsi="http://www.w3.org/2001/XMLSchema-instance" xsi:type="dcterms:W3CDTF">2026-10-07T18:55:14Z</dcterms:modified>
</cp:coreProperties>
</file>
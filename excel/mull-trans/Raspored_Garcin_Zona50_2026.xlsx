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'Raspored'!$A$4:$H$79</definedName>
    <definedName name="_xlnm._FilterDatabase" localSheetId="2" hidden="1">'Po vrsti'!$A$1:$D$102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i metal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9">
      <c r="A9" s="11" t="inlineStr">
        <is>
          <t>Glomazni otpad</t>
        </is>
      </c>
      <c r="B9" s="6">
        <f>IFERROR(1/(1/_xlfn.MINIFS(Raspored!$A$5:$A$79,Raspored!$G$5:$G$79,"x",Raspored!$A$5:$A$79,"&gt;="&amp;$B$3)),"nema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  <c r="E13" s="7">
        <f>COUNTIFS(Raspored!$C$5:$C$79,$A13,Raspored!$G$5:$G$79,"x")</f>
        <v/>
      </c>
    </row>
    <row r="14">
      <c r="A14" s="17" t="inlineStr">
        <is>
          <t>veljača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  <c r="E14" s="7">
        <f>COUNTIFS(Raspored!$C$5:$C$79,$A14,Raspored!$G$5:$G$79,"x")</f>
        <v/>
      </c>
    </row>
    <row r="15">
      <c r="A15" s="17" t="inlineStr">
        <is>
          <t>ožujak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  <c r="E15" s="7">
        <f>COUNTIFS(Raspored!$C$5:$C$79,$A15,Raspored!$G$5:$G$79,"x")</f>
        <v/>
      </c>
    </row>
    <row r="16">
      <c r="A16" s="17" t="inlineStr">
        <is>
          <t>travanj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  <c r="E16" s="7">
        <f>COUNTIFS(Raspored!$C$5:$C$79,$A16,Raspored!$G$5:$G$79,"x")</f>
        <v/>
      </c>
    </row>
    <row r="17">
      <c r="A17" s="17" t="inlineStr">
        <is>
          <t>svibanj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  <c r="E17" s="7">
        <f>COUNTIFS(Raspored!$C$5:$C$79,$A17,Raspored!$G$5:$G$79,"x")</f>
        <v/>
      </c>
    </row>
    <row r="18">
      <c r="A18" s="17" t="inlineStr">
        <is>
          <t>lipanj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  <c r="E18" s="7">
        <f>COUNTIFS(Raspored!$C$5:$C$79,$A18,Raspored!$G$5:$G$79,"x")</f>
        <v/>
      </c>
    </row>
    <row r="19">
      <c r="A19" s="17" t="inlineStr">
        <is>
          <t>srpanj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  <c r="E19" s="7">
        <f>COUNTIFS(Raspored!$C$5:$C$79,$A19,Raspored!$G$5:$G$79,"x")</f>
        <v/>
      </c>
    </row>
    <row r="20">
      <c r="A20" s="17" t="inlineStr">
        <is>
          <t>kolovoz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  <c r="E20" s="7">
        <f>COUNTIFS(Raspored!$C$5:$C$79,$A20,Raspored!$G$5:$G$79,"x")</f>
        <v/>
      </c>
    </row>
    <row r="21">
      <c r="A21" s="17" t="inlineStr">
        <is>
          <t>rujan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  <c r="E21" s="7">
        <f>COUNTIFS(Raspored!$C$5:$C$79,$A21,Raspored!$G$5:$G$79,"x")</f>
        <v/>
      </c>
    </row>
    <row r="22">
      <c r="A22" s="17" t="inlineStr">
        <is>
          <t>listopad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  <c r="E22" s="7">
        <f>COUNTIFS(Raspored!$C$5:$C$79,$A22,Raspored!$G$5:$G$79,"x")</f>
        <v/>
      </c>
    </row>
    <row r="23">
      <c r="A23" s="17" t="inlineStr">
        <is>
          <t>studeni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  <c r="E23" s="7">
        <f>COUNTIFS(Raspored!$C$5:$C$79,$A23,Raspored!$G$5:$G$79,"x")</f>
        <v/>
      </c>
    </row>
    <row r="24">
      <c r="A24" s="17" t="inlineStr">
        <is>
          <t>prosinac</t>
        </is>
      </c>
      <c r="B24" s="7">
        <f>COUNTIFS(Raspored!$C$5:$C$79,$A24,Raspored!$D$5:$D$79,"x")</f>
        <v/>
      </c>
      <c r="C24" s="7">
        <f>COUNTIFS(Raspored!$C$5:$C$79,$A24,Raspored!$E$5:$E$79,"x")</f>
        <v/>
      </c>
      <c r="D24" s="7">
        <f>COUNTIFS(Raspored!$C$5:$C$79,$A24,Raspored!$F$5:$F$79,"x")</f>
        <v/>
      </c>
      <c r="E24" s="7">
        <f>COUNTIFS(Raspored!$C$5:$C$79,$A24,Raspored!$G$5:$G$79,"x")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Izvor: https://mull-trans.hr/wp-content/uploads/2026/04/OPCINA-GARCIN-raspored-odvoza-otpada-za-2026.pdf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50 (Garčin)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46027</v>
      </c>
      <c r="B5" s="24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46111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23" t="n">
        <v>46116</v>
      </c>
      <c r="B23" s="24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inlineStr">
        <is>
          <t>Pomaknuto zbog neradnog dana u tjednu</t>
        </is>
      </c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5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46146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5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46174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5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5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23" t="n">
        <v>46193</v>
      </c>
      <c r="B40" s="24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5" t="inlineStr">
        <is>
          <t>Pomaknuto zbog neradnog dana u tjednu</t>
        </is>
      </c>
    </row>
    <row r="41">
      <c r="A41" s="6" t="n">
        <v>46202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5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5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5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46265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5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5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5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5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5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7" t="n"/>
      <c r="H70" s="25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inlineStr">
        <is>
          <t>x</t>
        </is>
      </c>
      <c r="G74" s="7" t="n"/>
      <c r="H74" s="25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5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5" t="n"/>
    </row>
  </sheetData>
  <autoFilter ref="A4:H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G5:G79">
    <cfRule type="expression" priority="4" dxfId="3">
      <formula>G5="x"</formula>
    </cfRule>
  </conditionalFormatting>
  <conditionalFormatting sqref="A5:H7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9" t="inlineStr">
        <is>
          <t>Plastika i metal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10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9" t="inlineStr">
        <is>
          <t>Plastika i metal</t>
        </is>
      </c>
      <c r="D6" s="17" t="n"/>
    </row>
    <row r="7">
      <c r="A7" s="26" t="n">
        <v>46035</v>
      </c>
      <c r="B7" s="17" t="inlineStr">
        <is>
          <t>utorak</t>
        </is>
      </c>
      <c r="C7" s="10" t="inlineStr">
        <is>
          <t>Papir i karton</t>
        </is>
      </c>
      <c r="D7" s="17" t="n"/>
    </row>
    <row r="8">
      <c r="A8" s="26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46055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46056</v>
      </c>
      <c r="B11" s="17" t="inlineStr">
        <is>
          <t>utorak</t>
        </is>
      </c>
      <c r="C11" s="9" t="inlineStr">
        <is>
          <t>Plastika i metal</t>
        </is>
      </c>
      <c r="D11" s="17" t="n"/>
    </row>
    <row r="12">
      <c r="A12" s="26" t="n">
        <v>46056</v>
      </c>
      <c r="B12" s="17" t="inlineStr">
        <is>
          <t>utorak</t>
        </is>
      </c>
      <c r="C12" s="10" t="inlineStr">
        <is>
          <t>Papir i karton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46063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6" t="n">
        <v>46063</v>
      </c>
      <c r="B15" s="17" t="inlineStr">
        <is>
          <t>utorak</t>
        </is>
      </c>
      <c r="C15" s="10" t="inlineStr">
        <is>
          <t>Papir i karton</t>
        </is>
      </c>
      <c r="D15" s="17" t="n"/>
    </row>
    <row r="16">
      <c r="A16" s="26" t="n">
        <v>46069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46076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46083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46084</v>
      </c>
      <c r="B19" s="17" t="inlineStr">
        <is>
          <t>utorak</t>
        </is>
      </c>
      <c r="C19" s="9" t="inlineStr">
        <is>
          <t>Plastika i metal</t>
        </is>
      </c>
      <c r="D19" s="17" t="n"/>
    </row>
    <row r="20">
      <c r="A20" s="26" t="n">
        <v>46084</v>
      </c>
      <c r="B20" s="17" t="inlineStr">
        <is>
          <t>utorak</t>
        </is>
      </c>
      <c r="C20" s="10" t="inlineStr">
        <is>
          <t>Papir i karton</t>
        </is>
      </c>
      <c r="D20" s="17" t="n"/>
    </row>
    <row r="21">
      <c r="A21" s="26" t="n">
        <v>46090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46091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46091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6" t="n">
        <v>46097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46104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46111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46116</v>
      </c>
      <c r="B27" s="17" t="inlineStr">
        <is>
          <t>subota</t>
        </is>
      </c>
      <c r="C27" s="5" t="inlineStr">
        <is>
          <t>Miješani komunalni otpad</t>
        </is>
      </c>
      <c r="D27" s="17" t="inlineStr">
        <is>
          <t>Pomaknuto zbog neradnog dana u tjednu</t>
        </is>
      </c>
    </row>
    <row r="28">
      <c r="A28" s="26" t="n">
        <v>46119</v>
      </c>
      <c r="B28" s="17" t="inlineStr">
        <is>
          <t>utorak</t>
        </is>
      </c>
      <c r="C28" s="9" t="inlineStr">
        <is>
          <t>Plastika i metal</t>
        </is>
      </c>
      <c r="D28" s="17" t="n"/>
    </row>
    <row r="29">
      <c r="A29" s="26" t="n">
        <v>46119</v>
      </c>
      <c r="B29" s="17" t="inlineStr">
        <is>
          <t>utorak</t>
        </is>
      </c>
      <c r="C29" s="10" t="inlineStr">
        <is>
          <t>Papir i karton</t>
        </is>
      </c>
      <c r="D29" s="17" t="n"/>
    </row>
    <row r="30">
      <c r="A30" s="26" t="n">
        <v>46125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46126</v>
      </c>
      <c r="B31" s="17" t="inlineStr">
        <is>
          <t>utorak</t>
        </is>
      </c>
      <c r="C31" s="9" t="inlineStr">
        <is>
          <t>Plastika i metal</t>
        </is>
      </c>
      <c r="D31" s="17" t="n"/>
    </row>
    <row r="32">
      <c r="A32" s="26" t="n">
        <v>46126</v>
      </c>
      <c r="B32" s="17" t="inlineStr">
        <is>
          <t>utorak</t>
        </is>
      </c>
      <c r="C32" s="10" t="inlineStr">
        <is>
          <t>Papir i karton</t>
        </is>
      </c>
      <c r="D32" s="17" t="n"/>
    </row>
    <row r="33">
      <c r="A33" s="26" t="n">
        <v>46132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46132</v>
      </c>
      <c r="B34" s="17" t="inlineStr">
        <is>
          <t>ponedjeljak</t>
        </is>
      </c>
      <c r="C34" s="11" t="inlineStr">
        <is>
          <t>Glomazni otpad</t>
        </is>
      </c>
      <c r="D34" s="17" t="n"/>
    </row>
    <row r="35">
      <c r="A35" s="26" t="n">
        <v>46139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46146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46147</v>
      </c>
      <c r="B37" s="17" t="inlineStr">
        <is>
          <t>utorak</t>
        </is>
      </c>
      <c r="C37" s="9" t="inlineStr">
        <is>
          <t>Plastika i metal</t>
        </is>
      </c>
      <c r="D37" s="17" t="n"/>
    </row>
    <row r="38">
      <c r="A38" s="26" t="n">
        <v>46147</v>
      </c>
      <c r="B38" s="17" t="inlineStr">
        <is>
          <t>utorak</t>
        </is>
      </c>
      <c r="C38" s="10" t="inlineStr">
        <is>
          <t>Papir i karton</t>
        </is>
      </c>
      <c r="D38" s="17" t="n"/>
    </row>
    <row r="39">
      <c r="A39" s="26" t="n">
        <v>46153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46154</v>
      </c>
      <c r="B40" s="17" t="inlineStr">
        <is>
          <t>utorak</t>
        </is>
      </c>
      <c r="C40" s="9" t="inlineStr">
        <is>
          <t>Plastika i metal</t>
        </is>
      </c>
      <c r="D40" s="17" t="n"/>
    </row>
    <row r="41">
      <c r="A41" s="26" t="n">
        <v>46154</v>
      </c>
      <c r="B41" s="17" t="inlineStr">
        <is>
          <t>utorak</t>
        </is>
      </c>
      <c r="C41" s="10" t="inlineStr">
        <is>
          <t>Papir i karton</t>
        </is>
      </c>
      <c r="D41" s="17" t="n"/>
    </row>
    <row r="42">
      <c r="A42" s="26" t="n">
        <v>46160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46167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46174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46175</v>
      </c>
      <c r="B45" s="17" t="inlineStr">
        <is>
          <t>utorak</t>
        </is>
      </c>
      <c r="C45" s="9" t="inlineStr">
        <is>
          <t>Plastika i metal</t>
        </is>
      </c>
      <c r="D45" s="17" t="n"/>
    </row>
    <row r="46">
      <c r="A46" s="26" t="n">
        <v>46175</v>
      </c>
      <c r="B46" s="17" t="inlineStr">
        <is>
          <t>utorak</t>
        </is>
      </c>
      <c r="C46" s="10" t="inlineStr">
        <is>
          <t>Papir i karton</t>
        </is>
      </c>
      <c r="D46" s="17" t="n"/>
    </row>
    <row r="47">
      <c r="A47" s="26" t="n">
        <v>46181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46182</v>
      </c>
      <c r="B48" s="17" t="inlineStr">
        <is>
          <t>utorak</t>
        </is>
      </c>
      <c r="C48" s="9" t="inlineStr">
        <is>
          <t>Plastika i metal</t>
        </is>
      </c>
      <c r="D48" s="17" t="n"/>
    </row>
    <row r="49">
      <c r="A49" s="26" t="n">
        <v>46182</v>
      </c>
      <c r="B49" s="17" t="inlineStr">
        <is>
          <t>utorak</t>
        </is>
      </c>
      <c r="C49" s="10" t="inlineStr">
        <is>
          <t>Papir i karton</t>
        </is>
      </c>
      <c r="D49" s="17" t="n"/>
    </row>
    <row r="50">
      <c r="A50" s="26" t="n">
        <v>46188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46193</v>
      </c>
      <c r="B51" s="17" t="inlineStr">
        <is>
          <t>subota</t>
        </is>
      </c>
      <c r="C51" s="5" t="inlineStr">
        <is>
          <t>Miješani komunalni otpad</t>
        </is>
      </c>
      <c r="D51" s="17" t="inlineStr">
        <is>
          <t>Pomaknuto zbog neradnog dana u tjednu</t>
        </is>
      </c>
    </row>
    <row r="52">
      <c r="A52" s="26" t="n">
        <v>46202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46209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46210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46210</v>
      </c>
      <c r="B55" s="17" t="inlineStr">
        <is>
          <t>utorak</t>
        </is>
      </c>
      <c r="C55" s="10" t="inlineStr">
        <is>
          <t>Papir i karton</t>
        </is>
      </c>
      <c r="D55" s="17" t="n"/>
    </row>
    <row r="56">
      <c r="A56" s="26" t="n">
        <v>46216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46217</v>
      </c>
      <c r="B57" s="17" t="inlineStr">
        <is>
          <t>utorak</t>
        </is>
      </c>
      <c r="C57" s="9" t="inlineStr">
        <is>
          <t>Plastika i metal</t>
        </is>
      </c>
      <c r="D57" s="17" t="n"/>
    </row>
    <row r="58">
      <c r="A58" s="26" t="n">
        <v>46217</v>
      </c>
      <c r="B58" s="17" t="inlineStr">
        <is>
          <t>utorak</t>
        </is>
      </c>
      <c r="C58" s="10" t="inlineStr">
        <is>
          <t>Papir i karton</t>
        </is>
      </c>
      <c r="D58" s="17" t="n"/>
    </row>
    <row r="59">
      <c r="A59" s="26" t="n">
        <v>46223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46230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46237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46238</v>
      </c>
      <c r="B62" s="17" t="inlineStr">
        <is>
          <t>utorak</t>
        </is>
      </c>
      <c r="C62" s="9" t="inlineStr">
        <is>
          <t>Plastika i metal</t>
        </is>
      </c>
      <c r="D62" s="17" t="n"/>
    </row>
    <row r="63">
      <c r="A63" s="26" t="n">
        <v>46238</v>
      </c>
      <c r="B63" s="17" t="inlineStr">
        <is>
          <t>utorak</t>
        </is>
      </c>
      <c r="C63" s="10" t="inlineStr">
        <is>
          <t>Papir i karton</t>
        </is>
      </c>
      <c r="D63" s="17" t="n"/>
    </row>
    <row r="64">
      <c r="A64" s="26" t="n">
        <v>46244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46245</v>
      </c>
      <c r="B65" s="17" t="inlineStr">
        <is>
          <t>utorak</t>
        </is>
      </c>
      <c r="C65" s="9" t="inlineStr">
        <is>
          <t>Plastika i metal</t>
        </is>
      </c>
      <c r="D65" s="17" t="n"/>
    </row>
    <row r="66">
      <c r="A66" s="26" t="n">
        <v>46245</v>
      </c>
      <c r="B66" s="17" t="inlineStr">
        <is>
          <t>utorak</t>
        </is>
      </c>
      <c r="C66" s="10" t="inlineStr">
        <is>
          <t>Papir i karton</t>
        </is>
      </c>
      <c r="D66" s="17" t="n"/>
    </row>
    <row r="67">
      <c r="A67" s="26" t="n">
        <v>46251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46258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46265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46266</v>
      </c>
      <c r="B70" s="17" t="inlineStr">
        <is>
          <t>utorak</t>
        </is>
      </c>
      <c r="C70" s="9" t="inlineStr">
        <is>
          <t>Plastika i metal</t>
        </is>
      </c>
      <c r="D70" s="17" t="n"/>
    </row>
    <row r="71">
      <c r="A71" s="26" t="n">
        <v>46266</v>
      </c>
      <c r="B71" s="17" t="inlineStr">
        <is>
          <t>utorak</t>
        </is>
      </c>
      <c r="C71" s="10" t="inlineStr">
        <is>
          <t>Papir i karton</t>
        </is>
      </c>
      <c r="D71" s="17" t="n"/>
    </row>
    <row r="72">
      <c r="A72" s="26" t="n">
        <v>46272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46273</v>
      </c>
      <c r="B73" s="17" t="inlineStr">
        <is>
          <t>utorak</t>
        </is>
      </c>
      <c r="C73" s="9" t="inlineStr">
        <is>
          <t>Plastika i metal</t>
        </is>
      </c>
      <c r="D73" s="17" t="n"/>
    </row>
    <row r="74">
      <c r="A74" s="26" t="n">
        <v>46273</v>
      </c>
      <c r="B74" s="17" t="inlineStr">
        <is>
          <t>utorak</t>
        </is>
      </c>
      <c r="C74" s="10" t="inlineStr">
        <is>
          <t>Papir i karton</t>
        </is>
      </c>
      <c r="D74" s="17" t="n"/>
    </row>
    <row r="75">
      <c r="A75" s="26" t="n">
        <v>46279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46286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46293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46300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46301</v>
      </c>
      <c r="B79" s="17" t="inlineStr">
        <is>
          <t>utorak</t>
        </is>
      </c>
      <c r="C79" s="9" t="inlineStr">
        <is>
          <t>Plastika i metal</t>
        </is>
      </c>
      <c r="D79" s="17" t="n"/>
    </row>
    <row r="80">
      <c r="A80" s="26" t="n">
        <v>46301</v>
      </c>
      <c r="B80" s="17" t="inlineStr">
        <is>
          <t>utorak</t>
        </is>
      </c>
      <c r="C80" s="10" t="inlineStr">
        <is>
          <t>Papir i karton</t>
        </is>
      </c>
      <c r="D80" s="17" t="n"/>
    </row>
    <row r="81">
      <c r="A81" s="26" t="n">
        <v>46307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46308</v>
      </c>
      <c r="B82" s="17" t="inlineStr">
        <is>
          <t>utorak</t>
        </is>
      </c>
      <c r="C82" s="9" t="inlineStr">
        <is>
          <t>Plastika i metal</t>
        </is>
      </c>
      <c r="D82" s="17" t="n"/>
    </row>
    <row r="83">
      <c r="A83" s="26" t="n">
        <v>46308</v>
      </c>
      <c r="B83" s="17" t="inlineStr">
        <is>
          <t>utorak</t>
        </is>
      </c>
      <c r="C83" s="10" t="inlineStr">
        <is>
          <t>Papir i karton</t>
        </is>
      </c>
      <c r="D83" s="17" t="n"/>
    </row>
    <row r="84">
      <c r="A84" s="26" t="n">
        <v>46314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46321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46328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46329</v>
      </c>
      <c r="B87" s="17" t="inlineStr">
        <is>
          <t>utorak</t>
        </is>
      </c>
      <c r="C87" s="9" t="inlineStr">
        <is>
          <t>Plastika i metal</t>
        </is>
      </c>
      <c r="D87" s="17" t="n"/>
    </row>
    <row r="88">
      <c r="A88" s="26" t="n">
        <v>46329</v>
      </c>
      <c r="B88" s="17" t="inlineStr">
        <is>
          <t>utorak</t>
        </is>
      </c>
      <c r="C88" s="10" t="inlineStr">
        <is>
          <t>Papir i karton</t>
        </is>
      </c>
      <c r="D88" s="17" t="n"/>
    </row>
    <row r="89">
      <c r="A89" s="26" t="n">
        <v>46335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46336</v>
      </c>
      <c r="B90" s="17" t="inlineStr">
        <is>
          <t>utorak</t>
        </is>
      </c>
      <c r="C90" s="9" t="inlineStr">
        <is>
          <t>Plastika i metal</t>
        </is>
      </c>
      <c r="D90" s="17" t="n"/>
    </row>
    <row r="91">
      <c r="A91" s="26" t="n">
        <v>46336</v>
      </c>
      <c r="B91" s="17" t="inlineStr">
        <is>
          <t>utorak</t>
        </is>
      </c>
      <c r="C91" s="10" t="inlineStr">
        <is>
          <t>Papir i karton</t>
        </is>
      </c>
      <c r="D91" s="17" t="n"/>
    </row>
    <row r="92">
      <c r="A92" s="26" t="n">
        <v>46342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46356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46357</v>
      </c>
      <c r="B95" s="17" t="inlineStr">
        <is>
          <t>utorak</t>
        </is>
      </c>
      <c r="C95" s="9" t="inlineStr">
        <is>
          <t>Plastika i metal</t>
        </is>
      </c>
      <c r="D95" s="17" t="n"/>
    </row>
    <row r="96">
      <c r="A96" s="26" t="n">
        <v>46357</v>
      </c>
      <c r="B96" s="17" t="inlineStr">
        <is>
          <t>utorak</t>
        </is>
      </c>
      <c r="C96" s="10" t="inlineStr">
        <is>
          <t>Papir i karton</t>
        </is>
      </c>
      <c r="D96" s="17" t="n"/>
    </row>
    <row r="97">
      <c r="A97" s="26" t="n">
        <v>46363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46364</v>
      </c>
      <c r="B98" s="17" t="inlineStr">
        <is>
          <t>utorak</t>
        </is>
      </c>
      <c r="C98" s="9" t="inlineStr">
        <is>
          <t>Plastika i metal</t>
        </is>
      </c>
      <c r="D98" s="17" t="n"/>
    </row>
    <row r="99">
      <c r="A99" s="26" t="n">
        <v>46364</v>
      </c>
      <c r="B99" s="17" t="inlineStr">
        <is>
          <t>utorak</t>
        </is>
      </c>
      <c r="C99" s="10" t="inlineStr">
        <is>
          <t>Papir i karton</t>
        </is>
      </c>
      <c r="D99" s="17" t="n"/>
    </row>
    <row r="100">
      <c r="A100" s="26" t="n">
        <v>46370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6" t="n">
        <v>46377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46384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</sheetData>
  <autoFilter ref="A1:D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
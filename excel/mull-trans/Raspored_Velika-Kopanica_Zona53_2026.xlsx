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'Raspored'!$A$4:$H$70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Plastika i metal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Papir i karton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9">
      <c r="A9" s="11" t="inlineStr">
        <is>
          <t>Glomazni otpad</t>
        </is>
      </c>
      <c r="B9" s="6">
        <f>IFERROR(1/(1/_xlfn.MINIFS(Raspored!$A$5:$A$70,Raspored!$G$5:$G$70,"x",Raspored!$A$5:$A$70,"&gt;="&amp;$B$3)),"nema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  <c r="E13" s="7">
        <f>COUNTIFS(Raspored!$C$5:$C$70,$A13,Raspored!$G$5:$G$70,"x")</f>
        <v/>
      </c>
    </row>
    <row r="14">
      <c r="A14" s="17" t="inlineStr">
        <is>
          <t>veljača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  <c r="E14" s="7">
        <f>COUNTIFS(Raspored!$C$5:$C$70,$A14,Raspored!$G$5:$G$70,"x")</f>
        <v/>
      </c>
    </row>
    <row r="15">
      <c r="A15" s="17" t="inlineStr">
        <is>
          <t>ožujak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  <c r="E15" s="7">
        <f>COUNTIFS(Raspored!$C$5:$C$70,$A15,Raspored!$G$5:$G$70,"x")</f>
        <v/>
      </c>
    </row>
    <row r="16">
      <c r="A16" s="17" t="inlineStr">
        <is>
          <t>travanj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  <c r="E16" s="7">
        <f>COUNTIFS(Raspored!$C$5:$C$70,$A16,Raspored!$G$5:$G$70,"x")</f>
        <v/>
      </c>
    </row>
    <row r="17">
      <c r="A17" s="17" t="inlineStr">
        <is>
          <t>svibanj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  <c r="E17" s="7">
        <f>COUNTIFS(Raspored!$C$5:$C$70,$A17,Raspored!$G$5:$G$70,"x")</f>
        <v/>
      </c>
    </row>
    <row r="18">
      <c r="A18" s="17" t="inlineStr">
        <is>
          <t>lipanj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  <c r="E18" s="7">
        <f>COUNTIFS(Raspored!$C$5:$C$70,$A18,Raspored!$G$5:$G$70,"x")</f>
        <v/>
      </c>
    </row>
    <row r="19">
      <c r="A19" s="17" t="inlineStr">
        <is>
          <t>srpanj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  <c r="E19" s="7">
        <f>COUNTIFS(Raspored!$C$5:$C$70,$A19,Raspored!$G$5:$G$70,"x")</f>
        <v/>
      </c>
    </row>
    <row r="20">
      <c r="A20" s="17" t="inlineStr">
        <is>
          <t>kolovoz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  <c r="E20" s="7">
        <f>COUNTIFS(Raspored!$C$5:$C$70,$A20,Raspored!$G$5:$G$70,"x")</f>
        <v/>
      </c>
    </row>
    <row r="21">
      <c r="A21" s="17" t="inlineStr">
        <is>
          <t>rujan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  <c r="E21" s="7">
        <f>COUNTIFS(Raspored!$C$5:$C$70,$A21,Raspored!$G$5:$G$70,"x")</f>
        <v/>
      </c>
    </row>
    <row r="22">
      <c r="A22" s="17" t="inlineStr">
        <is>
          <t>listopad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  <c r="E22" s="7">
        <f>COUNTIFS(Raspored!$C$5:$C$70,$A22,Raspored!$G$5:$G$70,"x")</f>
        <v/>
      </c>
    </row>
    <row r="23">
      <c r="A23" s="17" t="inlineStr">
        <is>
          <t>studeni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  <c r="E23" s="7">
        <f>COUNTIFS(Raspored!$C$5:$C$70,$A23,Raspored!$G$5:$G$70,"x")</f>
        <v/>
      </c>
    </row>
    <row r="24">
      <c r="A24" s="17" t="inlineStr">
        <is>
          <t>prosinac</t>
        </is>
      </c>
      <c r="B24" s="7">
        <f>COUNTIFS(Raspored!$C$5:$C$70,$A24,Raspored!$D$5:$D$70,"x")</f>
        <v/>
      </c>
      <c r="C24" s="7">
        <f>COUNTIFS(Raspored!$C$5:$C$70,$A24,Raspored!$E$5:$E$70,"x")</f>
        <v/>
      </c>
      <c r="D24" s="7">
        <f>COUNTIFS(Raspored!$C$5:$C$70,$A24,Raspored!$F$5:$F$70,"x")</f>
        <v/>
      </c>
      <c r="E24" s="7">
        <f>COUNTIFS(Raspored!$C$5:$C$70,$A24,Raspored!$G$5:$G$70,"x")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PDF ne navodi naselja po terenima; svoj teren (dan odvoza miješanog otpada: četvrtak, petak) provjerite kod Mull-Transa (049/587-837, info@mull-trans.hr). Mobilno reciklažno dvorište: 13.2., 15.5., 17.8., 11.11. (lokacije i vrijeme u PDF-u). Izvor: https://mull-trans.hr/wp-content/uploads/2026/04/OPCINA-VELIKA-KOPANICA-raspored-odvoza-otpada-za-2026.pdf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53 (Velika Kopanica)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5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46134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n"/>
      <c r="G25" s="7" t="inlineStr">
        <is>
          <t>x</t>
        </is>
      </c>
      <c r="H25" s="25" t="n"/>
    </row>
    <row r="26">
      <c r="A26" s="6" t="n">
        <v>46135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46142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46155</v>
      </c>
      <c r="B29" s="7" t="inlineStr">
        <is>
          <t>srijeda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46156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46163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46170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23" t="n">
        <v>46179</v>
      </c>
      <c r="B33" s="24" t="inlineStr">
        <is>
          <t>subota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inlineStr">
        <is>
          <t>Pomaknuto zbog neradnog dana u tjednu</t>
        </is>
      </c>
    </row>
    <row r="34">
      <c r="A34" s="6" t="n">
        <v>46183</v>
      </c>
      <c r="B34" s="7" t="inlineStr">
        <is>
          <t>srijeda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5" t="n"/>
    </row>
    <row r="35">
      <c r="A35" s="6" t="n">
        <v>46184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46191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46198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46211</v>
      </c>
      <c r="B39" s="7" t="inlineStr">
        <is>
          <t>srijeda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46212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46219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46226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46246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5" t="n"/>
    </row>
    <row r="46">
      <c r="A46" s="6" t="n">
        <v>46247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46254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46261</v>
      </c>
      <c r="B48" s="7" t="inlineStr">
        <is>
          <t>četvrtak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46274</v>
      </c>
      <c r="B50" s="7" t="inlineStr">
        <is>
          <t>srijeda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5" t="n"/>
    </row>
    <row r="51">
      <c r="A51" s="6" t="n">
        <v>46275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46282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46289</v>
      </c>
      <c r="B53" s="7" t="inlineStr">
        <is>
          <t>četvrtak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46296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46309</v>
      </c>
      <c r="B56" s="7" t="inlineStr">
        <is>
          <t>srijeda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5" t="n"/>
    </row>
    <row r="57">
      <c r="A57" s="6" t="n">
        <v>46310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46317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46324</v>
      </c>
      <c r="B59" s="7" t="inlineStr">
        <is>
          <t>četvrtak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46337</v>
      </c>
      <c r="B61" s="7" t="inlineStr">
        <is>
          <t>srijeda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5" t="n"/>
    </row>
    <row r="62">
      <c r="A62" s="6" t="n">
        <v>46338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46345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46352</v>
      </c>
      <c r="B64" s="7" t="inlineStr">
        <is>
          <t>četvrtak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46365</v>
      </c>
      <c r="B66" s="7" t="inlineStr">
        <is>
          <t>srijeda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7" t="n"/>
      <c r="H66" s="25" t="n"/>
    </row>
    <row r="67">
      <c r="A67" s="6" t="n">
        <v>46366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46373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7" t="n"/>
      <c r="H70" s="25" t="n"/>
    </row>
  </sheetData>
  <autoFilter ref="A4:H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G5:G70">
    <cfRule type="expression" priority="4" dxfId="3">
      <formula>G5="x"</formula>
    </cfRule>
  </conditionalFormatting>
  <conditionalFormatting sqref="A5:H7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46064</v>
      </c>
      <c r="B10" s="17" t="inlineStr">
        <is>
          <t>srijeda</t>
        </is>
      </c>
      <c r="C10" s="9" t="inlineStr">
        <is>
          <t>Plastika i metal</t>
        </is>
      </c>
      <c r="D10" s="17" t="n"/>
    </row>
    <row r="11">
      <c r="A11" s="26" t="n">
        <v>46064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46086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46092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46092</v>
      </c>
      <c r="B17" s="17" t="inlineStr">
        <is>
          <t>srijeda</t>
        </is>
      </c>
      <c r="C17" s="10" t="inlineStr">
        <is>
          <t>Papir i karton</t>
        </is>
      </c>
      <c r="D17" s="17" t="n"/>
    </row>
    <row r="18">
      <c r="A18" s="26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46100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46107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46114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46120</v>
      </c>
      <c r="B22" s="17" t="inlineStr">
        <is>
          <t>srijeda</t>
        </is>
      </c>
      <c r="C22" s="9" t="inlineStr">
        <is>
          <t>Plastika i metal</t>
        </is>
      </c>
      <c r="D22" s="17" t="n"/>
    </row>
    <row r="23">
      <c r="A23" s="26" t="n">
        <v>46120</v>
      </c>
      <c r="B23" s="17" t="inlineStr">
        <is>
          <t>srijeda</t>
        </is>
      </c>
      <c r="C23" s="10" t="inlineStr">
        <is>
          <t>Papir i karton</t>
        </is>
      </c>
      <c r="D23" s="17" t="n"/>
    </row>
    <row r="24">
      <c r="A24" s="26" t="n">
        <v>46121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46128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46134</v>
      </c>
      <c r="B26" s="17" t="inlineStr">
        <is>
          <t>srijeda</t>
        </is>
      </c>
      <c r="C26" s="11" t="inlineStr">
        <is>
          <t>Glomazni otpad</t>
        </is>
      </c>
      <c r="D26" s="17" t="n"/>
    </row>
    <row r="27">
      <c r="A27" s="26" t="n">
        <v>46135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46142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46149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46155</v>
      </c>
      <c r="B30" s="17" t="inlineStr">
        <is>
          <t>srijeda</t>
        </is>
      </c>
      <c r="C30" s="9" t="inlineStr">
        <is>
          <t>Plastika i metal</t>
        </is>
      </c>
      <c r="D30" s="17" t="n"/>
    </row>
    <row r="31">
      <c r="A31" s="26" t="n">
        <v>46155</v>
      </c>
      <c r="B31" s="17" t="inlineStr">
        <is>
          <t>srijeda</t>
        </is>
      </c>
      <c r="C31" s="10" t="inlineStr">
        <is>
          <t>Papir i karton</t>
        </is>
      </c>
      <c r="D31" s="17" t="n"/>
    </row>
    <row r="32">
      <c r="A32" s="26" t="n">
        <v>46156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46163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46170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46179</v>
      </c>
      <c r="B35" s="17" t="inlineStr">
        <is>
          <t>subota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46183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46183</v>
      </c>
      <c r="B37" s="17" t="inlineStr">
        <is>
          <t>srijeda</t>
        </is>
      </c>
      <c r="C37" s="10" t="inlineStr">
        <is>
          <t>Papir i karton</t>
        </is>
      </c>
      <c r="D37" s="17" t="n"/>
    </row>
    <row r="38">
      <c r="A38" s="26" t="n">
        <v>46184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46191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46198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46205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46211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46211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46212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46219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46226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46233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46240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46246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46246</v>
      </c>
      <c r="B50" s="17" t="inlineStr">
        <is>
          <t>srijeda</t>
        </is>
      </c>
      <c r="C50" s="10" t="inlineStr">
        <is>
          <t>Papir i karton</t>
        </is>
      </c>
      <c r="D50" s="17" t="n"/>
    </row>
    <row r="51">
      <c r="A51" s="26" t="n">
        <v>46247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46254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46261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46268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46274</v>
      </c>
      <c r="B55" s="17" t="inlineStr">
        <is>
          <t>srijeda</t>
        </is>
      </c>
      <c r="C55" s="9" t="inlineStr">
        <is>
          <t>Plastika i metal</t>
        </is>
      </c>
      <c r="D55" s="17" t="n"/>
    </row>
    <row r="56">
      <c r="A56" s="26" t="n">
        <v>46274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6" t="n">
        <v>46275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46282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46289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46296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46303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46309</v>
      </c>
      <c r="B62" s="17" t="inlineStr">
        <is>
          <t>srijeda</t>
        </is>
      </c>
      <c r="C62" s="9" t="inlineStr">
        <is>
          <t>Plastika i metal</t>
        </is>
      </c>
      <c r="D62" s="17" t="n"/>
    </row>
    <row r="63">
      <c r="A63" s="26" t="n">
        <v>46309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6" t="n">
        <v>46310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46317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46324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46331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46337</v>
      </c>
      <c r="B68" s="17" t="inlineStr">
        <is>
          <t>srijeda</t>
        </is>
      </c>
      <c r="C68" s="9" t="inlineStr">
        <is>
          <t>Plastika i metal</t>
        </is>
      </c>
      <c r="D68" s="17" t="n"/>
    </row>
    <row r="69">
      <c r="A69" s="26" t="n">
        <v>46337</v>
      </c>
      <c r="B69" s="17" t="inlineStr">
        <is>
          <t>srijeda</t>
        </is>
      </c>
      <c r="C69" s="10" t="inlineStr">
        <is>
          <t>Papir i karton</t>
        </is>
      </c>
      <c r="D69" s="17" t="n"/>
    </row>
    <row r="70">
      <c r="A70" s="26" t="n">
        <v>46338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46345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46352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46359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46365</v>
      </c>
      <c r="B74" s="17" t="inlineStr">
        <is>
          <t>srijeda</t>
        </is>
      </c>
      <c r="C74" s="9" t="inlineStr">
        <is>
          <t>Plastika i metal</t>
        </is>
      </c>
      <c r="D74" s="17" t="n"/>
    </row>
    <row r="75">
      <c r="A75" s="26" t="n">
        <v>46365</v>
      </c>
      <c r="B75" s="17" t="inlineStr">
        <is>
          <t>srijeda</t>
        </is>
      </c>
      <c r="C75" s="10" t="inlineStr">
        <is>
          <t>Papir i karton</t>
        </is>
      </c>
      <c r="D75" s="17" t="n"/>
    </row>
    <row r="76">
      <c r="A76" s="26" t="n">
        <v>46366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46373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46380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46387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</sheetData>
  <autoFilter ref="A1: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
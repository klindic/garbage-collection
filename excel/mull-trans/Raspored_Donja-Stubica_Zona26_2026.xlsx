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'Raspored'!$A$4:$H$65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Plastika i metal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Papir i karton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9">
      <c r="A9" s="11" t="inlineStr">
        <is>
          <t>Glomazni otpad</t>
        </is>
      </c>
      <c r="B9" s="6">
        <f>IFERROR(1/(1/_xlfn.MINIFS(Raspored!$A$5:$A$65,Raspored!$G$5:$G$65,"x",Raspored!$A$5:$A$65,"&gt;="&amp;$B$3)),"nema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COUNTIFS(Raspored!$C$5:$C$65,$A13,Raspored!$D$5:$D$65,"x")</f>
        <v/>
      </c>
      <c r="C13" s="7">
        <f>COUNTIFS(Raspored!$C$5:$C$65,$A13,Raspored!$E$5:$E$65,"x")</f>
        <v/>
      </c>
      <c r="D13" s="7">
        <f>COUNTIFS(Raspored!$C$5:$C$65,$A13,Raspored!$F$5:$F$65,"x")</f>
        <v/>
      </c>
      <c r="E13" s="7">
        <f>COUNTIFS(Raspored!$C$5:$C$65,$A13,Raspored!$G$5:$G$65,"x")</f>
        <v/>
      </c>
    </row>
    <row r="14">
      <c r="A14" s="17" t="inlineStr">
        <is>
          <t>veljača</t>
        </is>
      </c>
      <c r="B14" s="7">
        <f>COUNTIFS(Raspored!$C$5:$C$65,$A14,Raspored!$D$5:$D$65,"x")</f>
        <v/>
      </c>
      <c r="C14" s="7">
        <f>COUNTIFS(Raspored!$C$5:$C$65,$A14,Raspored!$E$5:$E$65,"x")</f>
        <v/>
      </c>
      <c r="D14" s="7">
        <f>COUNTIFS(Raspored!$C$5:$C$65,$A14,Raspored!$F$5:$F$65,"x")</f>
        <v/>
      </c>
      <c r="E14" s="7">
        <f>COUNTIFS(Raspored!$C$5:$C$65,$A14,Raspored!$G$5:$G$65,"x")</f>
        <v/>
      </c>
    </row>
    <row r="15">
      <c r="A15" s="17" t="inlineStr">
        <is>
          <t>ožujak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  <c r="E15" s="7">
        <f>COUNTIFS(Raspored!$C$5:$C$65,$A15,Raspored!$G$5:$G$65,"x")</f>
        <v/>
      </c>
    </row>
    <row r="16">
      <c r="A16" s="17" t="inlineStr">
        <is>
          <t>travanj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  <c r="E16" s="7">
        <f>COUNTIFS(Raspored!$C$5:$C$65,$A16,Raspored!$G$5:$G$65,"x")</f>
        <v/>
      </c>
    </row>
    <row r="17">
      <c r="A17" s="17" t="inlineStr">
        <is>
          <t>svibanj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  <c r="E17" s="7">
        <f>COUNTIFS(Raspored!$C$5:$C$65,$A17,Raspored!$G$5:$G$65,"x")</f>
        <v/>
      </c>
    </row>
    <row r="18">
      <c r="A18" s="17" t="inlineStr">
        <is>
          <t>lipanj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  <c r="E18" s="7">
        <f>COUNTIFS(Raspored!$C$5:$C$65,$A18,Raspored!$G$5:$G$65,"x")</f>
        <v/>
      </c>
    </row>
    <row r="19">
      <c r="A19" s="17" t="inlineStr">
        <is>
          <t>srpanj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  <c r="E19" s="7">
        <f>COUNTIFS(Raspored!$C$5:$C$65,$A19,Raspored!$G$5:$G$65,"x")</f>
        <v/>
      </c>
    </row>
    <row r="20">
      <c r="A20" s="17" t="inlineStr">
        <is>
          <t>kolovoz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  <c r="E20" s="7">
        <f>COUNTIFS(Raspored!$C$5:$C$65,$A20,Raspored!$G$5:$G$65,"x")</f>
        <v/>
      </c>
    </row>
    <row r="21">
      <c r="A21" s="17" t="inlineStr">
        <is>
          <t>rujan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  <c r="E21" s="7">
        <f>COUNTIFS(Raspored!$C$5:$C$65,$A21,Raspored!$G$5:$G$65,"x")</f>
        <v/>
      </c>
    </row>
    <row r="22">
      <c r="A22" s="17" t="inlineStr">
        <is>
          <t>listopad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  <c r="E22" s="7">
        <f>COUNTIFS(Raspored!$C$5:$C$65,$A22,Raspored!$G$5:$G$65,"x")</f>
        <v/>
      </c>
    </row>
    <row r="23">
      <c r="A23" s="17" t="inlineStr">
        <is>
          <t>studeni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  <c r="E23" s="7">
        <f>COUNTIFS(Raspored!$C$5:$C$65,$A23,Raspored!$G$5:$G$65,"x")</f>
        <v/>
      </c>
    </row>
    <row r="24">
      <c r="A24" s="17" t="inlineStr">
        <is>
          <t>prosinac</t>
        </is>
      </c>
      <c r="B24" s="7">
        <f>COUNTIFS(Raspored!$C$5:$C$65,$A24,Raspored!$D$5:$D$65,"x")</f>
        <v/>
      </c>
      <c r="C24" s="7">
        <f>COUNTIFS(Raspored!$C$5:$C$65,$A24,Raspored!$E$5:$E$65,"x")</f>
        <v/>
      </c>
      <c r="D24" s="7">
        <f>COUNTIFS(Raspored!$C$5:$C$65,$A24,Raspored!$F$5:$F$65,"x")</f>
        <v/>
      </c>
      <c r="E24" s="7">
        <f>COUNTIFS(Raspored!$C$5:$C$65,$A24,Raspored!$G$5:$G$65,"x")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PDF ne navodi naselja po terenima; svoj teren (dan odvoza miješanog otpada: ponedjeljak, utorak) provjerite kod Mull-Transa (049/587-837, info@mull-trans.hr). Mobilno reciklažno dvorište: 27.3., 27.8., 27.11. (lokacije i vrijeme u PDF-u). Izvor: https://mull-trans.hr/wp-content/uploads/2026/04/Grad-Donja-Stubica-raspored-za-2026.pdf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26 (Donja Stubica)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46111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24" t="n">
        <v>46116</v>
      </c>
      <c r="B20" s="25" t="inlineStr">
        <is>
          <t>subota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inlineStr">
        <is>
          <t>Pomaknuto zbog neradnog dana u tjednu</t>
        </is>
      </c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46132</v>
      </c>
      <c r="B22" s="7" t="inlineStr">
        <is>
          <t>ponedjeljak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46139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46146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46153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46160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46167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46174</v>
      </c>
      <c r="B30" s="7" t="inlineStr">
        <is>
          <t>ponedjeljak</t>
        </is>
      </c>
      <c r="C30" s="7" t="inlineStr">
        <is>
          <t>lipanj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46181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46188</v>
      </c>
      <c r="B32" s="7" t="inlineStr">
        <is>
          <t>ponedjeljak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24" t="n">
        <v>46193</v>
      </c>
      <c r="B34" s="25" t="inlineStr">
        <is>
          <t>subota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inlineStr">
        <is>
          <t>Pomaknuto zbog neradnog dana u tjednu</t>
        </is>
      </c>
    </row>
    <row r="35">
      <c r="A35" s="6" t="n">
        <v>46202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46209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46216</v>
      </c>
      <c r="B37" s="7" t="inlineStr">
        <is>
          <t>ponedjeljak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46230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46237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46244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46251</v>
      </c>
      <c r="B43" s="7" t="inlineStr">
        <is>
          <t>ponedjeljak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46258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46272</v>
      </c>
      <c r="B46" s="7" t="inlineStr">
        <is>
          <t>ponedjeljak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46279</v>
      </c>
      <c r="B47" s="7" t="inlineStr">
        <is>
          <t>ponedjeljak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46280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46286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46293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46300</v>
      </c>
      <c r="B51" s="7" t="inlineStr">
        <is>
          <t>ponedjeljak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46307</v>
      </c>
      <c r="B52" s="7" t="inlineStr">
        <is>
          <t>ponedjeljak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46314</v>
      </c>
      <c r="B53" s="7" t="inlineStr">
        <is>
          <t>ponedjeljak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46315</v>
      </c>
      <c r="B54" s="7" t="inlineStr">
        <is>
          <t>utorak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46321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46328</v>
      </c>
      <c r="B56" s="7" t="inlineStr">
        <is>
          <t>ponedjeljak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46335</v>
      </c>
      <c r="B57" s="7" t="inlineStr">
        <is>
          <t>ponedjeljak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46342</v>
      </c>
      <c r="B58" s="7" t="inlineStr">
        <is>
          <t>ponedjeljak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46343</v>
      </c>
      <c r="B59" s="7" t="inlineStr">
        <is>
          <t>utorak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46349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46363</v>
      </c>
      <c r="B61" s="7" t="inlineStr">
        <is>
          <t>ponedjeljak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46370</v>
      </c>
      <c r="B62" s="7" t="inlineStr">
        <is>
          <t>ponedjeljak</t>
        </is>
      </c>
      <c r="C62" s="7" t="inlineStr">
        <is>
          <t>prosinac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46371</v>
      </c>
      <c r="B63" s="7" t="inlineStr">
        <is>
          <t>utorak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46377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46384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</sheetData>
  <autoFilter ref="A4:H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G5:G65">
    <cfRule type="expression" priority="4" dxfId="3">
      <formula>G5="x"</formula>
    </cfRule>
  </conditionalFormatting>
  <conditionalFormatting sqref="A5:H6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46041</v>
      </c>
      <c r="B4" s="17" t="inlineStr">
        <is>
          <t>ponedjeljak</t>
        </is>
      </c>
      <c r="C4" s="10" t="inlineStr">
        <is>
          <t>Papir i karton</t>
        </is>
      </c>
      <c r="D4" s="17" t="n"/>
    </row>
    <row r="5">
      <c r="A5" s="26" t="n">
        <v>46042</v>
      </c>
      <c r="B5" s="17" t="inlineStr">
        <is>
          <t>utorak</t>
        </is>
      </c>
      <c r="C5" s="9" t="inlineStr">
        <is>
          <t>Plastika i metal</t>
        </is>
      </c>
      <c r="D5" s="17" t="n"/>
    </row>
    <row r="6">
      <c r="A6" s="26" t="n">
        <v>46048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46055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46062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46069</v>
      </c>
      <c r="B9" s="17" t="inlineStr">
        <is>
          <t>ponedjeljak</t>
        </is>
      </c>
      <c r="C9" s="10" t="inlineStr">
        <is>
          <t>Papir i karton</t>
        </is>
      </c>
      <c r="D9" s="17" t="n"/>
    </row>
    <row r="10">
      <c r="A10" s="26" t="n">
        <v>46070</v>
      </c>
      <c r="B10" s="17" t="inlineStr">
        <is>
          <t>utorak</t>
        </is>
      </c>
      <c r="C10" s="9" t="inlineStr">
        <is>
          <t>Plastika i metal</t>
        </is>
      </c>
      <c r="D10" s="17" t="n"/>
    </row>
    <row r="11">
      <c r="A11" s="26" t="n">
        <v>46076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46083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46090</v>
      </c>
      <c r="B13" s="17" t="inlineStr">
        <is>
          <t>ponedjeljak</t>
        </is>
      </c>
      <c r="C13" s="10" t="inlineStr">
        <is>
          <t>Papir i karton</t>
        </is>
      </c>
      <c r="D13" s="17" t="n"/>
    </row>
    <row r="14">
      <c r="A14" s="26" t="n">
        <v>46091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6" t="n">
        <v>46097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46111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46116</v>
      </c>
      <c r="B17" s="17" t="inlineStr">
        <is>
          <t>subota</t>
        </is>
      </c>
      <c r="C17" s="5" t="inlineStr">
        <is>
          <t>Miješani komunalni otpad</t>
        </is>
      </c>
      <c r="D17" s="17" t="inlineStr">
        <is>
          <t>Pomaknuto zbog neradnog dana u tjednu</t>
        </is>
      </c>
    </row>
    <row r="18">
      <c r="A18" s="26" t="n">
        <v>46125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46132</v>
      </c>
      <c r="B19" s="17" t="inlineStr">
        <is>
          <t>ponedjeljak</t>
        </is>
      </c>
      <c r="C19" s="10" t="inlineStr">
        <is>
          <t>Papir i karton</t>
        </is>
      </c>
      <c r="D19" s="17" t="n"/>
    </row>
    <row r="20">
      <c r="A20" s="26" t="n">
        <v>46133</v>
      </c>
      <c r="B20" s="17" t="inlineStr">
        <is>
          <t>utorak</t>
        </is>
      </c>
      <c r="C20" s="9" t="inlineStr">
        <is>
          <t>Plastika i metal</t>
        </is>
      </c>
      <c r="D20" s="17" t="n"/>
    </row>
    <row r="21">
      <c r="A21" s="26" t="n">
        <v>46139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46146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46153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46160</v>
      </c>
      <c r="B24" s="17" t="inlineStr">
        <is>
          <t>ponedjeljak</t>
        </is>
      </c>
      <c r="C24" s="10" t="inlineStr">
        <is>
          <t>Papir i karton</t>
        </is>
      </c>
      <c r="D24" s="17" t="n"/>
    </row>
    <row r="25">
      <c r="A25" s="26" t="n">
        <v>46161</v>
      </c>
      <c r="B25" s="17" t="inlineStr">
        <is>
          <t>utorak</t>
        </is>
      </c>
      <c r="C25" s="9" t="inlineStr">
        <is>
          <t>Plastika i metal</t>
        </is>
      </c>
      <c r="D25" s="17" t="n"/>
    </row>
    <row r="26">
      <c r="A26" s="26" t="n">
        <v>46167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46174</v>
      </c>
      <c r="B27" s="17" t="inlineStr">
        <is>
          <t>ponedjeljak</t>
        </is>
      </c>
      <c r="C27" s="11" t="inlineStr">
        <is>
          <t>Glomazni otpad</t>
        </is>
      </c>
      <c r="D27" s="17" t="n"/>
    </row>
    <row r="28">
      <c r="A28" s="26" t="n">
        <v>46181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46188</v>
      </c>
      <c r="B29" s="17" t="inlineStr">
        <is>
          <t>ponedjeljak</t>
        </is>
      </c>
      <c r="C29" s="10" t="inlineStr">
        <is>
          <t>Papir i karton</t>
        </is>
      </c>
      <c r="D29" s="17" t="n"/>
    </row>
    <row r="30">
      <c r="A30" s="26" t="n">
        <v>46189</v>
      </c>
      <c r="B30" s="17" t="inlineStr">
        <is>
          <t>utorak</t>
        </is>
      </c>
      <c r="C30" s="9" t="inlineStr">
        <is>
          <t>Plastika i metal</t>
        </is>
      </c>
      <c r="D30" s="17" t="n"/>
    </row>
    <row r="31">
      <c r="A31" s="26" t="n">
        <v>46193</v>
      </c>
      <c r="B31" s="17" t="inlineStr">
        <is>
          <t>subota</t>
        </is>
      </c>
      <c r="C31" s="5" t="inlineStr">
        <is>
          <t>Miješani komunalni otpad</t>
        </is>
      </c>
      <c r="D31" s="17" t="inlineStr">
        <is>
          <t>Pomaknuto zbog neradnog dana u tjednu</t>
        </is>
      </c>
    </row>
    <row r="32">
      <c r="A32" s="26" t="n">
        <v>46202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46209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46216</v>
      </c>
      <c r="B34" s="17" t="inlineStr">
        <is>
          <t>ponedjeljak</t>
        </is>
      </c>
      <c r="C34" s="10" t="inlineStr">
        <is>
          <t>Papir i karton</t>
        </is>
      </c>
      <c r="D34" s="17" t="n"/>
    </row>
    <row r="35">
      <c r="A35" s="26" t="n">
        <v>46217</v>
      </c>
      <c r="B35" s="17" t="inlineStr">
        <is>
          <t>utorak</t>
        </is>
      </c>
      <c r="C35" s="9" t="inlineStr">
        <is>
          <t>Plastika i metal</t>
        </is>
      </c>
      <c r="D35" s="17" t="n"/>
    </row>
    <row r="36">
      <c r="A36" s="26" t="n">
        <v>46223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46230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46237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46244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46251</v>
      </c>
      <c r="B40" s="17" t="inlineStr">
        <is>
          <t>ponedjeljak</t>
        </is>
      </c>
      <c r="C40" s="10" t="inlineStr">
        <is>
          <t>Papir i karton</t>
        </is>
      </c>
      <c r="D40" s="17" t="n"/>
    </row>
    <row r="41">
      <c r="A41" s="26" t="n">
        <v>46252</v>
      </c>
      <c r="B41" s="17" t="inlineStr">
        <is>
          <t>utorak</t>
        </is>
      </c>
      <c r="C41" s="9" t="inlineStr">
        <is>
          <t>Plastika i metal</t>
        </is>
      </c>
      <c r="D41" s="17" t="n"/>
    </row>
    <row r="42">
      <c r="A42" s="26" t="n">
        <v>46258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46272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46279</v>
      </c>
      <c r="B44" s="17" t="inlineStr">
        <is>
          <t>ponedjeljak</t>
        </is>
      </c>
      <c r="C44" s="10" t="inlineStr">
        <is>
          <t>Papir i karton</t>
        </is>
      </c>
      <c r="D44" s="17" t="n"/>
    </row>
    <row r="45">
      <c r="A45" s="26" t="n">
        <v>46280</v>
      </c>
      <c r="B45" s="17" t="inlineStr">
        <is>
          <t>utorak</t>
        </is>
      </c>
      <c r="C45" s="9" t="inlineStr">
        <is>
          <t>Plastika i metal</t>
        </is>
      </c>
      <c r="D45" s="17" t="n"/>
    </row>
    <row r="46">
      <c r="A46" s="26" t="n">
        <v>46286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46293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46300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46307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46314</v>
      </c>
      <c r="B50" s="17" t="inlineStr">
        <is>
          <t>ponedjeljak</t>
        </is>
      </c>
      <c r="C50" s="10" t="inlineStr">
        <is>
          <t>Papir i karton</t>
        </is>
      </c>
      <c r="D50" s="17" t="n"/>
    </row>
    <row r="51">
      <c r="A51" s="26" t="n">
        <v>46315</v>
      </c>
      <c r="B51" s="17" t="inlineStr">
        <is>
          <t>utorak</t>
        </is>
      </c>
      <c r="C51" s="9" t="inlineStr">
        <is>
          <t>Plastika i metal</t>
        </is>
      </c>
      <c r="D51" s="17" t="n"/>
    </row>
    <row r="52">
      <c r="A52" s="26" t="n">
        <v>46321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46328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46335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46342</v>
      </c>
      <c r="B55" s="17" t="inlineStr">
        <is>
          <t>ponedjeljak</t>
        </is>
      </c>
      <c r="C55" s="10" t="inlineStr">
        <is>
          <t>Papir i karton</t>
        </is>
      </c>
      <c r="D55" s="17" t="n"/>
    </row>
    <row r="56">
      <c r="A56" s="26" t="n">
        <v>46343</v>
      </c>
      <c r="B56" s="17" t="inlineStr">
        <is>
          <t>utorak</t>
        </is>
      </c>
      <c r="C56" s="9" t="inlineStr">
        <is>
          <t>Plastika i metal</t>
        </is>
      </c>
      <c r="D56" s="17" t="n"/>
    </row>
    <row r="57">
      <c r="A57" s="26" t="n">
        <v>46349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46363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46370</v>
      </c>
      <c r="B59" s="17" t="inlineStr">
        <is>
          <t>ponedjeljak</t>
        </is>
      </c>
      <c r="C59" s="10" t="inlineStr">
        <is>
          <t>Papir i karton</t>
        </is>
      </c>
      <c r="D59" s="17" t="n"/>
    </row>
    <row r="60">
      <c r="A60" s="26" t="n">
        <v>46371</v>
      </c>
      <c r="B60" s="17" t="inlineStr">
        <is>
          <t>utorak</t>
        </is>
      </c>
      <c r="C60" s="9" t="inlineStr">
        <is>
          <t>Plastika i metal</t>
        </is>
      </c>
      <c r="D60" s="17" t="n"/>
    </row>
    <row r="61">
      <c r="A61" s="26" t="n">
        <v>46377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46384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
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'Raspored'!$A$4:$H$52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9">
      <c r="A9" s="11" t="inlineStr">
        <is>
          <t>Glomazni otpad</t>
        </is>
      </c>
      <c r="B9" s="6">
        <f>IFERROR(1/(1/_xlfn.MINIFS(Raspored!$A$5:$A$52,Raspored!$G$5:$G$52,"x",Raspored!$A$5:$A$52,"&gt;="&amp;$B$3)),"nema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  <c r="E13" s="7">
        <f>COUNTIFS(Raspored!$C$5:$C$52,$A13,Raspored!$G$5:$G$52,"x")</f>
        <v/>
      </c>
    </row>
    <row r="14">
      <c r="A14" s="17" t="inlineStr">
        <is>
          <t>veljača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  <c r="E14" s="7">
        <f>COUNTIFS(Raspored!$C$5:$C$52,$A14,Raspored!$G$5:$G$52,"x")</f>
        <v/>
      </c>
    </row>
    <row r="15">
      <c r="A15" s="17" t="inlineStr">
        <is>
          <t>ožujak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  <c r="E15" s="7">
        <f>COUNTIFS(Raspored!$C$5:$C$52,$A15,Raspored!$G$5:$G$52,"x")</f>
        <v/>
      </c>
    </row>
    <row r="16">
      <c r="A16" s="17" t="inlineStr">
        <is>
          <t>travanj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  <c r="E16" s="7">
        <f>COUNTIFS(Raspored!$C$5:$C$52,$A16,Raspored!$G$5:$G$52,"x")</f>
        <v/>
      </c>
    </row>
    <row r="17">
      <c r="A17" s="17" t="inlineStr">
        <is>
          <t>svibanj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  <c r="E17" s="7">
        <f>COUNTIFS(Raspored!$C$5:$C$52,$A17,Raspored!$G$5:$G$52,"x")</f>
        <v/>
      </c>
    </row>
    <row r="18">
      <c r="A18" s="17" t="inlineStr">
        <is>
          <t>lipanj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  <c r="E18" s="7">
        <f>COUNTIFS(Raspored!$C$5:$C$52,$A18,Raspored!$G$5:$G$52,"x")</f>
        <v/>
      </c>
    </row>
    <row r="19">
      <c r="A19" s="17" t="inlineStr">
        <is>
          <t>srpanj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  <c r="E19" s="7">
        <f>COUNTIFS(Raspored!$C$5:$C$52,$A19,Raspored!$G$5:$G$52,"x")</f>
        <v/>
      </c>
    </row>
    <row r="20">
      <c r="A20" s="17" t="inlineStr">
        <is>
          <t>kolovoz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  <c r="E20" s="7">
        <f>COUNTIFS(Raspored!$C$5:$C$52,$A20,Raspored!$G$5:$G$52,"x")</f>
        <v/>
      </c>
    </row>
    <row r="21">
      <c r="A21" s="17" t="inlineStr">
        <is>
          <t>rujan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  <c r="E21" s="7">
        <f>COUNTIFS(Raspored!$C$5:$C$52,$A21,Raspored!$G$5:$G$52,"x")</f>
        <v/>
      </c>
    </row>
    <row r="22">
      <c r="A22" s="17" t="inlineStr">
        <is>
          <t>listopad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  <c r="E22" s="7">
        <f>COUNTIFS(Raspored!$C$5:$C$52,$A22,Raspored!$G$5:$G$52,"x")</f>
        <v/>
      </c>
    </row>
    <row r="23">
      <c r="A23" s="17" t="inlineStr">
        <is>
          <t>studeni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  <c r="E23" s="7">
        <f>COUNTIFS(Raspored!$C$5:$C$52,$A23,Raspored!$G$5:$G$52,"x")</f>
        <v/>
      </c>
    </row>
    <row r="24">
      <c r="A24" s="17" t="inlineStr">
        <is>
          <t>prosinac</t>
        </is>
      </c>
      <c r="B24" s="7">
        <f>COUNTIFS(Raspored!$C$5:$C$52,$A24,Raspored!$D$5:$D$52,"x")</f>
        <v/>
      </c>
      <c r="C24" s="7">
        <f>COUNTIFS(Raspored!$C$5:$C$52,$A24,Raspored!$E$5:$E$52,"x")</f>
        <v/>
      </c>
      <c r="D24" s="7">
        <f>COUNTIFS(Raspored!$C$5:$C$52,$A24,Raspored!$F$5:$F$52,"x")</f>
        <v/>
      </c>
      <c r="E24" s="7">
        <f>COUNTIFS(Raspored!$C$5:$C$52,$A24,Raspored!$G$5:$G$52,"x")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PDF ne navodi naselja po terenima; svoj teren (dan odvoza miješanog otpada: srijeda, četvrtak) provjerite kod Mull-Transa (049/587-837, info@mull-trans.hr). Mobilno reciklažno dvorište: 31.3., 31.7., 30.10. (lokacije i vrijeme u PDF-u). Izvor: https://mull-trans.hr/wp-content/uploads/2026/04/Opcina-Veliko-Trgovisce-raspored-odvoza-otpada-za-2026.pdf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39 (Veliko Trgovišće)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46120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46127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46134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46141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46148</v>
      </c>
      <c r="B21" s="7" t="inlineStr">
        <is>
          <t>srijeda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46155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46162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46169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46176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46183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46190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46197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46204</v>
      </c>
      <c r="B29" s="7" t="inlineStr">
        <is>
          <t>srijeda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46211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46218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46225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24" t="n">
        <v>46242</v>
      </c>
      <c r="B33" s="25" t="inlineStr">
        <is>
          <t>subota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inlineStr">
        <is>
          <t>Pomaknuto zbog neradnog dana u tjednu</t>
        </is>
      </c>
    </row>
    <row r="34">
      <c r="A34" s="6" t="n">
        <v>46246</v>
      </c>
      <c r="B34" s="7" t="inlineStr">
        <is>
          <t>srijeda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46253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46260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46274</v>
      </c>
      <c r="B37" s="7" t="inlineStr">
        <is>
          <t>srijeda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46281</v>
      </c>
      <c r="B38" s="7" t="inlineStr">
        <is>
          <t>srijeda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46288</v>
      </c>
      <c r="B39" s="7" t="inlineStr">
        <is>
          <t>srijeda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46295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46302</v>
      </c>
      <c r="B41" s="7" t="inlineStr">
        <is>
          <t>srijeda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46309</v>
      </c>
      <c r="B42" s="7" t="inlineStr">
        <is>
          <t>srijeda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46316</v>
      </c>
      <c r="B43" s="7" t="inlineStr">
        <is>
          <t>srijeda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46323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46330</v>
      </c>
      <c r="B45" s="7" t="inlineStr">
        <is>
          <t>srijeda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46337</v>
      </c>
      <c r="B46" s="7" t="inlineStr">
        <is>
          <t>srijeda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24" t="n">
        <v>46340</v>
      </c>
      <c r="B47" s="25" t="inlineStr">
        <is>
          <t>subota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inlineStr">
        <is>
          <t>Pomaknuto zbog neradnog dana u tjednu</t>
        </is>
      </c>
    </row>
    <row r="48">
      <c r="A48" s="6" t="n">
        <v>46351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46365</v>
      </c>
      <c r="B49" s="7" t="inlineStr">
        <is>
          <t>srijeda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46372</v>
      </c>
      <c r="B50" s="7" t="inlineStr">
        <is>
          <t>srijeda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46379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46386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</sheetData>
  <autoFilter ref="A4:H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G5:G52">
    <cfRule type="expression" priority="4" dxfId="3">
      <formula>G5="x"</formula>
    </cfRule>
  </conditionalFormatting>
  <conditionalFormatting sqref="A5:H5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46043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6" t="n">
        <v>46050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46057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46064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46071</v>
      </c>
      <c r="B9" s="17" t="inlineStr">
        <is>
          <t>srijeda</t>
        </is>
      </c>
      <c r="C9" s="9" t="inlineStr">
        <is>
          <t>Plastika i metal</t>
        </is>
      </c>
      <c r="D9" s="17" t="n"/>
    </row>
    <row r="10">
      <c r="A10" s="26" t="n">
        <v>46071</v>
      </c>
      <c r="B10" s="17" t="inlineStr">
        <is>
          <t>srijeda</t>
        </is>
      </c>
      <c r="C10" s="10" t="inlineStr">
        <is>
          <t>Papir i karton</t>
        </is>
      </c>
      <c r="D10" s="17" t="n"/>
    </row>
    <row r="11">
      <c r="A11" s="26" t="n">
        <v>46078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46078</v>
      </c>
      <c r="B12" s="17" t="inlineStr">
        <is>
          <t>srijeda</t>
        </is>
      </c>
      <c r="C12" s="11" t="inlineStr">
        <is>
          <t>Glomazni otpad</t>
        </is>
      </c>
      <c r="D12" s="17" t="n"/>
    </row>
    <row r="13">
      <c r="A13" s="26" t="n">
        <v>46085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46092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46099</v>
      </c>
      <c r="B15" s="17" t="inlineStr">
        <is>
          <t>srijeda</t>
        </is>
      </c>
      <c r="C15" s="9" t="inlineStr">
        <is>
          <t>Plastika i metal</t>
        </is>
      </c>
      <c r="D15" s="17" t="n"/>
    </row>
    <row r="16">
      <c r="A16" s="26" t="n">
        <v>46099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6" t="n">
        <v>46106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46120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46127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46134</v>
      </c>
      <c r="B20" s="17" t="inlineStr">
        <is>
          <t>srijeda</t>
        </is>
      </c>
      <c r="C20" s="9" t="inlineStr">
        <is>
          <t>Plastika i metal</t>
        </is>
      </c>
      <c r="D20" s="17" t="n"/>
    </row>
    <row r="21">
      <c r="A21" s="26" t="n">
        <v>46134</v>
      </c>
      <c r="B21" s="17" t="inlineStr">
        <is>
          <t>srijeda</t>
        </is>
      </c>
      <c r="C21" s="10" t="inlineStr">
        <is>
          <t>Papir i karton</t>
        </is>
      </c>
      <c r="D21" s="17" t="n"/>
    </row>
    <row r="22">
      <c r="A22" s="26" t="n">
        <v>46141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46148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46155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46162</v>
      </c>
      <c r="B25" s="17" t="inlineStr">
        <is>
          <t>srijeda</t>
        </is>
      </c>
      <c r="C25" s="9" t="inlineStr">
        <is>
          <t>Plastika i metal</t>
        </is>
      </c>
      <c r="D25" s="17" t="n"/>
    </row>
    <row r="26">
      <c r="A26" s="26" t="n">
        <v>46162</v>
      </c>
      <c r="B26" s="17" t="inlineStr">
        <is>
          <t>srijeda</t>
        </is>
      </c>
      <c r="C26" s="10" t="inlineStr">
        <is>
          <t>Papir i karton</t>
        </is>
      </c>
      <c r="D26" s="17" t="n"/>
    </row>
    <row r="27">
      <c r="A27" s="26" t="n">
        <v>46169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46176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46183</v>
      </c>
      <c r="B29" s="17" t="inlineStr">
        <is>
          <t>srijeda</t>
        </is>
      </c>
      <c r="C29" s="9" t="inlineStr">
        <is>
          <t>Plastika i metal</t>
        </is>
      </c>
      <c r="D29" s="17" t="n"/>
    </row>
    <row r="30">
      <c r="A30" s="26" t="n">
        <v>46183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6" t="n">
        <v>46190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46197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46204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46211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46218</v>
      </c>
      <c r="B35" s="17" t="inlineStr">
        <is>
          <t>srijeda</t>
        </is>
      </c>
      <c r="C35" s="9" t="inlineStr">
        <is>
          <t>Plastika i metal</t>
        </is>
      </c>
      <c r="D35" s="17" t="n"/>
    </row>
    <row r="36">
      <c r="A36" s="26" t="n">
        <v>46218</v>
      </c>
      <c r="B36" s="17" t="inlineStr">
        <is>
          <t>srijeda</t>
        </is>
      </c>
      <c r="C36" s="10" t="inlineStr">
        <is>
          <t>Papir i karton</t>
        </is>
      </c>
      <c r="D36" s="17" t="n"/>
    </row>
    <row r="37">
      <c r="A37" s="26" t="n">
        <v>46225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46242</v>
      </c>
      <c r="B38" s="17" t="inlineStr">
        <is>
          <t>subota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46246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46246</v>
      </c>
      <c r="B40" s="17" t="inlineStr">
        <is>
          <t>srijeda</t>
        </is>
      </c>
      <c r="C40" s="10" t="inlineStr">
        <is>
          <t>Papir i karton</t>
        </is>
      </c>
      <c r="D40" s="17" t="n"/>
    </row>
    <row r="41">
      <c r="A41" s="26" t="n">
        <v>46253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46260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46274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46281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46288</v>
      </c>
      <c r="B45" s="17" t="inlineStr">
        <is>
          <t>srijeda</t>
        </is>
      </c>
      <c r="C45" s="9" t="inlineStr">
        <is>
          <t>Plastika i metal</t>
        </is>
      </c>
      <c r="D45" s="17" t="n"/>
    </row>
    <row r="46">
      <c r="A46" s="26" t="n">
        <v>46288</v>
      </c>
      <c r="B46" s="17" t="inlineStr">
        <is>
          <t>srijeda</t>
        </is>
      </c>
      <c r="C46" s="10" t="inlineStr">
        <is>
          <t>Papir i karton</t>
        </is>
      </c>
      <c r="D46" s="17" t="n"/>
    </row>
    <row r="47">
      <c r="A47" s="26" t="n">
        <v>46295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46302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46309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46316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46316</v>
      </c>
      <c r="B51" s="17" t="inlineStr">
        <is>
          <t>srijeda</t>
        </is>
      </c>
      <c r="C51" s="10" t="inlineStr">
        <is>
          <t>Papir i karton</t>
        </is>
      </c>
      <c r="D51" s="17" t="n"/>
    </row>
    <row r="52">
      <c r="A52" s="26" t="n">
        <v>46323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46330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46337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6" t="n">
        <v>46337</v>
      </c>
      <c r="B55" s="17" t="inlineStr">
        <is>
          <t>srijeda</t>
        </is>
      </c>
      <c r="C55" s="10" t="inlineStr">
        <is>
          <t>Papir i karton</t>
        </is>
      </c>
      <c r="D55" s="17" t="n"/>
    </row>
    <row r="56">
      <c r="A56" s="26" t="n">
        <v>46340</v>
      </c>
      <c r="B56" s="17" t="inlineStr">
        <is>
          <t>subota</t>
        </is>
      </c>
      <c r="C56" s="5" t="inlineStr">
        <is>
          <t>Miješani komunalni otpad</t>
        </is>
      </c>
      <c r="D56" s="17" t="inlineStr">
        <is>
          <t>Pomaknuto zbog neradnog dana u tjednu</t>
        </is>
      </c>
    </row>
    <row r="57">
      <c r="A57" s="26" t="n">
        <v>46351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46365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46372</v>
      </c>
      <c r="B59" s="17" t="inlineStr">
        <is>
          <t>srijeda</t>
        </is>
      </c>
      <c r="C59" s="9" t="inlineStr">
        <is>
          <t>Plastika i metal</t>
        </is>
      </c>
      <c r="D59" s="17" t="n"/>
    </row>
    <row r="60">
      <c r="A60" s="26" t="n">
        <v>46372</v>
      </c>
      <c r="B60" s="17" t="inlineStr">
        <is>
          <t>srijeda</t>
        </is>
      </c>
      <c r="C60" s="10" t="inlineStr">
        <is>
          <t>Papir i karton</t>
        </is>
      </c>
      <c r="D60" s="17" t="n"/>
    </row>
    <row r="61">
      <c r="A61" s="26" t="n">
        <v>46379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46386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
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'Raspored'!$A$4:$H$43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9">
      <c r="A9" s="11" t="inlineStr">
        <is>
          <t>Glomazni otpad</t>
        </is>
      </c>
      <c r="B9" s="6">
        <f>IFERROR(1/(1/_xlfn.MINIFS(Raspored!$A$5:$A$43,Raspored!$G$5:$G$43,"x",Raspored!$A$5:$A$43,"&gt;="&amp;$B$3)),"nema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  <c r="E13" s="7">
        <f>COUNTIFS(Raspored!$C$5:$C$43,$A13,Raspored!$G$5:$G$43,"x")</f>
        <v/>
      </c>
    </row>
    <row r="14">
      <c r="A14" s="17" t="inlineStr">
        <is>
          <t>veljača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  <c r="E14" s="7">
        <f>COUNTIFS(Raspored!$C$5:$C$43,$A14,Raspored!$G$5:$G$43,"x")</f>
        <v/>
      </c>
    </row>
    <row r="15">
      <c r="A15" s="17" t="inlineStr">
        <is>
          <t>ožujak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  <c r="E15" s="7">
        <f>COUNTIFS(Raspored!$C$5:$C$43,$A15,Raspored!$G$5:$G$43,"x")</f>
        <v/>
      </c>
    </row>
    <row r="16">
      <c r="A16" s="17" t="inlineStr">
        <is>
          <t>travanj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  <c r="E16" s="7">
        <f>COUNTIFS(Raspored!$C$5:$C$43,$A16,Raspored!$G$5:$G$43,"x")</f>
        <v/>
      </c>
    </row>
    <row r="17">
      <c r="A17" s="17" t="inlineStr">
        <is>
          <t>svibanj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  <c r="E17" s="7">
        <f>COUNTIFS(Raspored!$C$5:$C$43,$A17,Raspored!$G$5:$G$43,"x")</f>
        <v/>
      </c>
    </row>
    <row r="18">
      <c r="A18" s="17" t="inlineStr">
        <is>
          <t>lipanj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  <c r="E18" s="7">
        <f>COUNTIFS(Raspored!$C$5:$C$43,$A18,Raspored!$G$5:$G$43,"x")</f>
        <v/>
      </c>
    </row>
    <row r="19">
      <c r="A19" s="17" t="inlineStr">
        <is>
          <t>srpanj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  <c r="E19" s="7">
        <f>COUNTIFS(Raspored!$C$5:$C$43,$A19,Raspored!$G$5:$G$43,"x")</f>
        <v/>
      </c>
    </row>
    <row r="20">
      <c r="A20" s="17" t="inlineStr">
        <is>
          <t>kolovoz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  <c r="E20" s="7">
        <f>COUNTIFS(Raspored!$C$5:$C$43,$A20,Raspored!$G$5:$G$43,"x")</f>
        <v/>
      </c>
    </row>
    <row r="21">
      <c r="A21" s="17" t="inlineStr">
        <is>
          <t>rujan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  <c r="E21" s="7">
        <f>COUNTIFS(Raspored!$C$5:$C$43,$A21,Raspored!$G$5:$G$43,"x")</f>
        <v/>
      </c>
    </row>
    <row r="22">
      <c r="A22" s="17" t="inlineStr">
        <is>
          <t>listopad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  <c r="E22" s="7">
        <f>COUNTIFS(Raspored!$C$5:$C$43,$A22,Raspored!$G$5:$G$43,"x")</f>
        <v/>
      </c>
    </row>
    <row r="23">
      <c r="A23" s="17" t="inlineStr">
        <is>
          <t>studeni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  <c r="E23" s="7">
        <f>COUNTIFS(Raspored!$C$5:$C$43,$A23,Raspored!$G$5:$G$43,"x")</f>
        <v/>
      </c>
    </row>
    <row r="24">
      <c r="A24" s="17" t="inlineStr">
        <is>
          <t>prosinac</t>
        </is>
      </c>
      <c r="B24" s="7">
        <f>COUNTIFS(Raspored!$C$5:$C$43,$A24,Raspored!$D$5:$D$43,"x")</f>
        <v/>
      </c>
      <c r="C24" s="7">
        <f>COUNTIFS(Raspored!$C$5:$C$43,$A24,Raspored!$E$5:$E$43,"x")</f>
        <v/>
      </c>
      <c r="D24" s="7">
        <f>COUNTIFS(Raspored!$C$5:$C$43,$A24,Raspored!$F$5:$F$43,"x")</f>
        <v/>
      </c>
      <c r="E24" s="7">
        <f>COUNTIFS(Raspored!$C$5:$C$43,$A24,Raspored!$G$5:$G$43,"x")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Mobilno reciklažno dvorište: 11.2., 13.5., 12.8., 9.11. (lokacije i vrijeme u PDF-u). Izvor: https://mull-trans.hr/wp-content/uploads/2026/04/OPCINA-SOPJE-raspored-odvoza-otpada-za-2026.pdf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46 (Sopje)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46080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46085</v>
      </c>
      <c r="B12" s="7" t="inlineStr">
        <is>
          <t>srijeda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46094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46097</v>
      </c>
      <c r="B14" s="7" t="inlineStr">
        <is>
          <t>ponedjeljak</t>
        </is>
      </c>
      <c r="C14" s="7" t="inlineStr">
        <is>
          <t>ožujak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46108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46113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46122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46136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46148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46150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46164</v>
      </c>
      <c r="B21" s="7" t="inlineStr">
        <is>
          <t>petak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46176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46178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46192</v>
      </c>
      <c r="B24" s="7" t="inlineStr">
        <is>
          <t>petak</t>
        </is>
      </c>
      <c r="C24" s="7" t="inlineStr">
        <is>
          <t>lipanj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46204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46206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46220</v>
      </c>
      <c r="B27" s="7" t="inlineStr">
        <is>
          <t>petak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46234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24" t="n">
        <v>46242</v>
      </c>
      <c r="B29" s="25" t="inlineStr">
        <is>
          <t>subota</t>
        </is>
      </c>
      <c r="C29" s="7" t="inlineStr">
        <is>
          <t>kolovoz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inlineStr">
        <is>
          <t>Pomaknuto zbog neradnog dana u tjednu</t>
        </is>
      </c>
    </row>
    <row r="30">
      <c r="A30" s="6" t="n">
        <v>46248</v>
      </c>
      <c r="B30" s="7" t="inlineStr">
        <is>
          <t>petak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46262</v>
      </c>
      <c r="B31" s="7" t="inlineStr">
        <is>
          <t>petak</t>
        </is>
      </c>
      <c r="C31" s="7" t="inlineStr">
        <is>
          <t>kolovoz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46267</v>
      </c>
      <c r="B32" s="7" t="inlineStr">
        <is>
          <t>srijeda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46276</v>
      </c>
      <c r="B33" s="7" t="inlineStr">
        <is>
          <t>petak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46290</v>
      </c>
      <c r="B34" s="7" t="inlineStr">
        <is>
          <t>petak</t>
        </is>
      </c>
      <c r="C34" s="7" t="inlineStr">
        <is>
          <t>rujan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46302</v>
      </c>
      <c r="B35" s="7" t="inlineStr">
        <is>
          <t>srijeda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46304</v>
      </c>
      <c r="B36" s="7" t="inlineStr">
        <is>
          <t>petak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46318</v>
      </c>
      <c r="B37" s="7" t="inlineStr">
        <is>
          <t>petak</t>
        </is>
      </c>
      <c r="C37" s="7" t="inlineStr">
        <is>
          <t>listopad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46330</v>
      </c>
      <c r="B38" s="7" t="inlineStr">
        <is>
          <t>srijeda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46332</v>
      </c>
      <c r="B39" s="7" t="inlineStr">
        <is>
          <t>petak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46346</v>
      </c>
      <c r="B40" s="7" t="inlineStr">
        <is>
          <t>petak</t>
        </is>
      </c>
      <c r="C40" s="7" t="inlineStr">
        <is>
          <t>studeni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46358</v>
      </c>
      <c r="B41" s="7" t="inlineStr">
        <is>
          <t>srijeda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46360</v>
      </c>
      <c r="B42" s="7" t="inlineStr">
        <is>
          <t>petak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46374</v>
      </c>
      <c r="B43" s="7" t="inlineStr">
        <is>
          <t>petak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7" t="n"/>
      <c r="H43" s="23" t="n"/>
    </row>
  </sheetData>
  <autoFilter ref="A4:H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G5:G43">
    <cfRule type="expression" priority="4" dxfId="3">
      <formula>G5="x"</formula>
    </cfRule>
  </conditionalFormatting>
  <conditionalFormatting sqref="A5:H4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9" t="inlineStr">
        <is>
          <t>Plastika i metal</t>
        </is>
      </c>
      <c r="D3" s="17" t="n"/>
    </row>
    <row r="4">
      <c r="A4" s="26" t="n">
        <v>46029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46038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46052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46057</v>
      </c>
      <c r="B7" s="17" t="inlineStr">
        <is>
          <t>srijeda</t>
        </is>
      </c>
      <c r="C7" s="9" t="inlineStr">
        <is>
          <t>Plastika i metal</t>
        </is>
      </c>
      <c r="D7" s="17" t="n"/>
    </row>
    <row r="8">
      <c r="A8" s="26" t="n">
        <v>46057</v>
      </c>
      <c r="B8" s="17" t="inlineStr">
        <is>
          <t>srijeda</t>
        </is>
      </c>
      <c r="C8" s="10" t="inlineStr">
        <is>
          <t>Papir i karton</t>
        </is>
      </c>
      <c r="D8" s="17" t="n"/>
    </row>
    <row r="9">
      <c r="A9" s="26" t="n">
        <v>46066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46080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46085</v>
      </c>
      <c r="B11" s="17" t="inlineStr">
        <is>
          <t>srijeda</t>
        </is>
      </c>
      <c r="C11" s="9" t="inlineStr">
        <is>
          <t>Plastika i metal</t>
        </is>
      </c>
      <c r="D11" s="17" t="n"/>
    </row>
    <row r="12">
      <c r="A12" s="26" t="n">
        <v>46085</v>
      </c>
      <c r="B12" s="17" t="inlineStr">
        <is>
          <t>srijeda</t>
        </is>
      </c>
      <c r="C12" s="10" t="inlineStr">
        <is>
          <t>Papir i karton</t>
        </is>
      </c>
      <c r="D12" s="17" t="n"/>
    </row>
    <row r="13">
      <c r="A13" s="26" t="n">
        <v>46094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46097</v>
      </c>
      <c r="B14" s="17" t="inlineStr">
        <is>
          <t>ponedjeljak</t>
        </is>
      </c>
      <c r="C14" s="11" t="inlineStr">
        <is>
          <t>Glomazni otpad</t>
        </is>
      </c>
      <c r="D14" s="17" t="n"/>
    </row>
    <row r="15">
      <c r="A15" s="26" t="n">
        <v>46108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46113</v>
      </c>
      <c r="B16" s="17" t="inlineStr">
        <is>
          <t>srijeda</t>
        </is>
      </c>
      <c r="C16" s="9" t="inlineStr">
        <is>
          <t>Plastika i metal</t>
        </is>
      </c>
      <c r="D16" s="17" t="n"/>
    </row>
    <row r="17">
      <c r="A17" s="26" t="n">
        <v>46113</v>
      </c>
      <c r="B17" s="17" t="inlineStr">
        <is>
          <t>srijeda</t>
        </is>
      </c>
      <c r="C17" s="10" t="inlineStr">
        <is>
          <t>Papir i karton</t>
        </is>
      </c>
      <c r="D17" s="17" t="n"/>
    </row>
    <row r="18">
      <c r="A18" s="26" t="n">
        <v>46122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46136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46148</v>
      </c>
      <c r="B20" s="17" t="inlineStr">
        <is>
          <t>srijeda</t>
        </is>
      </c>
      <c r="C20" s="9" t="inlineStr">
        <is>
          <t>Plastika i metal</t>
        </is>
      </c>
      <c r="D20" s="17" t="n"/>
    </row>
    <row r="21">
      <c r="A21" s="26" t="n">
        <v>46148</v>
      </c>
      <c r="B21" s="17" t="inlineStr">
        <is>
          <t>srijeda</t>
        </is>
      </c>
      <c r="C21" s="10" t="inlineStr">
        <is>
          <t>Papir i karton</t>
        </is>
      </c>
      <c r="D21" s="17" t="n"/>
    </row>
    <row r="22">
      <c r="A22" s="26" t="n">
        <v>46150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46164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46176</v>
      </c>
      <c r="B24" s="17" t="inlineStr">
        <is>
          <t>srijeda</t>
        </is>
      </c>
      <c r="C24" s="9" t="inlineStr">
        <is>
          <t>Plastika i metal</t>
        </is>
      </c>
      <c r="D24" s="17" t="n"/>
    </row>
    <row r="25">
      <c r="A25" s="26" t="n">
        <v>46176</v>
      </c>
      <c r="B25" s="17" t="inlineStr">
        <is>
          <t>srijeda</t>
        </is>
      </c>
      <c r="C25" s="10" t="inlineStr">
        <is>
          <t>Papir i karton</t>
        </is>
      </c>
      <c r="D25" s="17" t="n"/>
    </row>
    <row r="26">
      <c r="A26" s="26" t="n">
        <v>46178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46192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46204</v>
      </c>
      <c r="B28" s="17" t="inlineStr">
        <is>
          <t>srijeda</t>
        </is>
      </c>
      <c r="C28" s="9" t="inlineStr">
        <is>
          <t>Plastika i metal</t>
        </is>
      </c>
      <c r="D28" s="17" t="n"/>
    </row>
    <row r="29">
      <c r="A29" s="26" t="n">
        <v>46204</v>
      </c>
      <c r="B29" s="17" t="inlineStr">
        <is>
          <t>srijeda</t>
        </is>
      </c>
      <c r="C29" s="10" t="inlineStr">
        <is>
          <t>Papir i karton</t>
        </is>
      </c>
      <c r="D29" s="17" t="n"/>
    </row>
    <row r="30">
      <c r="A30" s="26" t="n">
        <v>46206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46220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46234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46242</v>
      </c>
      <c r="B33" s="17" t="inlineStr">
        <is>
          <t>subota</t>
        </is>
      </c>
      <c r="C33" s="9" t="inlineStr">
        <is>
          <t>Plastika i metal</t>
        </is>
      </c>
      <c r="D33" s="17" t="inlineStr">
        <is>
          <t>Pomaknuto zbog neradnog dana u tjednu</t>
        </is>
      </c>
    </row>
    <row r="34">
      <c r="A34" s="26" t="n">
        <v>46242</v>
      </c>
      <c r="B34" s="17" t="inlineStr">
        <is>
          <t>subota</t>
        </is>
      </c>
      <c r="C34" s="10" t="inlineStr">
        <is>
          <t>Papir i karton</t>
        </is>
      </c>
      <c r="D34" s="17" t="inlineStr">
        <is>
          <t>Pomaknuto zbog neradnog dana u tjednu</t>
        </is>
      </c>
    </row>
    <row r="35">
      <c r="A35" s="26" t="n">
        <v>46248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46262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46267</v>
      </c>
      <c r="B37" s="17" t="inlineStr">
        <is>
          <t>srijeda</t>
        </is>
      </c>
      <c r="C37" s="9" t="inlineStr">
        <is>
          <t>Plastika i metal</t>
        </is>
      </c>
      <c r="D37" s="17" t="n"/>
    </row>
    <row r="38">
      <c r="A38" s="26" t="n">
        <v>46267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6" t="n">
        <v>46276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46290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46302</v>
      </c>
      <c r="B41" s="17" t="inlineStr">
        <is>
          <t>srijeda</t>
        </is>
      </c>
      <c r="C41" s="9" t="inlineStr">
        <is>
          <t>Plastika i metal</t>
        </is>
      </c>
      <c r="D41" s="17" t="n"/>
    </row>
    <row r="42">
      <c r="A42" s="26" t="n">
        <v>46302</v>
      </c>
      <c r="B42" s="17" t="inlineStr">
        <is>
          <t>srijeda</t>
        </is>
      </c>
      <c r="C42" s="10" t="inlineStr">
        <is>
          <t>Papir i karton</t>
        </is>
      </c>
      <c r="D42" s="17" t="n"/>
    </row>
    <row r="43">
      <c r="A43" s="26" t="n">
        <v>46304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46318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46330</v>
      </c>
      <c r="B45" s="17" t="inlineStr">
        <is>
          <t>srijeda</t>
        </is>
      </c>
      <c r="C45" s="9" t="inlineStr">
        <is>
          <t>Plastika i metal</t>
        </is>
      </c>
      <c r="D45" s="17" t="n"/>
    </row>
    <row r="46">
      <c r="A46" s="26" t="n">
        <v>46330</v>
      </c>
      <c r="B46" s="17" t="inlineStr">
        <is>
          <t>srijeda</t>
        </is>
      </c>
      <c r="C46" s="10" t="inlineStr">
        <is>
          <t>Papir i karton</t>
        </is>
      </c>
      <c r="D46" s="17" t="n"/>
    </row>
    <row r="47">
      <c r="A47" s="26" t="n">
        <v>46332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46346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46358</v>
      </c>
      <c r="B49" s="17" t="inlineStr">
        <is>
          <t>srijeda</t>
        </is>
      </c>
      <c r="C49" s="9" t="inlineStr">
        <is>
          <t>Plastika i metal</t>
        </is>
      </c>
      <c r="D49" s="17" t="n"/>
    </row>
    <row r="50">
      <c r="A50" s="26" t="n">
        <v>46358</v>
      </c>
      <c r="B50" s="17" t="inlineStr">
        <is>
          <t>srijeda</t>
        </is>
      </c>
      <c r="C50" s="10" t="inlineStr">
        <is>
          <t>Papir i karton</t>
        </is>
      </c>
      <c r="D50" s="17" t="n"/>
    </row>
    <row r="51">
      <c r="A51" s="26" t="n">
        <v>46360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46374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</sheetData>
  <autoFilter ref="A1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
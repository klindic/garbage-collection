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'Raspored'!$A$4:$H$52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9">
      <c r="A9" s="11" t="inlineStr">
        <is>
          <t>Glomazni otpad</t>
        </is>
      </c>
      <c r="B9" s="6">
        <f>IFERROR(1/(1/_xlfn.MINIFS(Raspored!$A$5:$A$52,Raspored!$G$5:$G$52,"x",Raspored!$A$5:$A$52,"&gt;="&amp;$B$3)),"nema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  <c r="E13" s="7">
        <f>COUNTIFS(Raspored!$C$5:$C$52,$A13,Raspored!$G$5:$G$52,"x")</f>
        <v/>
      </c>
    </row>
    <row r="14">
      <c r="A14" s="17" t="inlineStr">
        <is>
          <t>veljača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  <c r="E14" s="7">
        <f>COUNTIFS(Raspored!$C$5:$C$52,$A14,Raspored!$G$5:$G$52,"x")</f>
        <v/>
      </c>
    </row>
    <row r="15">
      <c r="A15" s="17" t="inlineStr">
        <is>
          <t>ožujak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  <c r="E15" s="7">
        <f>COUNTIFS(Raspored!$C$5:$C$52,$A15,Raspored!$G$5:$G$52,"x")</f>
        <v/>
      </c>
    </row>
    <row r="16">
      <c r="A16" s="17" t="inlineStr">
        <is>
          <t>travanj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  <c r="E16" s="7">
        <f>COUNTIFS(Raspored!$C$5:$C$52,$A16,Raspored!$G$5:$G$52,"x")</f>
        <v/>
      </c>
    </row>
    <row r="17">
      <c r="A17" s="17" t="inlineStr">
        <is>
          <t>svibanj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  <c r="E17" s="7">
        <f>COUNTIFS(Raspored!$C$5:$C$52,$A17,Raspored!$G$5:$G$52,"x")</f>
        <v/>
      </c>
    </row>
    <row r="18">
      <c r="A18" s="17" t="inlineStr">
        <is>
          <t>lipanj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  <c r="E18" s="7">
        <f>COUNTIFS(Raspored!$C$5:$C$52,$A18,Raspored!$G$5:$G$52,"x")</f>
        <v/>
      </c>
    </row>
    <row r="19">
      <c r="A19" s="17" t="inlineStr">
        <is>
          <t>srpanj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  <c r="E19" s="7">
        <f>COUNTIFS(Raspored!$C$5:$C$52,$A19,Raspored!$G$5:$G$52,"x")</f>
        <v/>
      </c>
    </row>
    <row r="20">
      <c r="A20" s="17" t="inlineStr">
        <is>
          <t>kolovoz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  <c r="E20" s="7">
        <f>COUNTIFS(Raspored!$C$5:$C$52,$A20,Raspored!$G$5:$G$52,"x")</f>
        <v/>
      </c>
    </row>
    <row r="21">
      <c r="A21" s="17" t="inlineStr">
        <is>
          <t>rujan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  <c r="E21" s="7">
        <f>COUNTIFS(Raspored!$C$5:$C$52,$A21,Raspored!$G$5:$G$52,"x")</f>
        <v/>
      </c>
    </row>
    <row r="22">
      <c r="A22" s="17" t="inlineStr">
        <is>
          <t>listopad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  <c r="E22" s="7">
        <f>COUNTIFS(Raspored!$C$5:$C$52,$A22,Raspored!$G$5:$G$52,"x")</f>
        <v/>
      </c>
    </row>
    <row r="23">
      <c r="A23" s="17" t="inlineStr">
        <is>
          <t>studeni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  <c r="E23" s="7">
        <f>COUNTIFS(Raspored!$C$5:$C$52,$A23,Raspored!$G$5:$G$52,"x")</f>
        <v/>
      </c>
    </row>
    <row r="24">
      <c r="A24" s="17" t="inlineStr">
        <is>
          <t>prosinac</t>
        </is>
      </c>
      <c r="B24" s="7">
        <f>COUNTIFS(Raspored!$C$5:$C$52,$A24,Raspored!$D$5:$D$52,"x")</f>
        <v/>
      </c>
      <c r="C24" s="7">
        <f>COUNTIFS(Raspored!$C$5:$C$52,$A24,Raspored!$E$5:$E$52,"x")</f>
        <v/>
      </c>
      <c r="D24" s="7">
        <f>COUNTIFS(Raspored!$C$5:$C$52,$A24,Raspored!$F$5:$F$52,"x")</f>
        <v/>
      </c>
      <c r="E24" s="7">
        <f>COUNTIFS(Raspored!$C$5:$C$52,$A24,Raspored!$G$5:$G$52,"x")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PDF ne navodi naselja po terenima; svoj teren (dan odvoza miješanog otpada: ponedjeljak, srijeda) provjerite kod Mull-Transa (049/587-837, info@mull-trans.hr). Mobilno reciklažno dvorište: 8.5., 10.7., 9.10. (lokacije i vrijeme u PDF-u). Izvor: https://mull-trans.hr/wp-content/uploads/2026/04/Opcina-Krapinske-Toplice-raspored-za-2026.pdf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36 (Krapinske Toplice)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24" t="n">
        <v>46116</v>
      </c>
      <c r="B17" s="25" t="inlineStr">
        <is>
          <t>subota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inlineStr">
        <is>
          <t>Pomaknuto zbog neradnog dana u tjednu</t>
        </is>
      </c>
    </row>
    <row r="18">
      <c r="A18" s="6" t="n">
        <v>46127</v>
      </c>
      <c r="B18" s="7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46132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46139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46155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46160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46167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46190</v>
      </c>
      <c r="B27" s="7" t="inlineStr">
        <is>
          <t>srijeda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24" t="n">
        <v>46193</v>
      </c>
      <c r="B28" s="25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inlineStr">
        <is>
          <t>Pomaknuto zbog neradnog dana u tjednu</t>
        </is>
      </c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46218</v>
      </c>
      <c r="B30" s="7" t="inlineStr">
        <is>
          <t>srijeda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46223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46230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46237</v>
      </c>
      <c r="B33" s="7" t="inlineStr">
        <is>
          <t>ponedjeljak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46246</v>
      </c>
      <c r="B34" s="7" t="inlineStr">
        <is>
          <t>srijeda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46251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46258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46272</v>
      </c>
      <c r="B37" s="7" t="inlineStr">
        <is>
          <t>ponedjeljak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46281</v>
      </c>
      <c r="B38" s="7" t="inlineStr">
        <is>
          <t>srijeda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46286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46293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46300</v>
      </c>
      <c r="B41" s="7" t="inlineStr">
        <is>
          <t>ponedjeljak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46309</v>
      </c>
      <c r="B42" s="7" t="inlineStr">
        <is>
          <t>srijeda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46314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46321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46328</v>
      </c>
      <c r="B45" s="7" t="inlineStr">
        <is>
          <t>ponedjeljak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46337</v>
      </c>
      <c r="B46" s="7" t="inlineStr">
        <is>
          <t>srijeda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46342</v>
      </c>
      <c r="B47" s="7" t="inlineStr">
        <is>
          <t>ponedjeljak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46349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46363</v>
      </c>
      <c r="B49" s="7" t="inlineStr">
        <is>
          <t>ponedjeljak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46372</v>
      </c>
      <c r="B50" s="7" t="inlineStr">
        <is>
          <t>srijeda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46377</v>
      </c>
      <c r="B51" s="7" t="inlineStr">
        <is>
          <t>ponedjeljak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46384</v>
      </c>
      <c r="B52" s="7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</sheetData>
  <autoFilter ref="A4:H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G5:G52">
    <cfRule type="expression" priority="4" dxfId="3">
      <formula>G5="x"</formula>
    </cfRule>
  </conditionalFormatting>
  <conditionalFormatting sqref="A5:H5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46043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6" t="n">
        <v>46043</v>
      </c>
      <c r="B5" s="17" t="inlineStr">
        <is>
          <t>srijeda</t>
        </is>
      </c>
      <c r="C5" s="10" t="inlineStr">
        <is>
          <t>Papir i karton</t>
        </is>
      </c>
      <c r="D5" s="17" t="n"/>
    </row>
    <row r="6">
      <c r="A6" s="26" t="n">
        <v>46048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46055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46064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6" t="n">
        <v>46064</v>
      </c>
      <c r="B9" s="17" t="inlineStr">
        <is>
          <t>srijeda</t>
        </is>
      </c>
      <c r="C9" s="10" t="inlineStr">
        <is>
          <t>Papir i karton</t>
        </is>
      </c>
      <c r="D9" s="17" t="n"/>
    </row>
    <row r="10">
      <c r="A10" s="26" t="n">
        <v>46069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46076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46083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46090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46099</v>
      </c>
      <c r="B14" s="17" t="inlineStr">
        <is>
          <t>srijeda</t>
        </is>
      </c>
      <c r="C14" s="9" t="inlineStr">
        <is>
          <t>Plastika i metal</t>
        </is>
      </c>
      <c r="D14" s="17" t="n"/>
    </row>
    <row r="15">
      <c r="A15" s="26" t="n">
        <v>46099</v>
      </c>
      <c r="B15" s="17" t="inlineStr">
        <is>
          <t>srijeda</t>
        </is>
      </c>
      <c r="C15" s="10" t="inlineStr">
        <is>
          <t>Papir i karton</t>
        </is>
      </c>
      <c r="D15" s="17" t="n"/>
    </row>
    <row r="16">
      <c r="A16" s="26" t="n">
        <v>46104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46116</v>
      </c>
      <c r="B17" s="17" t="inlineStr">
        <is>
          <t>subota</t>
        </is>
      </c>
      <c r="C17" s="5" t="inlineStr">
        <is>
          <t>Miješani komunalni otpad</t>
        </is>
      </c>
      <c r="D17" s="17" t="inlineStr">
        <is>
          <t>Pomaknuto zbog neradnog dana u tjednu</t>
        </is>
      </c>
    </row>
    <row r="18">
      <c r="A18" s="26" t="n">
        <v>46127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46127</v>
      </c>
      <c r="B19" s="17" t="inlineStr">
        <is>
          <t>srijeda</t>
        </is>
      </c>
      <c r="C19" s="10" t="inlineStr">
        <is>
          <t>Papir i karton</t>
        </is>
      </c>
      <c r="D19" s="17" t="n"/>
    </row>
    <row r="20">
      <c r="A20" s="26" t="n">
        <v>46132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46139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46146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46155</v>
      </c>
      <c r="B23" s="17" t="inlineStr">
        <is>
          <t>srijeda</t>
        </is>
      </c>
      <c r="C23" s="9" t="inlineStr">
        <is>
          <t>Plastika i metal</t>
        </is>
      </c>
      <c r="D23" s="17" t="n"/>
    </row>
    <row r="24">
      <c r="A24" s="26" t="n">
        <v>46155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6" t="n">
        <v>46160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46167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46174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46181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46181</v>
      </c>
      <c r="B29" s="17" t="inlineStr">
        <is>
          <t>ponedjeljak</t>
        </is>
      </c>
      <c r="C29" s="11" t="inlineStr">
        <is>
          <t>Glomazni otpad</t>
        </is>
      </c>
      <c r="D29" s="17" t="n"/>
    </row>
    <row r="30">
      <c r="A30" s="26" t="n">
        <v>46190</v>
      </c>
      <c r="B30" s="17" t="inlineStr">
        <is>
          <t>srijeda</t>
        </is>
      </c>
      <c r="C30" s="9" t="inlineStr">
        <is>
          <t>Plastika i metal</t>
        </is>
      </c>
      <c r="D30" s="17" t="n"/>
    </row>
    <row r="31">
      <c r="A31" s="26" t="n">
        <v>46190</v>
      </c>
      <c r="B31" s="17" t="inlineStr">
        <is>
          <t>srijeda</t>
        </is>
      </c>
      <c r="C31" s="10" t="inlineStr">
        <is>
          <t>Papir i karton</t>
        </is>
      </c>
      <c r="D31" s="17" t="n"/>
    </row>
    <row r="32">
      <c r="A32" s="26" t="n">
        <v>46193</v>
      </c>
      <c r="B32" s="17" t="inlineStr">
        <is>
          <t>subota</t>
        </is>
      </c>
      <c r="C32" s="5" t="inlineStr">
        <is>
          <t>Miješani komunalni otpad</t>
        </is>
      </c>
      <c r="D32" s="17" t="inlineStr">
        <is>
          <t>Pomaknuto zbog neradnog dana u tjednu</t>
        </is>
      </c>
    </row>
    <row r="33">
      <c r="A33" s="26" t="n">
        <v>46209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46218</v>
      </c>
      <c r="B34" s="17" t="inlineStr">
        <is>
          <t>srijeda</t>
        </is>
      </c>
      <c r="C34" s="9" t="inlineStr">
        <is>
          <t>Plastika i metal</t>
        </is>
      </c>
      <c r="D34" s="17" t="n"/>
    </row>
    <row r="35">
      <c r="A35" s="26" t="n">
        <v>46218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46223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46230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46237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46246</v>
      </c>
      <c r="B39" s="17" t="inlineStr">
        <is>
          <t>srijeda</t>
        </is>
      </c>
      <c r="C39" s="9" t="inlineStr">
        <is>
          <t>Plastika i metal</t>
        </is>
      </c>
      <c r="D39" s="17" t="n"/>
    </row>
    <row r="40">
      <c r="A40" s="26" t="n">
        <v>46246</v>
      </c>
      <c r="B40" s="17" t="inlineStr">
        <is>
          <t>srijeda</t>
        </is>
      </c>
      <c r="C40" s="10" t="inlineStr">
        <is>
          <t>Papir i karton</t>
        </is>
      </c>
      <c r="D40" s="17" t="n"/>
    </row>
    <row r="41">
      <c r="A41" s="26" t="n">
        <v>46251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46258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46272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46281</v>
      </c>
      <c r="B44" s="17" t="inlineStr">
        <is>
          <t>srijeda</t>
        </is>
      </c>
      <c r="C44" s="9" t="inlineStr">
        <is>
          <t>Plastika i metal</t>
        </is>
      </c>
      <c r="D44" s="17" t="n"/>
    </row>
    <row r="45">
      <c r="A45" s="26" t="n">
        <v>46281</v>
      </c>
      <c r="B45" s="17" t="inlineStr">
        <is>
          <t>srijeda</t>
        </is>
      </c>
      <c r="C45" s="10" t="inlineStr">
        <is>
          <t>Papir i karton</t>
        </is>
      </c>
      <c r="D45" s="17" t="n"/>
    </row>
    <row r="46">
      <c r="A46" s="26" t="n">
        <v>46286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46293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46300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46309</v>
      </c>
      <c r="B49" s="17" t="inlineStr">
        <is>
          <t>srijeda</t>
        </is>
      </c>
      <c r="C49" s="9" t="inlineStr">
        <is>
          <t>Plastika i metal</t>
        </is>
      </c>
      <c r="D49" s="17" t="n"/>
    </row>
    <row r="50">
      <c r="A50" s="26" t="n">
        <v>46309</v>
      </c>
      <c r="B50" s="17" t="inlineStr">
        <is>
          <t>srijeda</t>
        </is>
      </c>
      <c r="C50" s="10" t="inlineStr">
        <is>
          <t>Papir i karton</t>
        </is>
      </c>
      <c r="D50" s="17" t="n"/>
    </row>
    <row r="51">
      <c r="A51" s="26" t="n">
        <v>46314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46321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46328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46337</v>
      </c>
      <c r="B54" s="17" t="inlineStr">
        <is>
          <t>srijeda</t>
        </is>
      </c>
      <c r="C54" s="9" t="inlineStr">
        <is>
          <t>Plastika i metal</t>
        </is>
      </c>
      <c r="D54" s="17" t="n"/>
    </row>
    <row r="55">
      <c r="A55" s="26" t="n">
        <v>46337</v>
      </c>
      <c r="B55" s="17" t="inlineStr">
        <is>
          <t>srijeda</t>
        </is>
      </c>
      <c r="C55" s="10" t="inlineStr">
        <is>
          <t>Papir i karton</t>
        </is>
      </c>
      <c r="D55" s="17" t="n"/>
    </row>
    <row r="56">
      <c r="A56" s="26" t="n">
        <v>46342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46349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46363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46372</v>
      </c>
      <c r="B59" s="17" t="inlineStr">
        <is>
          <t>srijeda</t>
        </is>
      </c>
      <c r="C59" s="9" t="inlineStr">
        <is>
          <t>Plastika i metal</t>
        </is>
      </c>
      <c r="D59" s="17" t="n"/>
    </row>
    <row r="60">
      <c r="A60" s="26" t="n">
        <v>46372</v>
      </c>
      <c r="B60" s="17" t="inlineStr">
        <is>
          <t>srijeda</t>
        </is>
      </c>
      <c r="C60" s="10" t="inlineStr">
        <is>
          <t>Papir i karton</t>
        </is>
      </c>
      <c r="D60" s="17" t="n"/>
    </row>
    <row r="61">
      <c r="A61" s="26" t="n">
        <v>46377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46384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
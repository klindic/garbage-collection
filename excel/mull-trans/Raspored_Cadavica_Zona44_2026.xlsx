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'Raspored'!$A$4:$H$43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9">
      <c r="A9" s="11" t="inlineStr">
        <is>
          <t>Glomazni otpad</t>
        </is>
      </c>
      <c r="B9" s="6">
        <f>IFERROR(1/(1/_xlfn.MINIFS(Raspored!$A$5:$A$43,Raspored!$G$5:$G$43,"x",Raspored!$A$5:$A$43,"&gt;="&amp;$B$3)),"nema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  <c r="E13" s="7">
        <f>COUNTIFS(Raspored!$C$5:$C$43,$A13,Raspored!$G$5:$G$43,"x")</f>
        <v/>
      </c>
    </row>
    <row r="14">
      <c r="A14" s="17" t="inlineStr">
        <is>
          <t>veljača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  <c r="E14" s="7">
        <f>COUNTIFS(Raspored!$C$5:$C$43,$A14,Raspored!$G$5:$G$43,"x")</f>
        <v/>
      </c>
    </row>
    <row r="15">
      <c r="A15" s="17" t="inlineStr">
        <is>
          <t>ožujak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  <c r="E15" s="7">
        <f>COUNTIFS(Raspored!$C$5:$C$43,$A15,Raspored!$G$5:$G$43,"x")</f>
        <v/>
      </c>
    </row>
    <row r="16">
      <c r="A16" s="17" t="inlineStr">
        <is>
          <t>travanj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  <c r="E16" s="7">
        <f>COUNTIFS(Raspored!$C$5:$C$43,$A16,Raspored!$G$5:$G$43,"x")</f>
        <v/>
      </c>
    </row>
    <row r="17">
      <c r="A17" s="17" t="inlineStr">
        <is>
          <t>svibanj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  <c r="E17" s="7">
        <f>COUNTIFS(Raspored!$C$5:$C$43,$A17,Raspored!$G$5:$G$43,"x")</f>
        <v/>
      </c>
    </row>
    <row r="18">
      <c r="A18" s="17" t="inlineStr">
        <is>
          <t>lipanj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  <c r="E18" s="7">
        <f>COUNTIFS(Raspored!$C$5:$C$43,$A18,Raspored!$G$5:$G$43,"x")</f>
        <v/>
      </c>
    </row>
    <row r="19">
      <c r="A19" s="17" t="inlineStr">
        <is>
          <t>srpanj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  <c r="E19" s="7">
        <f>COUNTIFS(Raspored!$C$5:$C$43,$A19,Raspored!$G$5:$G$43,"x")</f>
        <v/>
      </c>
    </row>
    <row r="20">
      <c r="A20" s="17" t="inlineStr">
        <is>
          <t>kolovoz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  <c r="E20" s="7">
        <f>COUNTIFS(Raspored!$C$5:$C$43,$A20,Raspored!$G$5:$G$43,"x")</f>
        <v/>
      </c>
    </row>
    <row r="21">
      <c r="A21" s="17" t="inlineStr">
        <is>
          <t>rujan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  <c r="E21" s="7">
        <f>COUNTIFS(Raspored!$C$5:$C$43,$A21,Raspored!$G$5:$G$43,"x")</f>
        <v/>
      </c>
    </row>
    <row r="22">
      <c r="A22" s="17" t="inlineStr">
        <is>
          <t>listopad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  <c r="E22" s="7">
        <f>COUNTIFS(Raspored!$C$5:$C$43,$A22,Raspored!$G$5:$G$43,"x")</f>
        <v/>
      </c>
    </row>
    <row r="23">
      <c r="A23" s="17" t="inlineStr">
        <is>
          <t>studeni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  <c r="E23" s="7">
        <f>COUNTIFS(Raspored!$C$5:$C$43,$A23,Raspored!$G$5:$G$43,"x")</f>
        <v/>
      </c>
    </row>
    <row r="24">
      <c r="A24" s="17" t="inlineStr">
        <is>
          <t>prosinac</t>
        </is>
      </c>
      <c r="B24" s="7">
        <f>COUNTIFS(Raspored!$C$5:$C$43,$A24,Raspored!$D$5:$D$43,"x")</f>
        <v/>
      </c>
      <c r="C24" s="7">
        <f>COUNTIFS(Raspored!$C$5:$C$43,$A24,Raspored!$E$5:$E$43,"x")</f>
        <v/>
      </c>
      <c r="D24" s="7">
        <f>COUNTIFS(Raspored!$C$5:$C$43,$A24,Raspored!$F$5:$F$43,"x")</f>
        <v/>
      </c>
      <c r="E24" s="7">
        <f>COUNTIFS(Raspored!$C$5:$C$43,$A24,Raspored!$G$5:$G$43,"x")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Izvor: https://mull-trans.hr/wp-content/uploads/2026/04/OPCINA-CADAVICA-raspored-odvoza-otpada-za-2026.pdf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44 (Čađavica)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46064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46076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46092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46104</v>
      </c>
      <c r="B12" s="7" t="inlineStr">
        <is>
          <t>ponedjeljak</t>
        </is>
      </c>
      <c r="C12" s="7" t="inlineStr">
        <is>
          <t>ožujak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46120</v>
      </c>
      <c r="B15" s="7" t="inlineStr">
        <is>
          <t>srijeda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46148</v>
      </c>
      <c r="B18" s="7" t="inlineStr">
        <is>
          <t>srijeda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46176</v>
      </c>
      <c r="B21" s="7" t="inlineStr">
        <is>
          <t>srijeda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46202</v>
      </c>
      <c r="B23" s="7" t="inlineStr">
        <is>
          <t>ponedjeljak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46204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46230</v>
      </c>
      <c r="B26" s="7" t="inlineStr">
        <is>
          <t>ponedjeljak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46232</v>
      </c>
      <c r="B27" s="7" t="inlineStr">
        <is>
          <t>srijeda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46260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46265</v>
      </c>
      <c r="B30" s="7" t="inlineStr">
        <is>
          <t>ponedjeljak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46288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46293</v>
      </c>
      <c r="B33" s="7" t="inlineStr">
        <is>
          <t>ponedjeljak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46316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46321</v>
      </c>
      <c r="B36" s="7" t="inlineStr">
        <is>
          <t>ponedjeljak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24" t="n">
        <v>46347</v>
      </c>
      <c r="B38" s="25" t="inlineStr">
        <is>
          <t>subota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7" t="n"/>
      <c r="H38" s="23" t="inlineStr">
        <is>
          <t>Pomaknuto zbog neradnog dana u tjednu</t>
        </is>
      </c>
    </row>
    <row r="39">
      <c r="A39" s="6" t="n">
        <v>46356</v>
      </c>
      <c r="B39" s="7" t="inlineStr">
        <is>
          <t>ponedjeljak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46358</v>
      </c>
      <c r="B40" s="7" t="inlineStr">
        <is>
          <t>srijeda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46372</v>
      </c>
      <c r="B41" s="7" t="inlineStr">
        <is>
          <t>srijeda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46386</v>
      </c>
      <c r="B43" s="7" t="inlineStr">
        <is>
          <t>srijeda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7" t="n"/>
      <c r="H43" s="23" t="n"/>
    </row>
  </sheetData>
  <autoFilter ref="A4:H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G5:G43">
    <cfRule type="expression" priority="4" dxfId="3">
      <formula>G5="x"</formula>
    </cfRule>
  </conditionalFormatting>
  <conditionalFormatting sqref="A5:H4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46036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46048</v>
      </c>
      <c r="B3" s="17" t="inlineStr">
        <is>
          <t>ponedjeljak</t>
        </is>
      </c>
      <c r="C3" s="9" t="inlineStr">
        <is>
          <t>Plastika i metal</t>
        </is>
      </c>
      <c r="D3" s="17" t="n"/>
    </row>
    <row r="4">
      <c r="A4" s="26" t="n">
        <v>46048</v>
      </c>
      <c r="B4" s="17" t="inlineStr">
        <is>
          <t>ponedjeljak</t>
        </is>
      </c>
      <c r="C4" s="10" t="inlineStr">
        <is>
          <t>Papir i karton</t>
        </is>
      </c>
      <c r="D4" s="17" t="n"/>
    </row>
    <row r="5">
      <c r="A5" s="26" t="n">
        <v>46050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46064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46076</v>
      </c>
      <c r="B7" s="17" t="inlineStr">
        <is>
          <t>ponedjeljak</t>
        </is>
      </c>
      <c r="C7" s="9" t="inlineStr">
        <is>
          <t>Plastika i metal</t>
        </is>
      </c>
      <c r="D7" s="17" t="n"/>
    </row>
    <row r="8">
      <c r="A8" s="26" t="n">
        <v>46076</v>
      </c>
      <c r="B8" s="17" t="inlineStr">
        <is>
          <t>ponedjeljak</t>
        </is>
      </c>
      <c r="C8" s="10" t="inlineStr">
        <is>
          <t>Papir i karton</t>
        </is>
      </c>
      <c r="D8" s="17" t="n"/>
    </row>
    <row r="9">
      <c r="A9" s="26" t="n">
        <v>46078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46092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46104</v>
      </c>
      <c r="B11" s="17" t="inlineStr">
        <is>
          <t>ponedjeljak</t>
        </is>
      </c>
      <c r="C11" s="11" t="inlineStr">
        <is>
          <t>Glomazni otpad</t>
        </is>
      </c>
      <c r="D11" s="17" t="n"/>
    </row>
    <row r="12">
      <c r="A12" s="26" t="n">
        <v>46106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46111</v>
      </c>
      <c r="B13" s="17" t="inlineStr">
        <is>
          <t>ponedjeljak</t>
        </is>
      </c>
      <c r="C13" s="9" t="inlineStr">
        <is>
          <t>Plastika i metal</t>
        </is>
      </c>
      <c r="D13" s="17" t="n"/>
    </row>
    <row r="14">
      <c r="A14" s="26" t="n">
        <v>46111</v>
      </c>
      <c r="B14" s="17" t="inlineStr">
        <is>
          <t>ponedjeljak</t>
        </is>
      </c>
      <c r="C14" s="10" t="inlineStr">
        <is>
          <t>Papir i karton</t>
        </is>
      </c>
      <c r="D14" s="17" t="n"/>
    </row>
    <row r="15">
      <c r="A15" s="26" t="n">
        <v>46120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46134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46139</v>
      </c>
      <c r="B17" s="17" t="inlineStr">
        <is>
          <t>ponedjeljak</t>
        </is>
      </c>
      <c r="C17" s="9" t="inlineStr">
        <is>
          <t>Plastika i metal</t>
        </is>
      </c>
      <c r="D17" s="17" t="n"/>
    </row>
    <row r="18">
      <c r="A18" s="26" t="n">
        <v>46139</v>
      </c>
      <c r="B18" s="17" t="inlineStr">
        <is>
          <t>ponedjeljak</t>
        </is>
      </c>
      <c r="C18" s="10" t="inlineStr">
        <is>
          <t>Papir i karton</t>
        </is>
      </c>
      <c r="D18" s="17" t="n"/>
    </row>
    <row r="19">
      <c r="A19" s="26" t="n">
        <v>46148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46162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46167</v>
      </c>
      <c r="B21" s="17" t="inlineStr">
        <is>
          <t>ponedjeljak</t>
        </is>
      </c>
      <c r="C21" s="9" t="inlineStr">
        <is>
          <t>Plastika i metal</t>
        </is>
      </c>
      <c r="D21" s="17" t="n"/>
    </row>
    <row r="22">
      <c r="A22" s="26" t="n">
        <v>46167</v>
      </c>
      <c r="B22" s="17" t="inlineStr">
        <is>
          <t>ponedjeljak</t>
        </is>
      </c>
      <c r="C22" s="10" t="inlineStr">
        <is>
          <t>Papir i karton</t>
        </is>
      </c>
      <c r="D22" s="17" t="n"/>
    </row>
    <row r="23">
      <c r="A23" s="26" t="n">
        <v>46176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46190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46202</v>
      </c>
      <c r="B25" s="17" t="inlineStr">
        <is>
          <t>ponedjeljak</t>
        </is>
      </c>
      <c r="C25" s="9" t="inlineStr">
        <is>
          <t>Plastika i metal</t>
        </is>
      </c>
      <c r="D25" s="17" t="n"/>
    </row>
    <row r="26">
      <c r="A26" s="26" t="n">
        <v>46202</v>
      </c>
      <c r="B26" s="17" t="inlineStr">
        <is>
          <t>ponedjeljak</t>
        </is>
      </c>
      <c r="C26" s="10" t="inlineStr">
        <is>
          <t>Papir i karton</t>
        </is>
      </c>
      <c r="D26" s="17" t="n"/>
    </row>
    <row r="27">
      <c r="A27" s="26" t="n">
        <v>46204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46218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46230</v>
      </c>
      <c r="B29" s="17" t="inlineStr">
        <is>
          <t>ponedjeljak</t>
        </is>
      </c>
      <c r="C29" s="9" t="inlineStr">
        <is>
          <t>Plastika i metal</t>
        </is>
      </c>
      <c r="D29" s="17" t="n"/>
    </row>
    <row r="30">
      <c r="A30" s="26" t="n">
        <v>46230</v>
      </c>
      <c r="B30" s="17" t="inlineStr">
        <is>
          <t>ponedjeljak</t>
        </is>
      </c>
      <c r="C30" s="10" t="inlineStr">
        <is>
          <t>Papir i karton</t>
        </is>
      </c>
      <c r="D30" s="17" t="n"/>
    </row>
    <row r="31">
      <c r="A31" s="26" t="n">
        <v>46232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46246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46260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46265</v>
      </c>
      <c r="B34" s="17" t="inlineStr">
        <is>
          <t>ponedjeljak</t>
        </is>
      </c>
      <c r="C34" s="9" t="inlineStr">
        <is>
          <t>Plastika i metal</t>
        </is>
      </c>
      <c r="D34" s="17" t="n"/>
    </row>
    <row r="35">
      <c r="A35" s="26" t="n">
        <v>46265</v>
      </c>
      <c r="B35" s="17" t="inlineStr">
        <is>
          <t>ponedjeljak</t>
        </is>
      </c>
      <c r="C35" s="10" t="inlineStr">
        <is>
          <t>Papir i karton</t>
        </is>
      </c>
      <c r="D35" s="17" t="n"/>
    </row>
    <row r="36">
      <c r="A36" s="26" t="n">
        <v>46274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46288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46293</v>
      </c>
      <c r="B38" s="17" t="inlineStr">
        <is>
          <t>ponedjeljak</t>
        </is>
      </c>
      <c r="C38" s="9" t="inlineStr">
        <is>
          <t>Plastika i metal</t>
        </is>
      </c>
      <c r="D38" s="17" t="n"/>
    </row>
    <row r="39">
      <c r="A39" s="26" t="n">
        <v>46293</v>
      </c>
      <c r="B39" s="17" t="inlineStr">
        <is>
          <t>ponedjeljak</t>
        </is>
      </c>
      <c r="C39" s="10" t="inlineStr">
        <is>
          <t>Papir i karton</t>
        </is>
      </c>
      <c r="D39" s="17" t="n"/>
    </row>
    <row r="40">
      <c r="A40" s="26" t="n">
        <v>46302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46316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46321</v>
      </c>
      <c r="B42" s="17" t="inlineStr">
        <is>
          <t>ponedjeljak</t>
        </is>
      </c>
      <c r="C42" s="9" t="inlineStr">
        <is>
          <t>Plastika i metal</t>
        </is>
      </c>
      <c r="D42" s="17" t="n"/>
    </row>
    <row r="43">
      <c r="A43" s="26" t="n">
        <v>46321</v>
      </c>
      <c r="B43" s="17" t="inlineStr">
        <is>
          <t>ponedjeljak</t>
        </is>
      </c>
      <c r="C43" s="10" t="inlineStr">
        <is>
          <t>Papir i karton</t>
        </is>
      </c>
      <c r="D43" s="17" t="n"/>
    </row>
    <row r="44">
      <c r="A44" s="26" t="n">
        <v>46330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46347</v>
      </c>
      <c r="B45" s="17" t="inlineStr">
        <is>
          <t>subota</t>
        </is>
      </c>
      <c r="C45" s="5" t="inlineStr">
        <is>
          <t>Miješani komunalni otpad</t>
        </is>
      </c>
      <c r="D45" s="17" t="inlineStr">
        <is>
          <t>Pomaknuto zbog neradnog dana u tjednu</t>
        </is>
      </c>
    </row>
    <row r="46">
      <c r="A46" s="26" t="n">
        <v>46356</v>
      </c>
      <c r="B46" s="17" t="inlineStr">
        <is>
          <t>ponedjeljak</t>
        </is>
      </c>
      <c r="C46" s="9" t="inlineStr">
        <is>
          <t>Plastika i metal</t>
        </is>
      </c>
      <c r="D46" s="17" t="n"/>
    </row>
    <row r="47">
      <c r="A47" s="26" t="n">
        <v>46356</v>
      </c>
      <c r="B47" s="17" t="inlineStr">
        <is>
          <t>ponedjeljak</t>
        </is>
      </c>
      <c r="C47" s="10" t="inlineStr">
        <is>
          <t>Papir i karton</t>
        </is>
      </c>
      <c r="D47" s="17" t="n"/>
    </row>
    <row r="48">
      <c r="A48" s="26" t="n">
        <v>46358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46372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46384</v>
      </c>
      <c r="B50" s="17" t="inlineStr">
        <is>
          <t>ponedjeljak</t>
        </is>
      </c>
      <c r="C50" s="9" t="inlineStr">
        <is>
          <t>Plastika i metal</t>
        </is>
      </c>
      <c r="D50" s="17" t="n"/>
    </row>
    <row r="51">
      <c r="A51" s="26" t="n">
        <v>46384</v>
      </c>
      <c r="B51" s="17" t="inlineStr">
        <is>
          <t>ponedjeljak</t>
        </is>
      </c>
      <c r="C51" s="10" t="inlineStr">
        <is>
          <t>Papir i karton</t>
        </is>
      </c>
      <c r="D51" s="17" t="n"/>
    </row>
    <row r="52">
      <c r="A52" s="26" t="n">
        <v>46386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
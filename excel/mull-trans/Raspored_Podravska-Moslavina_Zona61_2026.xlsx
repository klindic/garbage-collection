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'Raspored'!$A$4:$H$40</definedName>
    <definedName name="_xlnm._FilterDatabase" localSheetId="2" hidden="1">'Po vrsti'!$A$1:$D$45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IFERROR(1/(1/_xlfn.MINIFS(Raspored!$A$5:$A$40,Raspored!$D$5:$D$40,"x",Raspored!$A$5:$A$40,"&gt;="&amp;$B$3)),"nema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COUNTIF(Raspored!$D$5:$D$40,"x")</f>
        <v/>
      </c>
    </row>
    <row r="7">
      <c r="A7" s="9" t="inlineStr">
        <is>
          <t>Plastika i metal</t>
        </is>
      </c>
      <c r="B7" s="6">
        <f>IFERROR(1/(1/_xlfn.MINIFS(Raspored!$A$5:$A$40,Raspored!$E$5:$E$40,"x",Raspored!$A$5:$A$40,"&gt;="&amp;$B$3)),"nema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COUNTIF(Raspored!$E$5:$E$40,"x")</f>
        <v/>
      </c>
    </row>
    <row r="8">
      <c r="A8" s="10" t="inlineStr">
        <is>
          <t>Papir i karton</t>
        </is>
      </c>
      <c r="B8" s="6">
        <f>IFERROR(1/(1/_xlfn.MINIFS(Raspored!$A$5:$A$40,Raspored!$F$5:$F$40,"x",Raspored!$A$5:$A$40,"&gt;="&amp;$B$3)),"nema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COUNTIF(Raspored!$F$5:$F$40,"x")</f>
        <v/>
      </c>
    </row>
    <row r="9">
      <c r="A9" s="11" t="inlineStr">
        <is>
          <t>Glomazni otpad</t>
        </is>
      </c>
      <c r="B9" s="6">
        <f>IFERROR(1/(1/_xlfn.MINIFS(Raspored!$A$5:$A$40,Raspored!$G$5:$G$40,"x",Raspored!$A$5:$A$40,"&gt;="&amp;$B$3)),"nema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COUNTIFS(Raspored!$C$5:$C$40,$A13,Raspored!$D$5:$D$40,"x")</f>
        <v/>
      </c>
      <c r="C13" s="7">
        <f>COUNTIFS(Raspored!$C$5:$C$40,$A13,Raspored!$E$5:$E$40,"x")</f>
        <v/>
      </c>
      <c r="D13" s="7">
        <f>COUNTIFS(Raspored!$C$5:$C$40,$A13,Raspored!$F$5:$F$40,"x")</f>
        <v/>
      </c>
      <c r="E13" s="7">
        <f>COUNTIFS(Raspored!$C$5:$C$40,$A13,Raspored!$G$5:$G$40,"x")</f>
        <v/>
      </c>
    </row>
    <row r="14">
      <c r="A14" s="17" t="inlineStr">
        <is>
          <t>veljača</t>
        </is>
      </c>
      <c r="B14" s="7">
        <f>COUNTIFS(Raspored!$C$5:$C$40,$A14,Raspored!$D$5:$D$40,"x")</f>
        <v/>
      </c>
      <c r="C14" s="7">
        <f>COUNTIFS(Raspored!$C$5:$C$40,$A14,Raspored!$E$5:$E$40,"x")</f>
        <v/>
      </c>
      <c r="D14" s="7">
        <f>COUNTIFS(Raspored!$C$5:$C$40,$A14,Raspored!$F$5:$F$40,"x")</f>
        <v/>
      </c>
      <c r="E14" s="7">
        <f>COUNTIFS(Raspored!$C$5:$C$40,$A14,Raspored!$G$5:$G$40,"x")</f>
        <v/>
      </c>
    </row>
    <row r="15">
      <c r="A15" s="17" t="inlineStr">
        <is>
          <t>ožujak</t>
        </is>
      </c>
      <c r="B15" s="7">
        <f>COUNTIFS(Raspored!$C$5:$C$40,$A15,Raspored!$D$5:$D$40,"x")</f>
        <v/>
      </c>
      <c r="C15" s="7">
        <f>COUNTIFS(Raspored!$C$5:$C$40,$A15,Raspored!$E$5:$E$40,"x")</f>
        <v/>
      </c>
      <c r="D15" s="7">
        <f>COUNTIFS(Raspored!$C$5:$C$40,$A15,Raspored!$F$5:$F$40,"x")</f>
        <v/>
      </c>
      <c r="E15" s="7">
        <f>COUNTIFS(Raspored!$C$5:$C$40,$A15,Raspored!$G$5:$G$40,"x")</f>
        <v/>
      </c>
    </row>
    <row r="16">
      <c r="A16" s="17" t="inlineStr">
        <is>
          <t>travanj</t>
        </is>
      </c>
      <c r="B16" s="7">
        <f>COUNTIFS(Raspored!$C$5:$C$40,$A16,Raspored!$D$5:$D$40,"x")</f>
        <v/>
      </c>
      <c r="C16" s="7">
        <f>COUNTIFS(Raspored!$C$5:$C$40,$A16,Raspored!$E$5:$E$40,"x")</f>
        <v/>
      </c>
      <c r="D16" s="7">
        <f>COUNTIFS(Raspored!$C$5:$C$40,$A16,Raspored!$F$5:$F$40,"x")</f>
        <v/>
      </c>
      <c r="E16" s="7">
        <f>COUNTIFS(Raspored!$C$5:$C$40,$A16,Raspored!$G$5:$G$40,"x")</f>
        <v/>
      </c>
    </row>
    <row r="17">
      <c r="A17" s="17" t="inlineStr">
        <is>
          <t>svibanj</t>
        </is>
      </c>
      <c r="B17" s="7">
        <f>COUNTIFS(Raspored!$C$5:$C$40,$A17,Raspored!$D$5:$D$40,"x")</f>
        <v/>
      </c>
      <c r="C17" s="7">
        <f>COUNTIFS(Raspored!$C$5:$C$40,$A17,Raspored!$E$5:$E$40,"x")</f>
        <v/>
      </c>
      <c r="D17" s="7">
        <f>COUNTIFS(Raspored!$C$5:$C$40,$A17,Raspored!$F$5:$F$40,"x")</f>
        <v/>
      </c>
      <c r="E17" s="7">
        <f>COUNTIFS(Raspored!$C$5:$C$40,$A17,Raspored!$G$5:$G$40,"x")</f>
        <v/>
      </c>
    </row>
    <row r="18">
      <c r="A18" s="17" t="inlineStr">
        <is>
          <t>lipanj</t>
        </is>
      </c>
      <c r="B18" s="7">
        <f>COUNTIFS(Raspored!$C$5:$C$40,$A18,Raspored!$D$5:$D$40,"x")</f>
        <v/>
      </c>
      <c r="C18" s="7">
        <f>COUNTIFS(Raspored!$C$5:$C$40,$A18,Raspored!$E$5:$E$40,"x")</f>
        <v/>
      </c>
      <c r="D18" s="7">
        <f>COUNTIFS(Raspored!$C$5:$C$40,$A18,Raspored!$F$5:$F$40,"x")</f>
        <v/>
      </c>
      <c r="E18" s="7">
        <f>COUNTIFS(Raspored!$C$5:$C$40,$A18,Raspored!$G$5:$G$40,"x")</f>
        <v/>
      </c>
    </row>
    <row r="19">
      <c r="A19" s="17" t="inlineStr">
        <is>
          <t>srpanj</t>
        </is>
      </c>
      <c r="B19" s="7">
        <f>COUNTIFS(Raspored!$C$5:$C$40,$A19,Raspored!$D$5:$D$40,"x")</f>
        <v/>
      </c>
      <c r="C19" s="7">
        <f>COUNTIFS(Raspored!$C$5:$C$40,$A19,Raspored!$E$5:$E$40,"x")</f>
        <v/>
      </c>
      <c r="D19" s="7">
        <f>COUNTIFS(Raspored!$C$5:$C$40,$A19,Raspored!$F$5:$F$40,"x")</f>
        <v/>
      </c>
      <c r="E19" s="7">
        <f>COUNTIFS(Raspored!$C$5:$C$40,$A19,Raspored!$G$5:$G$40,"x")</f>
        <v/>
      </c>
    </row>
    <row r="20">
      <c r="A20" s="17" t="inlineStr">
        <is>
          <t>kolovoz</t>
        </is>
      </c>
      <c r="B20" s="7">
        <f>COUNTIFS(Raspored!$C$5:$C$40,$A20,Raspored!$D$5:$D$40,"x")</f>
        <v/>
      </c>
      <c r="C20" s="7">
        <f>COUNTIFS(Raspored!$C$5:$C$40,$A20,Raspored!$E$5:$E$40,"x")</f>
        <v/>
      </c>
      <c r="D20" s="7">
        <f>COUNTIFS(Raspored!$C$5:$C$40,$A20,Raspored!$F$5:$F$40,"x")</f>
        <v/>
      </c>
      <c r="E20" s="7">
        <f>COUNTIFS(Raspored!$C$5:$C$40,$A20,Raspored!$G$5:$G$40,"x")</f>
        <v/>
      </c>
    </row>
    <row r="21">
      <c r="A21" s="17" t="inlineStr">
        <is>
          <t>rujan</t>
        </is>
      </c>
      <c r="B21" s="7">
        <f>COUNTIFS(Raspored!$C$5:$C$40,$A21,Raspored!$D$5:$D$40,"x")</f>
        <v/>
      </c>
      <c r="C21" s="7">
        <f>COUNTIFS(Raspored!$C$5:$C$40,$A21,Raspored!$E$5:$E$40,"x")</f>
        <v/>
      </c>
      <c r="D21" s="7">
        <f>COUNTIFS(Raspored!$C$5:$C$40,$A21,Raspored!$F$5:$F$40,"x")</f>
        <v/>
      </c>
      <c r="E21" s="7">
        <f>COUNTIFS(Raspored!$C$5:$C$40,$A21,Raspored!$G$5:$G$40,"x")</f>
        <v/>
      </c>
    </row>
    <row r="22">
      <c r="A22" s="17" t="inlineStr">
        <is>
          <t>listopad</t>
        </is>
      </c>
      <c r="B22" s="7">
        <f>COUNTIFS(Raspored!$C$5:$C$40,$A22,Raspored!$D$5:$D$40,"x")</f>
        <v/>
      </c>
      <c r="C22" s="7">
        <f>COUNTIFS(Raspored!$C$5:$C$40,$A22,Raspored!$E$5:$E$40,"x")</f>
        <v/>
      </c>
      <c r="D22" s="7">
        <f>COUNTIFS(Raspored!$C$5:$C$40,$A22,Raspored!$F$5:$F$40,"x")</f>
        <v/>
      </c>
      <c r="E22" s="7">
        <f>COUNTIFS(Raspored!$C$5:$C$40,$A22,Raspored!$G$5:$G$40,"x")</f>
        <v/>
      </c>
    </row>
    <row r="23">
      <c r="A23" s="17" t="inlineStr">
        <is>
          <t>studeni</t>
        </is>
      </c>
      <c r="B23" s="7">
        <f>COUNTIFS(Raspored!$C$5:$C$40,$A23,Raspored!$D$5:$D$40,"x")</f>
        <v/>
      </c>
      <c r="C23" s="7">
        <f>COUNTIFS(Raspored!$C$5:$C$40,$A23,Raspored!$E$5:$E$40,"x")</f>
        <v/>
      </c>
      <c r="D23" s="7">
        <f>COUNTIFS(Raspored!$C$5:$C$40,$A23,Raspored!$F$5:$F$40,"x")</f>
        <v/>
      </c>
      <c r="E23" s="7">
        <f>COUNTIFS(Raspored!$C$5:$C$40,$A23,Raspored!$G$5:$G$40,"x")</f>
        <v/>
      </c>
    </row>
    <row r="24">
      <c r="A24" s="17" t="inlineStr">
        <is>
          <t>prosinac</t>
        </is>
      </c>
      <c r="B24" s="7">
        <f>COUNTIFS(Raspored!$C$5:$C$40,$A24,Raspored!$D$5:$D$40,"x")</f>
        <v/>
      </c>
      <c r="C24" s="7">
        <f>COUNTIFS(Raspored!$C$5:$C$40,$A24,Raspored!$E$5:$E$40,"x")</f>
        <v/>
      </c>
      <c r="D24" s="7">
        <f>COUNTIFS(Raspored!$C$5:$C$40,$A24,Raspored!$F$5:$F$40,"x")</f>
        <v/>
      </c>
      <c r="E24" s="7">
        <f>COUNTIFS(Raspored!$C$5:$C$40,$A24,Raspored!$G$5:$G$40,"x")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Od 7.9.2026. odvoz obavlja Doroslov d.o.o.; ovdje je raspored do tada. Izvor: https://mull-trans.hr/wp-content/uploads/2026/04/OPCINA-PODRAVSKA-MOSLAVINA-raspored-odvoza-otpada-za-2026.pdf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61 (Podravska Moslavina)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46097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46104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46112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3" t="n"/>
    </row>
    <row r="19">
      <c r="A19" s="24" t="n">
        <v>46116</v>
      </c>
      <c r="B19" s="25" t="inlineStr">
        <is>
          <t>subota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inlineStr">
        <is>
          <t>Pomaknuto zbog neradnog dana u tjednu</t>
        </is>
      </c>
    </row>
    <row r="20">
      <c r="A20" s="6" t="n">
        <v>46125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46132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46140</v>
      </c>
      <c r="B22" s="7" t="inlineStr">
        <is>
          <t>utorak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46146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46153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46160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46168</v>
      </c>
      <c r="B26" s="7" t="inlineStr">
        <is>
          <t>utorak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46174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46181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46188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24" t="n">
        <v>46193</v>
      </c>
      <c r="B30" s="25" t="inlineStr">
        <is>
          <t>subota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inlineStr">
        <is>
          <t>Pomaknuto zbog neradnog dana u tjednu</t>
        </is>
      </c>
    </row>
    <row r="31">
      <c r="A31" s="6" t="n">
        <v>46203</v>
      </c>
      <c r="B31" s="7" t="inlineStr">
        <is>
          <t>utorak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46209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46216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46223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46231</v>
      </c>
      <c r="B35" s="7" t="inlineStr">
        <is>
          <t>utorak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46237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46244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46251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46258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46259</v>
      </c>
      <c r="B40" s="7" t="inlineStr">
        <is>
          <t>utorak</t>
        </is>
      </c>
      <c r="C40" s="7" t="inlineStr">
        <is>
          <t>kolovoz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3" t="n"/>
    </row>
  </sheetData>
  <autoFilter ref="A4:H40"/>
  <conditionalFormatting sqref="D5:D40">
    <cfRule type="expression" priority="1" dxfId="0">
      <formula>D5="x"</formula>
    </cfRule>
  </conditionalFormatting>
  <conditionalFormatting sqref="E5:E40">
    <cfRule type="expression" priority="2" dxfId="1">
      <formula>E5="x"</formula>
    </cfRule>
  </conditionalFormatting>
  <conditionalFormatting sqref="F5:F40">
    <cfRule type="expression" priority="3" dxfId="2">
      <formula>F5="x"</formula>
    </cfRule>
  </conditionalFormatting>
  <conditionalFormatting sqref="G5:G40">
    <cfRule type="expression" priority="4" dxfId="3">
      <formula>G5="x"</formula>
    </cfRule>
  </conditionalFormatting>
  <conditionalFormatting sqref="A5:H4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46041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6" t="n">
        <v>46049</v>
      </c>
      <c r="B5" s="17" t="inlineStr">
        <is>
          <t>utorak</t>
        </is>
      </c>
      <c r="C5" s="9" t="inlineStr">
        <is>
          <t>Plastika i metal</t>
        </is>
      </c>
      <c r="D5" s="17" t="n"/>
    </row>
    <row r="6">
      <c r="A6" s="26" t="n">
        <v>46049</v>
      </c>
      <c r="B6" s="17" t="inlineStr">
        <is>
          <t>utorak</t>
        </is>
      </c>
      <c r="C6" s="10" t="inlineStr">
        <is>
          <t>Papir i karton</t>
        </is>
      </c>
      <c r="D6" s="17" t="n"/>
    </row>
    <row r="7">
      <c r="A7" s="26" t="n">
        <v>46055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46062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46069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46077</v>
      </c>
      <c r="B10" s="17" t="inlineStr">
        <is>
          <t>utorak</t>
        </is>
      </c>
      <c r="C10" s="9" t="inlineStr">
        <is>
          <t>Plastika i metal</t>
        </is>
      </c>
      <c r="D10" s="17" t="n"/>
    </row>
    <row r="11">
      <c r="A11" s="26" t="n">
        <v>46077</v>
      </c>
      <c r="B11" s="17" t="inlineStr">
        <is>
          <t>utorak</t>
        </is>
      </c>
      <c r="C11" s="10" t="inlineStr">
        <is>
          <t>Papir i karton</t>
        </is>
      </c>
      <c r="D11" s="17" t="n"/>
    </row>
    <row r="12">
      <c r="A12" s="26" t="n">
        <v>46083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46090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46094</v>
      </c>
      <c r="B14" s="17" t="inlineStr">
        <is>
          <t>petak</t>
        </is>
      </c>
      <c r="C14" s="11" t="inlineStr">
        <is>
          <t>Glomazni otpad</t>
        </is>
      </c>
      <c r="D14" s="17" t="n"/>
    </row>
    <row r="15">
      <c r="A15" s="26" t="n">
        <v>46097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46104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46112</v>
      </c>
      <c r="B17" s="17" t="inlineStr">
        <is>
          <t>utorak</t>
        </is>
      </c>
      <c r="C17" s="9" t="inlineStr">
        <is>
          <t>Plastika i metal</t>
        </is>
      </c>
      <c r="D17" s="17" t="n"/>
    </row>
    <row r="18">
      <c r="A18" s="26" t="n">
        <v>46112</v>
      </c>
      <c r="B18" s="17" t="inlineStr">
        <is>
          <t>utorak</t>
        </is>
      </c>
      <c r="C18" s="10" t="inlineStr">
        <is>
          <t>Papir i karton</t>
        </is>
      </c>
      <c r="D18" s="17" t="n"/>
    </row>
    <row r="19">
      <c r="A19" s="26" t="n">
        <v>46116</v>
      </c>
      <c r="B19" s="17" t="inlineStr">
        <is>
          <t>subota</t>
        </is>
      </c>
      <c r="C19" s="5" t="inlineStr">
        <is>
          <t>Miješani komunalni otpad</t>
        </is>
      </c>
      <c r="D19" s="17" t="inlineStr">
        <is>
          <t>Pomaknuto zbog neradnog dana u tjednu</t>
        </is>
      </c>
    </row>
    <row r="20">
      <c r="A20" s="26" t="n">
        <v>46125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6" t="n">
        <v>46132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46140</v>
      </c>
      <c r="B22" s="17" t="inlineStr">
        <is>
          <t>utorak</t>
        </is>
      </c>
      <c r="C22" s="9" t="inlineStr">
        <is>
          <t>Plastika i metal</t>
        </is>
      </c>
      <c r="D22" s="17" t="n"/>
    </row>
    <row r="23">
      <c r="A23" s="26" t="n">
        <v>46140</v>
      </c>
      <c r="B23" s="17" t="inlineStr">
        <is>
          <t>utorak</t>
        </is>
      </c>
      <c r="C23" s="10" t="inlineStr">
        <is>
          <t>Papir i karton</t>
        </is>
      </c>
      <c r="D23" s="17" t="n"/>
    </row>
    <row r="24">
      <c r="A24" s="26" t="n">
        <v>46146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6" t="n">
        <v>46153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6" t="n">
        <v>46160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46168</v>
      </c>
      <c r="B27" s="17" t="inlineStr">
        <is>
          <t>utorak</t>
        </is>
      </c>
      <c r="C27" s="9" t="inlineStr">
        <is>
          <t>Plastika i metal</t>
        </is>
      </c>
      <c r="D27" s="17" t="n"/>
    </row>
    <row r="28">
      <c r="A28" s="26" t="n">
        <v>46168</v>
      </c>
      <c r="B28" s="17" t="inlineStr">
        <is>
          <t>utorak</t>
        </is>
      </c>
      <c r="C28" s="10" t="inlineStr">
        <is>
          <t>Papir i karton</t>
        </is>
      </c>
      <c r="D28" s="17" t="n"/>
    </row>
    <row r="29">
      <c r="A29" s="26" t="n">
        <v>46174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46181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6" t="n">
        <v>46188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46193</v>
      </c>
      <c r="B32" s="17" t="inlineStr">
        <is>
          <t>subota</t>
        </is>
      </c>
      <c r="C32" s="5" t="inlineStr">
        <is>
          <t>Miješani komunalni otpad</t>
        </is>
      </c>
      <c r="D32" s="17" t="inlineStr">
        <is>
          <t>Pomaknuto zbog neradnog dana u tjednu</t>
        </is>
      </c>
    </row>
    <row r="33">
      <c r="A33" s="26" t="n">
        <v>46203</v>
      </c>
      <c r="B33" s="17" t="inlineStr">
        <is>
          <t>utorak</t>
        </is>
      </c>
      <c r="C33" s="9" t="inlineStr">
        <is>
          <t>Plastika i metal</t>
        </is>
      </c>
      <c r="D33" s="17" t="n"/>
    </row>
    <row r="34">
      <c r="A34" s="26" t="n">
        <v>46203</v>
      </c>
      <c r="B34" s="17" t="inlineStr">
        <is>
          <t>utorak</t>
        </is>
      </c>
      <c r="C34" s="10" t="inlineStr">
        <is>
          <t>Papir i karton</t>
        </is>
      </c>
      <c r="D34" s="17" t="n"/>
    </row>
    <row r="35">
      <c r="A35" s="26" t="n">
        <v>46209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46216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46223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46231</v>
      </c>
      <c r="B38" s="17" t="inlineStr">
        <is>
          <t>utorak</t>
        </is>
      </c>
      <c r="C38" s="9" t="inlineStr">
        <is>
          <t>Plastika i metal</t>
        </is>
      </c>
      <c r="D38" s="17" t="n"/>
    </row>
    <row r="39">
      <c r="A39" s="26" t="n">
        <v>46231</v>
      </c>
      <c r="B39" s="17" t="inlineStr">
        <is>
          <t>utorak</t>
        </is>
      </c>
      <c r="C39" s="10" t="inlineStr">
        <is>
          <t>Papir i karton</t>
        </is>
      </c>
      <c r="D39" s="17" t="n"/>
    </row>
    <row r="40">
      <c r="A40" s="26" t="n">
        <v>46237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6" t="n">
        <v>46244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46251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46258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46259</v>
      </c>
      <c r="B44" s="17" t="inlineStr">
        <is>
          <t>utorak</t>
        </is>
      </c>
      <c r="C44" s="9" t="inlineStr">
        <is>
          <t>Plastika i metal</t>
        </is>
      </c>
      <c r="D44" s="17" t="n"/>
    </row>
    <row r="45">
      <c r="A45" s="26" t="n">
        <v>46259</v>
      </c>
      <c r="B45" s="17" t="inlineStr">
        <is>
          <t>utorak</t>
        </is>
      </c>
      <c r="C45" s="10" t="inlineStr">
        <is>
          <t>Papir i karton</t>
        </is>
      </c>
      <c r="D45" s="17" t="n"/>
    </row>
  </sheetData>
  <autoFilter ref="A1:D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2026-10-08T06:14:11Z</dcterms:created>
  <dcterms:modified xmlns:dcterms="http://purl.org/dc/terms/" xmlns:xsi="http://www.w3.org/2001/XMLSchema-instance" xsi:type="dcterms:W3CDTF">2026-10-08T06:14:11Z</dcterms:modified>
</cp:coreProperties>
</file>
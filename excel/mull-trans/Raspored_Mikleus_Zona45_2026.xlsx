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'Raspored'!$A$4:$H$42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9">
      <c r="A9" s="11" t="inlineStr">
        <is>
          <t>Glomazni otpad</t>
        </is>
      </c>
      <c r="B9" s="6">
        <f>IFERROR(1/(1/_xlfn.MINIFS(Raspored!$A$5:$A$42,Raspored!$G$5:$G$42,"x",Raspored!$A$5:$A$42,"&gt;="&amp;$B$3)),"nema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  <c r="E13" s="7">
        <f>COUNTIFS(Raspored!$C$5:$C$42,$A13,Raspored!$G$5:$G$42,"x")</f>
        <v/>
      </c>
    </row>
    <row r="14">
      <c r="A14" s="17" t="inlineStr">
        <is>
          <t>veljača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  <c r="E14" s="7">
        <f>COUNTIFS(Raspored!$C$5:$C$42,$A14,Raspored!$G$5:$G$42,"x")</f>
        <v/>
      </c>
    </row>
    <row r="15">
      <c r="A15" s="17" t="inlineStr">
        <is>
          <t>ožujak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  <c r="E15" s="7">
        <f>COUNTIFS(Raspored!$C$5:$C$42,$A15,Raspored!$G$5:$G$42,"x")</f>
        <v/>
      </c>
    </row>
    <row r="16">
      <c r="A16" s="17" t="inlineStr">
        <is>
          <t>travanj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  <c r="E16" s="7">
        <f>COUNTIFS(Raspored!$C$5:$C$42,$A16,Raspored!$G$5:$G$42,"x")</f>
        <v/>
      </c>
    </row>
    <row r="17">
      <c r="A17" s="17" t="inlineStr">
        <is>
          <t>svibanj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  <c r="E17" s="7">
        <f>COUNTIFS(Raspored!$C$5:$C$42,$A17,Raspored!$G$5:$G$42,"x")</f>
        <v/>
      </c>
    </row>
    <row r="18">
      <c r="A18" s="17" t="inlineStr">
        <is>
          <t>lipanj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  <c r="E18" s="7">
        <f>COUNTIFS(Raspored!$C$5:$C$42,$A18,Raspored!$G$5:$G$42,"x")</f>
        <v/>
      </c>
    </row>
    <row r="19">
      <c r="A19" s="17" t="inlineStr">
        <is>
          <t>srpanj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  <c r="E19" s="7">
        <f>COUNTIFS(Raspored!$C$5:$C$42,$A19,Raspored!$G$5:$G$42,"x")</f>
        <v/>
      </c>
    </row>
    <row r="20">
      <c r="A20" s="17" t="inlineStr">
        <is>
          <t>kolovoz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  <c r="E20" s="7">
        <f>COUNTIFS(Raspored!$C$5:$C$42,$A20,Raspored!$G$5:$G$42,"x")</f>
        <v/>
      </c>
    </row>
    <row r="21">
      <c r="A21" s="17" t="inlineStr">
        <is>
          <t>rujan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  <c r="E21" s="7">
        <f>COUNTIFS(Raspored!$C$5:$C$42,$A21,Raspored!$G$5:$G$42,"x")</f>
        <v/>
      </c>
    </row>
    <row r="22">
      <c r="A22" s="17" t="inlineStr">
        <is>
          <t>listopad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  <c r="E22" s="7">
        <f>COUNTIFS(Raspored!$C$5:$C$42,$A22,Raspored!$G$5:$G$42,"x")</f>
        <v/>
      </c>
    </row>
    <row r="23">
      <c r="A23" s="17" t="inlineStr">
        <is>
          <t>studeni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  <c r="E23" s="7">
        <f>COUNTIFS(Raspored!$C$5:$C$42,$A23,Raspored!$G$5:$G$42,"x")</f>
        <v/>
      </c>
    </row>
    <row r="24">
      <c r="A24" s="17" t="inlineStr">
        <is>
          <t>prosinac</t>
        </is>
      </c>
      <c r="B24" s="7">
        <f>COUNTIFS(Raspored!$C$5:$C$42,$A24,Raspored!$D$5:$D$42,"x")</f>
        <v/>
      </c>
      <c r="C24" s="7">
        <f>COUNTIFS(Raspored!$C$5:$C$42,$A24,Raspored!$E$5:$E$42,"x")</f>
        <v/>
      </c>
      <c r="D24" s="7">
        <f>COUNTIFS(Raspored!$C$5:$C$42,$A24,Raspored!$F$5:$F$42,"x")</f>
        <v/>
      </c>
      <c r="E24" s="7">
        <f>COUNTIFS(Raspored!$C$5:$C$42,$A24,Raspored!$G$5:$G$42,"x")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U službenoj evidenciji davatelja usluge (stanje 5.10.2026.) za ovu općinu naveden je Papuk d.o.o.; Mull-Trans ipak objavljuje raspored za 2026. Izvor: https://mull-trans.hr/wp-content/uploads/2026/04/OPCINA-MIKLEUS-raspored-odvoza-otpada-za-2026.pdf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45 (Mikleuš)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46059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46071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46073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46087</v>
      </c>
      <c r="B11" s="7" t="inlineStr">
        <is>
          <t>petak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46099</v>
      </c>
      <c r="B12" s="7" t="inlineStr">
        <is>
          <t>srijeda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46101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46115</v>
      </c>
      <c r="B14" s="7" t="inlineStr">
        <is>
          <t>petak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46127</v>
      </c>
      <c r="B15" s="7" t="inlineStr">
        <is>
          <t>srijeda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46129</v>
      </c>
      <c r="B16" s="7" t="inlineStr">
        <is>
          <t>petak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24" t="n">
        <v>46144</v>
      </c>
      <c r="B17" s="25" t="inlineStr">
        <is>
          <t>subota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7" t="n"/>
      <c r="H17" s="23" t="inlineStr">
        <is>
          <t>Pomaknuto zbog neradnog dana u tjednu</t>
        </is>
      </c>
    </row>
    <row r="18">
      <c r="A18" s="6" t="n">
        <v>46157</v>
      </c>
      <c r="B18" s="7" t="inlineStr">
        <is>
          <t>petak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46171</v>
      </c>
      <c r="B20" s="7" t="inlineStr">
        <is>
          <t>petak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46185</v>
      </c>
      <c r="B21" s="7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46199</v>
      </c>
      <c r="B23" s="7" t="inlineStr">
        <is>
          <t>petak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46213</v>
      </c>
      <c r="B24" s="7" t="inlineStr">
        <is>
          <t>petak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46227</v>
      </c>
      <c r="B26" s="7" t="inlineStr">
        <is>
          <t>petak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46241</v>
      </c>
      <c r="B27" s="7" t="inlineStr">
        <is>
          <t>petak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46253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46255</v>
      </c>
      <c r="B29" s="7" t="inlineStr">
        <is>
          <t>petak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46269</v>
      </c>
      <c r="B30" s="7" t="inlineStr">
        <is>
          <t>petak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46281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46283</v>
      </c>
      <c r="B32" s="7" t="inlineStr">
        <is>
          <t>petak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46297</v>
      </c>
      <c r="B33" s="7" t="inlineStr">
        <is>
          <t>petak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46311</v>
      </c>
      <c r="B34" s="7" t="inlineStr">
        <is>
          <t>petak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46316</v>
      </c>
      <c r="B35" s="7" t="inlineStr">
        <is>
          <t>srijeda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46325</v>
      </c>
      <c r="B36" s="7" t="inlineStr">
        <is>
          <t>petak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46339</v>
      </c>
      <c r="B37" s="7" t="inlineStr">
        <is>
          <t>petak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24" t="n">
        <v>46347</v>
      </c>
      <c r="B38" s="25" t="inlineStr">
        <is>
          <t>subota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inlineStr">
        <is>
          <t>Pomaknuto zbog neradnog dana u tjednu</t>
        </is>
      </c>
    </row>
    <row r="39">
      <c r="A39" s="6" t="n">
        <v>46353</v>
      </c>
      <c r="B39" s="7" t="inlineStr">
        <is>
          <t>petak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46367</v>
      </c>
      <c r="B40" s="7" t="inlineStr">
        <is>
          <t>petak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46372</v>
      </c>
      <c r="B41" s="7" t="inlineStr">
        <is>
          <t>srijeda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24" t="n">
        <v>46380</v>
      </c>
      <c r="B42" s="25" t="inlineStr">
        <is>
          <t>četvrtak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inlineStr">
        <is>
          <t>Pomaknuto zbog neradnog dana u tjednu</t>
        </is>
      </c>
    </row>
  </sheetData>
  <autoFilter ref="A4:H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G5:G42">
    <cfRule type="expression" priority="4" dxfId="3">
      <formula>G5="x"</formula>
    </cfRule>
  </conditionalFormatting>
  <conditionalFormatting sqref="A5:H4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46031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46043</v>
      </c>
      <c r="B3" s="17" t="inlineStr">
        <is>
          <t>srijeda</t>
        </is>
      </c>
      <c r="C3" s="9" t="inlineStr">
        <is>
          <t>Plastika i metal</t>
        </is>
      </c>
      <c r="D3" s="17" t="n"/>
    </row>
    <row r="4">
      <c r="A4" s="26" t="n">
        <v>46043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6" t="n">
        <v>46045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46059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46071</v>
      </c>
      <c r="B7" s="17" t="inlineStr">
        <is>
          <t>srijeda</t>
        </is>
      </c>
      <c r="C7" s="9" t="inlineStr">
        <is>
          <t>Plastika i metal</t>
        </is>
      </c>
      <c r="D7" s="17" t="n"/>
    </row>
    <row r="8">
      <c r="A8" s="26" t="n">
        <v>46071</v>
      </c>
      <c r="B8" s="17" t="inlineStr">
        <is>
          <t>srijeda</t>
        </is>
      </c>
      <c r="C8" s="10" t="inlineStr">
        <is>
          <t>Papir i karton</t>
        </is>
      </c>
      <c r="D8" s="17" t="n"/>
    </row>
    <row r="9">
      <c r="A9" s="26" t="n">
        <v>46073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46087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46099</v>
      </c>
      <c r="B11" s="17" t="inlineStr">
        <is>
          <t>srijeda</t>
        </is>
      </c>
      <c r="C11" s="9" t="inlineStr">
        <is>
          <t>Plastika i metal</t>
        </is>
      </c>
      <c r="D11" s="17" t="n"/>
    </row>
    <row r="12">
      <c r="A12" s="26" t="n">
        <v>46099</v>
      </c>
      <c r="B12" s="17" t="inlineStr">
        <is>
          <t>srijeda</t>
        </is>
      </c>
      <c r="C12" s="10" t="inlineStr">
        <is>
          <t>Papir i karton</t>
        </is>
      </c>
      <c r="D12" s="17" t="n"/>
    </row>
    <row r="13">
      <c r="A13" s="26" t="n">
        <v>46101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46115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46127</v>
      </c>
      <c r="B15" s="17" t="inlineStr">
        <is>
          <t>srijeda</t>
        </is>
      </c>
      <c r="C15" s="9" t="inlineStr">
        <is>
          <t>Plastika i metal</t>
        </is>
      </c>
      <c r="D15" s="17" t="n"/>
    </row>
    <row r="16">
      <c r="A16" s="26" t="n">
        <v>46127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6" t="n">
        <v>46129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46144</v>
      </c>
      <c r="B18" s="17" t="inlineStr">
        <is>
          <t>subota</t>
        </is>
      </c>
      <c r="C18" s="5" t="inlineStr">
        <is>
          <t>Miješani komunalni otpad</t>
        </is>
      </c>
      <c r="D18" s="17" t="inlineStr">
        <is>
          <t>Pomaknuto zbog neradnog dana u tjednu</t>
        </is>
      </c>
    </row>
    <row r="19">
      <c r="A19" s="26" t="n">
        <v>46157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46157</v>
      </c>
      <c r="B20" s="17" t="inlineStr">
        <is>
          <t>petak</t>
        </is>
      </c>
      <c r="C20" s="11" t="inlineStr">
        <is>
          <t>Glomazni otpad</t>
        </is>
      </c>
      <c r="D20" s="17" t="n"/>
    </row>
    <row r="21">
      <c r="A21" s="26" t="n">
        <v>46162</v>
      </c>
      <c r="B21" s="17" t="inlineStr">
        <is>
          <t>srijeda</t>
        </is>
      </c>
      <c r="C21" s="9" t="inlineStr">
        <is>
          <t>Plastika i metal</t>
        </is>
      </c>
      <c r="D21" s="17" t="n"/>
    </row>
    <row r="22">
      <c r="A22" s="26" t="n">
        <v>46162</v>
      </c>
      <c r="B22" s="17" t="inlineStr">
        <is>
          <t>srijeda</t>
        </is>
      </c>
      <c r="C22" s="10" t="inlineStr">
        <is>
          <t>Papir i karton</t>
        </is>
      </c>
      <c r="D22" s="17" t="n"/>
    </row>
    <row r="23">
      <c r="A23" s="26" t="n">
        <v>46171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46185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46190</v>
      </c>
      <c r="B25" s="17" t="inlineStr">
        <is>
          <t>srijeda</t>
        </is>
      </c>
      <c r="C25" s="9" t="inlineStr">
        <is>
          <t>Plastika i metal</t>
        </is>
      </c>
      <c r="D25" s="17" t="n"/>
    </row>
    <row r="26">
      <c r="A26" s="26" t="n">
        <v>46190</v>
      </c>
      <c r="B26" s="17" t="inlineStr">
        <is>
          <t>srijeda</t>
        </is>
      </c>
      <c r="C26" s="10" t="inlineStr">
        <is>
          <t>Papir i karton</t>
        </is>
      </c>
      <c r="D26" s="17" t="n"/>
    </row>
    <row r="27">
      <c r="A27" s="26" t="n">
        <v>46199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46213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46218</v>
      </c>
      <c r="B29" s="17" t="inlineStr">
        <is>
          <t>srijeda</t>
        </is>
      </c>
      <c r="C29" s="9" t="inlineStr">
        <is>
          <t>Plastika i metal</t>
        </is>
      </c>
      <c r="D29" s="17" t="n"/>
    </row>
    <row r="30">
      <c r="A30" s="26" t="n">
        <v>46218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6" t="n">
        <v>46227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46241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46253</v>
      </c>
      <c r="B33" s="17" t="inlineStr">
        <is>
          <t>srijeda</t>
        </is>
      </c>
      <c r="C33" s="9" t="inlineStr">
        <is>
          <t>Plastika i metal</t>
        </is>
      </c>
      <c r="D33" s="17" t="n"/>
    </row>
    <row r="34">
      <c r="A34" s="26" t="n">
        <v>46253</v>
      </c>
      <c r="B34" s="17" t="inlineStr">
        <is>
          <t>srijeda</t>
        </is>
      </c>
      <c r="C34" s="10" t="inlineStr">
        <is>
          <t>Papir i karton</t>
        </is>
      </c>
      <c r="D34" s="17" t="n"/>
    </row>
    <row r="35">
      <c r="A35" s="26" t="n">
        <v>46255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46269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46281</v>
      </c>
      <c r="B37" s="17" t="inlineStr">
        <is>
          <t>srijeda</t>
        </is>
      </c>
      <c r="C37" s="9" t="inlineStr">
        <is>
          <t>Plastika i metal</t>
        </is>
      </c>
      <c r="D37" s="17" t="n"/>
    </row>
    <row r="38">
      <c r="A38" s="26" t="n">
        <v>46281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6" t="n">
        <v>46283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46297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46311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46316</v>
      </c>
      <c r="B42" s="17" t="inlineStr">
        <is>
          <t>srijeda</t>
        </is>
      </c>
      <c r="C42" s="9" t="inlineStr">
        <is>
          <t>Plastika i metal</t>
        </is>
      </c>
      <c r="D42" s="17" t="n"/>
    </row>
    <row r="43">
      <c r="A43" s="26" t="n">
        <v>46316</v>
      </c>
      <c r="B43" s="17" t="inlineStr">
        <is>
          <t>srijeda</t>
        </is>
      </c>
      <c r="C43" s="10" t="inlineStr">
        <is>
          <t>Papir i karton</t>
        </is>
      </c>
      <c r="D43" s="17" t="n"/>
    </row>
    <row r="44">
      <c r="A44" s="26" t="n">
        <v>46325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46339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46347</v>
      </c>
      <c r="B46" s="17" t="inlineStr">
        <is>
          <t>subota</t>
        </is>
      </c>
      <c r="C46" s="9" t="inlineStr">
        <is>
          <t>Plastika i metal</t>
        </is>
      </c>
      <c r="D46" s="17" t="inlineStr">
        <is>
          <t>Pomaknuto zbog neradnog dana u tjednu</t>
        </is>
      </c>
    </row>
    <row r="47">
      <c r="A47" s="26" t="n">
        <v>46347</v>
      </c>
      <c r="B47" s="17" t="inlineStr">
        <is>
          <t>subota</t>
        </is>
      </c>
      <c r="C47" s="10" t="inlineStr">
        <is>
          <t>Papir i karton</t>
        </is>
      </c>
      <c r="D47" s="17" t="inlineStr">
        <is>
          <t>Pomaknuto zbog neradnog dana u tjednu</t>
        </is>
      </c>
    </row>
    <row r="48">
      <c r="A48" s="26" t="n">
        <v>46353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46367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46372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46372</v>
      </c>
      <c r="B51" s="17" t="inlineStr">
        <is>
          <t>srijeda</t>
        </is>
      </c>
      <c r="C51" s="10" t="inlineStr">
        <is>
          <t>Papir i karton</t>
        </is>
      </c>
      <c r="D51" s="17" t="n"/>
    </row>
    <row r="52">
      <c r="A52" s="26" t="n">
        <v>46380</v>
      </c>
      <c r="B52" s="17" t="inlineStr">
        <is>
          <t>četvrtak</t>
        </is>
      </c>
      <c r="C52" s="5" t="inlineStr">
        <is>
          <t>Miješani komunalni otpad</t>
        </is>
      </c>
      <c r="D52" s="17" t="inlineStr">
        <is>
          <t>Pomaknuto zbog neradnog dana u tjednu</t>
        </is>
      </c>
    </row>
  </sheetData>
  <autoFilter ref="A1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2026-10-07T18:55:14Z</dcterms:created>
  <dcterms:modified xmlns:dcterms="http://purl.org/dc/terms/" xmlns:xsi="http://www.w3.org/2001/XMLSchema-instance" xsi:type="dcterms:W3CDTF">2026-10-07T18:55:14Z</dcterms:modified>
</cp:coreProperties>
</file>
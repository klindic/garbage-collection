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9">
      <c r="A9" s="11" t="inlineStr">
        <is>
          <t>Glomazni otpad</t>
        </is>
      </c>
      <c r="B9" s="6">
        <f>IFERROR(1/(1/_xlfn.MINIFS(Raspored!$A$5:$A$52,Raspored!$G$5:$G$52,"x",Raspored!$A$5:$A$52,"&gt;="&amp;$B$3)),"nema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  <c r="E13" s="7">
        <f>COUNTIFS(Raspored!$C$5:$C$52,$A13,Raspored!$G$5:$G$52,"x")</f>
        <v/>
      </c>
    </row>
    <row r="14">
      <c r="A14" s="17" t="inlineStr">
        <is>
          <t>veljača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  <c r="E14" s="7">
        <f>COUNTIFS(Raspored!$C$5:$C$52,$A14,Raspored!$G$5:$G$52,"x")</f>
        <v/>
      </c>
    </row>
    <row r="15">
      <c r="A15" s="17" t="inlineStr">
        <is>
          <t>ožujak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  <c r="E15" s="7">
        <f>COUNTIFS(Raspored!$C$5:$C$52,$A15,Raspored!$G$5:$G$52,"x")</f>
        <v/>
      </c>
    </row>
    <row r="16">
      <c r="A16" s="17" t="inlineStr">
        <is>
          <t>travanj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  <c r="E16" s="7">
        <f>COUNTIFS(Raspored!$C$5:$C$52,$A16,Raspored!$G$5:$G$52,"x")</f>
        <v/>
      </c>
    </row>
    <row r="17">
      <c r="A17" s="17" t="inlineStr">
        <is>
          <t>svibanj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  <c r="E17" s="7">
        <f>COUNTIFS(Raspored!$C$5:$C$52,$A17,Raspored!$G$5:$G$52,"x")</f>
        <v/>
      </c>
    </row>
    <row r="18">
      <c r="A18" s="17" t="inlineStr">
        <is>
          <t>lipanj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  <c r="E18" s="7">
        <f>COUNTIFS(Raspored!$C$5:$C$52,$A18,Raspored!$G$5:$G$52,"x")</f>
        <v/>
      </c>
    </row>
    <row r="19">
      <c r="A19" s="17" t="inlineStr">
        <is>
          <t>srpanj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  <c r="E19" s="7">
        <f>COUNTIFS(Raspored!$C$5:$C$52,$A19,Raspored!$G$5:$G$52,"x")</f>
        <v/>
      </c>
    </row>
    <row r="20">
      <c r="A20" s="17" t="inlineStr">
        <is>
          <t>kolovoz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  <c r="E20" s="7">
        <f>COUNTIFS(Raspored!$C$5:$C$52,$A20,Raspored!$G$5:$G$52,"x")</f>
        <v/>
      </c>
    </row>
    <row r="21">
      <c r="A21" s="17" t="inlineStr">
        <is>
          <t>rujan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  <c r="E21" s="7">
        <f>COUNTIFS(Raspored!$C$5:$C$52,$A21,Raspored!$G$5:$G$52,"x")</f>
        <v/>
      </c>
    </row>
    <row r="22">
      <c r="A22" s="17" t="inlineStr">
        <is>
          <t>listopad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  <c r="E22" s="7">
        <f>COUNTIFS(Raspored!$C$5:$C$52,$A22,Raspored!$G$5:$G$52,"x")</f>
        <v/>
      </c>
    </row>
    <row r="23">
      <c r="A23" s="17" t="inlineStr">
        <is>
          <t>studeni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  <c r="E23" s="7">
        <f>COUNTIFS(Raspored!$C$5:$C$52,$A23,Raspored!$G$5:$G$52,"x")</f>
        <v/>
      </c>
    </row>
    <row r="24">
      <c r="A24" s="17" t="inlineStr">
        <is>
          <t>prosinac</t>
        </is>
      </c>
      <c r="B24" s="7">
        <f>COUNTIFS(Raspored!$C$5:$C$52,$A24,Raspored!$D$5:$D$52,"x")</f>
        <v/>
      </c>
      <c r="C24" s="7">
        <f>COUNTIFS(Raspored!$C$5:$C$52,$A24,Raspored!$E$5:$E$52,"x")</f>
        <v/>
      </c>
      <c r="D24" s="7">
        <f>COUNTIFS(Raspored!$C$5:$C$52,$A24,Raspored!$F$5:$F$52,"x")</f>
        <v/>
      </c>
      <c r="E24" s="7">
        <f>COUNTIFS(Raspored!$C$5:$C$52,$A24,Raspored!$G$5:$G$52,"x")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PDF ne navodi naselja po terenima; svoj teren (dan odvoza miješanog otpada: ponedjeljak, utorak) provjerite kod Mull-Transa (049/587-837, info@mull-trans.hr). Mobilno reciklažno dvorište: 27.2., 29.5., 28.8., 13.11. (lokacije i vrijeme u PDF-u). Izmjena rasporeda za srpanj (obavijest 10.7.2026., https://mull-trans.hr/2026/07/10/opcinu-breznica-srpanj-2026-vazna-obavijest/): miješani 13.7., 14.7., 27.7., 28.7. umjesto 20.7., 21.7. Izvor: https://mull-trans.hr/wp-content/uploads/2026/08/Opcina-Breznica-raspored-za-2026.pdf (PDF izmijenjen 25.08.2026.)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42 (Breznica)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46062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46090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46097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24" t="n">
        <v>46116</v>
      </c>
      <c r="B17" s="25" t="inlineStr">
        <is>
          <t>subota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inlineStr">
        <is>
          <t>Pomaknuto zbog neradnog dana u tjednu</t>
        </is>
      </c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46181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46183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46202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46209</v>
      </c>
      <c r="B28" s="7" t="inlineStr">
        <is>
          <t>ponedjeljak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46211</v>
      </c>
      <c r="B29" s="7" t="inlineStr">
        <is>
          <t>srijeda</t>
        </is>
      </c>
      <c r="C29" s="7" t="inlineStr">
        <is>
          <t>srpanj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46230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46244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46251</v>
      </c>
      <c r="B33" s="7" t="inlineStr">
        <is>
          <t>ponedjeljak</t>
        </is>
      </c>
      <c r="C33" s="7" t="inlineStr">
        <is>
          <t>kolovoz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46253</v>
      </c>
      <c r="B34" s="7" t="inlineStr">
        <is>
          <t>srijeda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46258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46272</v>
      </c>
      <c r="B36" s="7" t="inlineStr">
        <is>
          <t>ponedjeljak</t>
        </is>
      </c>
      <c r="C36" s="7" t="inlineStr">
        <is>
          <t>rujan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46279</v>
      </c>
      <c r="B37" s="7" t="inlineStr">
        <is>
          <t>ponedjeljak</t>
        </is>
      </c>
      <c r="C37" s="7" t="inlineStr">
        <is>
          <t>rujan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46281</v>
      </c>
      <c r="B38" s="7" t="inlineStr">
        <is>
          <t>srijeda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46286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46288</v>
      </c>
      <c r="B40" s="7" t="inlineStr">
        <is>
          <t>srijeda</t>
        </is>
      </c>
      <c r="C40" s="7" t="inlineStr">
        <is>
          <t>rujan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46307</v>
      </c>
      <c r="B42" s="7" t="inlineStr">
        <is>
          <t>ponedjeljak</t>
        </is>
      </c>
      <c r="C42" s="7" t="inlineStr">
        <is>
          <t>listopad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46309</v>
      </c>
      <c r="B43" s="7" t="inlineStr">
        <is>
          <t>srijeda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46328</v>
      </c>
      <c r="B45" s="7" t="inlineStr">
        <is>
          <t>ponedjeljak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46335</v>
      </c>
      <c r="B46" s="7" t="inlineStr">
        <is>
          <t>ponedjeljak</t>
        </is>
      </c>
      <c r="C46" s="7" t="inlineStr">
        <is>
          <t>studeni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24" t="n">
        <v>46340</v>
      </c>
      <c r="B47" s="25" t="inlineStr">
        <is>
          <t>subota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n"/>
      <c r="G47" s="7" t="n"/>
      <c r="H47" s="23" t="inlineStr">
        <is>
          <t>Pomaknuto zbog neradnog dana u tjednu</t>
        </is>
      </c>
    </row>
    <row r="48">
      <c r="A48" s="6" t="n">
        <v>46342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46356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46363</v>
      </c>
      <c r="B50" s="7" t="inlineStr">
        <is>
          <t>ponedjeljak</t>
        </is>
      </c>
      <c r="C50" s="7" t="inlineStr">
        <is>
          <t>prosinac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46365</v>
      </c>
      <c r="B51" s="7" t="inlineStr">
        <is>
          <t>srijeda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46377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</sheetData>
  <autoFilter ref="A4:H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G5:G52">
    <cfRule type="expression" priority="4" dxfId="3">
      <formula>G5="x"</formula>
    </cfRule>
  </conditionalFormatting>
  <conditionalFormatting sqref="A5:H5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10" t="inlineStr">
        <is>
          <t>Papir i karton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46041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46062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46069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6" t="n">
        <v>46071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46076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46090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46097</v>
      </c>
      <c r="B11" s="17" t="inlineStr">
        <is>
          <t>ponedjeljak</t>
        </is>
      </c>
      <c r="C11" s="10" t="inlineStr">
        <is>
          <t>Papir i karton</t>
        </is>
      </c>
      <c r="D11" s="17" t="n"/>
    </row>
    <row r="12">
      <c r="A12" s="26" t="n">
        <v>46099</v>
      </c>
      <c r="B12" s="17" t="inlineStr">
        <is>
          <t>srijeda</t>
        </is>
      </c>
      <c r="C12" s="9" t="inlineStr">
        <is>
          <t>Plastika i metal</t>
        </is>
      </c>
      <c r="D12" s="17" t="n"/>
    </row>
    <row r="13">
      <c r="A13" s="26" t="n">
        <v>46104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46116</v>
      </c>
      <c r="B14" s="17" t="inlineStr">
        <is>
          <t>subota</t>
        </is>
      </c>
      <c r="C14" s="5" t="inlineStr">
        <is>
          <t>Miješani komunalni otpad</t>
        </is>
      </c>
      <c r="D14" s="17" t="inlineStr">
        <is>
          <t>Pomaknuto zbog neradnog dana u tjednu</t>
        </is>
      </c>
    </row>
    <row r="15">
      <c r="A15" s="26" t="n">
        <v>46125</v>
      </c>
      <c r="B15" s="17" t="inlineStr">
        <is>
          <t>ponedjeljak</t>
        </is>
      </c>
      <c r="C15" s="10" t="inlineStr">
        <is>
          <t>Papir i karton</t>
        </is>
      </c>
      <c r="D15" s="17" t="n"/>
    </row>
    <row r="16">
      <c r="A16" s="26" t="n">
        <v>46127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46132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46146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46153</v>
      </c>
      <c r="B19" s="17" t="inlineStr">
        <is>
          <t>ponedjeljak</t>
        </is>
      </c>
      <c r="C19" s="10" t="inlineStr">
        <is>
          <t>Papir i karton</t>
        </is>
      </c>
      <c r="D19" s="17" t="n"/>
    </row>
    <row r="20">
      <c r="A20" s="26" t="n">
        <v>46155</v>
      </c>
      <c r="B20" s="17" t="inlineStr">
        <is>
          <t>srijeda</t>
        </is>
      </c>
      <c r="C20" s="9" t="inlineStr">
        <is>
          <t>Plastika i metal</t>
        </is>
      </c>
      <c r="D20" s="17" t="n"/>
    </row>
    <row r="21">
      <c r="A21" s="26" t="n">
        <v>46160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46181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46181</v>
      </c>
      <c r="B23" s="17" t="inlineStr">
        <is>
          <t>ponedjeljak</t>
        </is>
      </c>
      <c r="C23" s="10" t="inlineStr">
        <is>
          <t>Papir i karton</t>
        </is>
      </c>
      <c r="D23" s="17" t="n"/>
    </row>
    <row r="24">
      <c r="A24" s="26" t="n">
        <v>46183</v>
      </c>
      <c r="B24" s="17" t="inlineStr">
        <is>
          <t>srijeda</t>
        </is>
      </c>
      <c r="C24" s="9" t="inlineStr">
        <is>
          <t>Plastika i metal</t>
        </is>
      </c>
      <c r="D24" s="17" t="n"/>
    </row>
    <row r="25">
      <c r="A25" s="26" t="n">
        <v>46202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46209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46209</v>
      </c>
      <c r="B27" s="17" t="inlineStr">
        <is>
          <t>ponedjeljak</t>
        </is>
      </c>
      <c r="C27" s="10" t="inlineStr">
        <is>
          <t>Papir i karton</t>
        </is>
      </c>
      <c r="D27" s="17" t="n"/>
    </row>
    <row r="28">
      <c r="A28" s="26" t="n">
        <v>46211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46216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46230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46244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46251</v>
      </c>
      <c r="B32" s="17" t="inlineStr">
        <is>
          <t>ponedjeljak</t>
        </is>
      </c>
      <c r="C32" s="10" t="inlineStr">
        <is>
          <t>Papir i karton</t>
        </is>
      </c>
      <c r="D32" s="17" t="n"/>
    </row>
    <row r="33">
      <c r="A33" s="26" t="n">
        <v>46253</v>
      </c>
      <c r="B33" s="17" t="inlineStr">
        <is>
          <t>srijeda</t>
        </is>
      </c>
      <c r="C33" s="9" t="inlineStr">
        <is>
          <t>Plastika i metal</t>
        </is>
      </c>
      <c r="D33" s="17" t="n"/>
    </row>
    <row r="34">
      <c r="A34" s="26" t="n">
        <v>46258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46272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46279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6" t="n">
        <v>46281</v>
      </c>
      <c r="B37" s="17" t="inlineStr">
        <is>
          <t>srijeda</t>
        </is>
      </c>
      <c r="C37" s="9" t="inlineStr">
        <is>
          <t>Plastika i metal</t>
        </is>
      </c>
      <c r="D37" s="17" t="n"/>
    </row>
    <row r="38">
      <c r="A38" s="26" t="n">
        <v>46286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46288</v>
      </c>
      <c r="B39" s="17" t="inlineStr">
        <is>
          <t>srijeda</t>
        </is>
      </c>
      <c r="C39" s="11" t="inlineStr">
        <is>
          <t>Glomazni otpad</t>
        </is>
      </c>
      <c r="D39" s="17" t="n"/>
    </row>
    <row r="40">
      <c r="A40" s="26" t="n">
        <v>46300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46307</v>
      </c>
      <c r="B41" s="17" t="inlineStr">
        <is>
          <t>ponedjeljak</t>
        </is>
      </c>
      <c r="C41" s="10" t="inlineStr">
        <is>
          <t>Papir i karton</t>
        </is>
      </c>
      <c r="D41" s="17" t="n"/>
    </row>
    <row r="42">
      <c r="A42" s="26" t="n">
        <v>46309</v>
      </c>
      <c r="B42" s="17" t="inlineStr">
        <is>
          <t>srijeda</t>
        </is>
      </c>
      <c r="C42" s="9" t="inlineStr">
        <is>
          <t>Plastika i metal</t>
        </is>
      </c>
      <c r="D42" s="17" t="n"/>
    </row>
    <row r="43">
      <c r="A43" s="26" t="n">
        <v>46314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46328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46335</v>
      </c>
      <c r="B45" s="17" t="inlineStr">
        <is>
          <t>ponedjeljak</t>
        </is>
      </c>
      <c r="C45" s="10" t="inlineStr">
        <is>
          <t>Papir i karton</t>
        </is>
      </c>
      <c r="D45" s="17" t="n"/>
    </row>
    <row r="46">
      <c r="A46" s="26" t="n">
        <v>46340</v>
      </c>
      <c r="B46" s="17" t="inlineStr">
        <is>
          <t>subota</t>
        </is>
      </c>
      <c r="C46" s="9" t="inlineStr">
        <is>
          <t>Plastika i metal</t>
        </is>
      </c>
      <c r="D46" s="17" t="inlineStr">
        <is>
          <t>Pomaknuto zbog neradnog dana u tjednu</t>
        </is>
      </c>
    </row>
    <row r="47">
      <c r="A47" s="26" t="n">
        <v>46342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46356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46363</v>
      </c>
      <c r="B49" s="17" t="inlineStr">
        <is>
          <t>ponedjeljak</t>
        </is>
      </c>
      <c r="C49" s="10" t="inlineStr">
        <is>
          <t>Papir i karton</t>
        </is>
      </c>
      <c r="D49" s="17" t="n"/>
    </row>
    <row r="50">
      <c r="A50" s="26" t="n">
        <v>46365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46377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
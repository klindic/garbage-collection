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'Raspored'!$A$4:$H$39</definedName>
    <definedName name="_xlnm._FilterDatabase" localSheetId="2" hidden="1">'Po vrsti'!$A$1:$D$45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IFERROR(1/(1/_xlfn.MINIFS(Raspored!$A$5:$A$39,Raspored!$D$5:$D$39,"x",Raspored!$A$5:$A$39,"&gt;="&amp;$B$3)),"nema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COUNTIF(Raspored!$D$5:$D$39,"x")</f>
        <v/>
      </c>
    </row>
    <row r="7">
      <c r="A7" s="9" t="inlineStr">
        <is>
          <t>Plastika i metal</t>
        </is>
      </c>
      <c r="B7" s="6">
        <f>IFERROR(1/(1/_xlfn.MINIFS(Raspored!$A$5:$A$39,Raspored!$E$5:$E$39,"x",Raspored!$A$5:$A$39,"&gt;="&amp;$B$3)),"nema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COUNTIF(Raspored!$E$5:$E$39,"x")</f>
        <v/>
      </c>
    </row>
    <row r="8">
      <c r="A8" s="10" t="inlineStr">
        <is>
          <t>Papir i karton</t>
        </is>
      </c>
      <c r="B8" s="6">
        <f>IFERROR(1/(1/_xlfn.MINIFS(Raspored!$A$5:$A$39,Raspored!$F$5:$F$39,"x",Raspored!$A$5:$A$39,"&gt;="&amp;$B$3)),"nema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COUNTIF(Raspored!$F$5:$F$39,"x")</f>
        <v/>
      </c>
    </row>
    <row r="9">
      <c r="A9" s="11" t="inlineStr">
        <is>
          <t>Glomazni otpad</t>
        </is>
      </c>
      <c r="B9" s="6">
        <f>IFERROR(1/(1/_xlfn.MINIFS(Raspored!$A$5:$A$39,Raspored!$G$5:$G$39,"x",Raspored!$A$5:$A$39,"&gt;="&amp;$B$3)),"nema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COUNTIFS(Raspored!$C$5:$C$39,$A13,Raspored!$D$5:$D$39,"x")</f>
        <v/>
      </c>
      <c r="C13" s="7">
        <f>COUNTIFS(Raspored!$C$5:$C$39,$A13,Raspored!$E$5:$E$39,"x")</f>
        <v/>
      </c>
      <c r="D13" s="7">
        <f>COUNTIFS(Raspored!$C$5:$C$39,$A13,Raspored!$F$5:$F$39,"x")</f>
        <v/>
      </c>
      <c r="E13" s="7">
        <f>COUNTIFS(Raspored!$C$5:$C$39,$A13,Raspored!$G$5:$G$39,"x")</f>
        <v/>
      </c>
    </row>
    <row r="14">
      <c r="A14" s="17" t="inlineStr">
        <is>
          <t>veljača</t>
        </is>
      </c>
      <c r="B14" s="7">
        <f>COUNTIFS(Raspored!$C$5:$C$39,$A14,Raspored!$D$5:$D$39,"x")</f>
        <v/>
      </c>
      <c r="C14" s="7">
        <f>COUNTIFS(Raspored!$C$5:$C$39,$A14,Raspored!$E$5:$E$39,"x")</f>
        <v/>
      </c>
      <c r="D14" s="7">
        <f>COUNTIFS(Raspored!$C$5:$C$39,$A14,Raspored!$F$5:$F$39,"x")</f>
        <v/>
      </c>
      <c r="E14" s="7">
        <f>COUNTIFS(Raspored!$C$5:$C$39,$A14,Raspored!$G$5:$G$39,"x")</f>
        <v/>
      </c>
    </row>
    <row r="15">
      <c r="A15" s="17" t="inlineStr">
        <is>
          <t>ožujak</t>
        </is>
      </c>
      <c r="B15" s="7">
        <f>COUNTIFS(Raspored!$C$5:$C$39,$A15,Raspored!$D$5:$D$39,"x")</f>
        <v/>
      </c>
      <c r="C15" s="7">
        <f>COUNTIFS(Raspored!$C$5:$C$39,$A15,Raspored!$E$5:$E$39,"x")</f>
        <v/>
      </c>
      <c r="D15" s="7">
        <f>COUNTIFS(Raspored!$C$5:$C$39,$A15,Raspored!$F$5:$F$39,"x")</f>
        <v/>
      </c>
      <c r="E15" s="7">
        <f>COUNTIFS(Raspored!$C$5:$C$39,$A15,Raspored!$G$5:$G$39,"x")</f>
        <v/>
      </c>
    </row>
    <row r="16">
      <c r="A16" s="17" t="inlineStr">
        <is>
          <t>travanj</t>
        </is>
      </c>
      <c r="B16" s="7">
        <f>COUNTIFS(Raspored!$C$5:$C$39,$A16,Raspored!$D$5:$D$39,"x")</f>
        <v/>
      </c>
      <c r="C16" s="7">
        <f>COUNTIFS(Raspored!$C$5:$C$39,$A16,Raspored!$E$5:$E$39,"x")</f>
        <v/>
      </c>
      <c r="D16" s="7">
        <f>COUNTIFS(Raspored!$C$5:$C$39,$A16,Raspored!$F$5:$F$39,"x")</f>
        <v/>
      </c>
      <c r="E16" s="7">
        <f>COUNTIFS(Raspored!$C$5:$C$39,$A16,Raspored!$G$5:$G$39,"x")</f>
        <v/>
      </c>
    </row>
    <row r="17">
      <c r="A17" s="17" t="inlineStr">
        <is>
          <t>svibanj</t>
        </is>
      </c>
      <c r="B17" s="7">
        <f>COUNTIFS(Raspored!$C$5:$C$39,$A17,Raspored!$D$5:$D$39,"x")</f>
        <v/>
      </c>
      <c r="C17" s="7">
        <f>COUNTIFS(Raspored!$C$5:$C$39,$A17,Raspored!$E$5:$E$39,"x")</f>
        <v/>
      </c>
      <c r="D17" s="7">
        <f>COUNTIFS(Raspored!$C$5:$C$39,$A17,Raspored!$F$5:$F$39,"x")</f>
        <v/>
      </c>
      <c r="E17" s="7">
        <f>COUNTIFS(Raspored!$C$5:$C$39,$A17,Raspored!$G$5:$G$39,"x")</f>
        <v/>
      </c>
    </row>
    <row r="18">
      <c r="A18" s="17" t="inlineStr">
        <is>
          <t>lipanj</t>
        </is>
      </c>
      <c r="B18" s="7">
        <f>COUNTIFS(Raspored!$C$5:$C$39,$A18,Raspored!$D$5:$D$39,"x")</f>
        <v/>
      </c>
      <c r="C18" s="7">
        <f>COUNTIFS(Raspored!$C$5:$C$39,$A18,Raspored!$E$5:$E$39,"x")</f>
        <v/>
      </c>
      <c r="D18" s="7">
        <f>COUNTIFS(Raspored!$C$5:$C$39,$A18,Raspored!$F$5:$F$39,"x")</f>
        <v/>
      </c>
      <c r="E18" s="7">
        <f>COUNTIFS(Raspored!$C$5:$C$39,$A18,Raspored!$G$5:$G$39,"x")</f>
        <v/>
      </c>
    </row>
    <row r="19">
      <c r="A19" s="17" t="inlineStr">
        <is>
          <t>srpanj</t>
        </is>
      </c>
      <c r="B19" s="7">
        <f>COUNTIFS(Raspored!$C$5:$C$39,$A19,Raspored!$D$5:$D$39,"x")</f>
        <v/>
      </c>
      <c r="C19" s="7">
        <f>COUNTIFS(Raspored!$C$5:$C$39,$A19,Raspored!$E$5:$E$39,"x")</f>
        <v/>
      </c>
      <c r="D19" s="7">
        <f>COUNTIFS(Raspored!$C$5:$C$39,$A19,Raspored!$F$5:$F$39,"x")</f>
        <v/>
      </c>
      <c r="E19" s="7">
        <f>COUNTIFS(Raspored!$C$5:$C$39,$A19,Raspored!$G$5:$G$39,"x")</f>
        <v/>
      </c>
    </row>
    <row r="20">
      <c r="A20" s="17" t="inlineStr">
        <is>
          <t>kolovoz</t>
        </is>
      </c>
      <c r="B20" s="7">
        <f>COUNTIFS(Raspored!$C$5:$C$39,$A20,Raspored!$D$5:$D$39,"x")</f>
        <v/>
      </c>
      <c r="C20" s="7">
        <f>COUNTIFS(Raspored!$C$5:$C$39,$A20,Raspored!$E$5:$E$39,"x")</f>
        <v/>
      </c>
      <c r="D20" s="7">
        <f>COUNTIFS(Raspored!$C$5:$C$39,$A20,Raspored!$F$5:$F$39,"x")</f>
        <v/>
      </c>
      <c r="E20" s="7">
        <f>COUNTIFS(Raspored!$C$5:$C$39,$A20,Raspored!$G$5:$G$39,"x")</f>
        <v/>
      </c>
    </row>
    <row r="21">
      <c r="A21" s="17" t="inlineStr">
        <is>
          <t>rujan</t>
        </is>
      </c>
      <c r="B21" s="7">
        <f>COUNTIFS(Raspored!$C$5:$C$39,$A21,Raspored!$D$5:$D$39,"x")</f>
        <v/>
      </c>
      <c r="C21" s="7">
        <f>COUNTIFS(Raspored!$C$5:$C$39,$A21,Raspored!$E$5:$E$39,"x")</f>
        <v/>
      </c>
      <c r="D21" s="7">
        <f>COUNTIFS(Raspored!$C$5:$C$39,$A21,Raspored!$F$5:$F$39,"x")</f>
        <v/>
      </c>
      <c r="E21" s="7">
        <f>COUNTIFS(Raspored!$C$5:$C$39,$A21,Raspored!$G$5:$G$39,"x")</f>
        <v/>
      </c>
    </row>
    <row r="22">
      <c r="A22" s="17" t="inlineStr">
        <is>
          <t>listopad</t>
        </is>
      </c>
      <c r="B22" s="7">
        <f>COUNTIFS(Raspored!$C$5:$C$39,$A22,Raspored!$D$5:$D$39,"x")</f>
        <v/>
      </c>
      <c r="C22" s="7">
        <f>COUNTIFS(Raspored!$C$5:$C$39,$A22,Raspored!$E$5:$E$39,"x")</f>
        <v/>
      </c>
      <c r="D22" s="7">
        <f>COUNTIFS(Raspored!$C$5:$C$39,$A22,Raspored!$F$5:$F$39,"x")</f>
        <v/>
      </c>
      <c r="E22" s="7">
        <f>COUNTIFS(Raspored!$C$5:$C$39,$A22,Raspored!$G$5:$G$39,"x")</f>
        <v/>
      </c>
    </row>
    <row r="23">
      <c r="A23" s="17" t="inlineStr">
        <is>
          <t>studeni</t>
        </is>
      </c>
      <c r="B23" s="7">
        <f>COUNTIFS(Raspored!$C$5:$C$39,$A23,Raspored!$D$5:$D$39,"x")</f>
        <v/>
      </c>
      <c r="C23" s="7">
        <f>COUNTIFS(Raspored!$C$5:$C$39,$A23,Raspored!$E$5:$E$39,"x")</f>
        <v/>
      </c>
      <c r="D23" s="7">
        <f>COUNTIFS(Raspored!$C$5:$C$39,$A23,Raspored!$F$5:$F$39,"x")</f>
        <v/>
      </c>
      <c r="E23" s="7">
        <f>COUNTIFS(Raspored!$C$5:$C$39,$A23,Raspored!$G$5:$G$39,"x")</f>
        <v/>
      </c>
    </row>
    <row r="24">
      <c r="A24" s="17" t="inlineStr">
        <is>
          <t>prosinac</t>
        </is>
      </c>
      <c r="B24" s="7">
        <f>COUNTIFS(Raspored!$C$5:$C$39,$A24,Raspored!$D$5:$D$39,"x")</f>
        <v/>
      </c>
      <c r="C24" s="7">
        <f>COUNTIFS(Raspored!$C$5:$C$39,$A24,Raspored!$E$5:$E$39,"x")</f>
        <v/>
      </c>
      <c r="D24" s="7">
        <f>COUNTIFS(Raspored!$C$5:$C$39,$A24,Raspored!$F$5:$F$39,"x")</f>
        <v/>
      </c>
      <c r="E24" s="7">
        <f>COUNTIFS(Raspored!$C$5:$C$39,$A24,Raspored!$G$5:$G$39,"x")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Od 3.9.2026. odvoz obavlja Doroslov d.o.o.; ovdje je raspored do tada. Mobilno reciklažno dvorište: 9.2., 11.5., 10.8., 5.11. (lokacije i vrijeme u PDF-u). Izvor: https://mull-trans.hr/wp-content/uploads/2026/04/OPCINA-MAGADENOVAC-raspored-odvoza-otpada-za-2026.pdf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60 (Magadenovac)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23" t="n">
        <v>46179</v>
      </c>
      <c r="B27" s="24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5" t="n"/>
    </row>
  </sheetData>
  <autoFilter ref="A4:H39"/>
  <conditionalFormatting sqref="D5:D39">
    <cfRule type="expression" priority="1" dxfId="0">
      <formula>D5="x"</formula>
    </cfRule>
  </conditionalFormatting>
  <conditionalFormatting sqref="E5:E39">
    <cfRule type="expression" priority="2" dxfId="1">
      <formula>E5="x"</formula>
    </cfRule>
  </conditionalFormatting>
  <conditionalFormatting sqref="F5:F39">
    <cfRule type="expression" priority="3" dxfId="2">
      <formula>F5="x"</formula>
    </cfRule>
  </conditionalFormatting>
  <conditionalFormatting sqref="G5:G39">
    <cfRule type="expression" priority="4" dxfId="3">
      <formula>G5="x"</formula>
    </cfRule>
  </conditionalFormatting>
  <conditionalFormatting sqref="A5:H3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46044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46051</v>
      </c>
      <c r="B6" s="17" t="inlineStr">
        <is>
          <t>četvrtak</t>
        </is>
      </c>
      <c r="C6" s="9" t="inlineStr">
        <is>
          <t>Plastika i metal</t>
        </is>
      </c>
      <c r="D6" s="17" t="n"/>
    </row>
    <row r="7">
      <c r="A7" s="26" t="n">
        <v>46051</v>
      </c>
      <c r="B7" s="17" t="inlineStr">
        <is>
          <t>četvrtak</t>
        </is>
      </c>
      <c r="C7" s="10" t="inlineStr">
        <is>
          <t>Papir i karton</t>
        </is>
      </c>
      <c r="D7" s="17" t="n"/>
    </row>
    <row r="8">
      <c r="A8" s="26" t="n">
        <v>46058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46065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46072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46079</v>
      </c>
      <c r="B11" s="17" t="inlineStr">
        <is>
          <t>četvrtak</t>
        </is>
      </c>
      <c r="C11" s="9" t="inlineStr">
        <is>
          <t>Plastika i metal</t>
        </is>
      </c>
      <c r="D11" s="17" t="n"/>
    </row>
    <row r="12">
      <c r="A12" s="26" t="n">
        <v>46079</v>
      </c>
      <c r="B12" s="17" t="inlineStr">
        <is>
          <t>četvrtak</t>
        </is>
      </c>
      <c r="C12" s="10" t="inlineStr">
        <is>
          <t>Papir i karton</t>
        </is>
      </c>
      <c r="D12" s="17" t="n"/>
    </row>
    <row r="13">
      <c r="A13" s="26" t="n">
        <v>46086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46093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46093</v>
      </c>
      <c r="B15" s="17" t="inlineStr">
        <is>
          <t>četvrtak</t>
        </is>
      </c>
      <c r="C15" s="11" t="inlineStr">
        <is>
          <t>Glomazni otpad</t>
        </is>
      </c>
      <c r="D15" s="17" t="n"/>
    </row>
    <row r="16">
      <c r="A16" s="26" t="n">
        <v>46100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46107</v>
      </c>
      <c r="B17" s="17" t="inlineStr">
        <is>
          <t>četvrtak</t>
        </is>
      </c>
      <c r="C17" s="9" t="inlineStr">
        <is>
          <t>Plastika i metal</t>
        </is>
      </c>
      <c r="D17" s="17" t="n"/>
    </row>
    <row r="18">
      <c r="A18" s="26" t="n">
        <v>46107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6" t="n">
        <v>46114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46121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46128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46135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46142</v>
      </c>
      <c r="B23" s="17" t="inlineStr">
        <is>
          <t>četvrtak</t>
        </is>
      </c>
      <c r="C23" s="9" t="inlineStr">
        <is>
          <t>Plastika i metal</t>
        </is>
      </c>
      <c r="D23" s="17" t="n"/>
    </row>
    <row r="24">
      <c r="A24" s="26" t="n">
        <v>46142</v>
      </c>
      <c r="B24" s="17" t="inlineStr">
        <is>
          <t>četvrtak</t>
        </is>
      </c>
      <c r="C24" s="10" t="inlineStr">
        <is>
          <t>Papir i karton</t>
        </is>
      </c>
      <c r="D24" s="17" t="n"/>
    </row>
    <row r="25">
      <c r="A25" s="26" t="n">
        <v>46149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46156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46163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46170</v>
      </c>
      <c r="B28" s="17" t="inlineStr">
        <is>
          <t>četvrtak</t>
        </is>
      </c>
      <c r="C28" s="9" t="inlineStr">
        <is>
          <t>Plastika i metal</t>
        </is>
      </c>
      <c r="D28" s="17" t="n"/>
    </row>
    <row r="29">
      <c r="A29" s="26" t="n">
        <v>46170</v>
      </c>
      <c r="B29" s="17" t="inlineStr">
        <is>
          <t>četvrtak</t>
        </is>
      </c>
      <c r="C29" s="10" t="inlineStr">
        <is>
          <t>Papir i karton</t>
        </is>
      </c>
      <c r="D29" s="17" t="n"/>
    </row>
    <row r="30">
      <c r="A30" s="26" t="n">
        <v>46179</v>
      </c>
      <c r="B30" s="17" t="inlineStr">
        <is>
          <t>subota</t>
        </is>
      </c>
      <c r="C30" s="5" t="inlineStr">
        <is>
          <t>Miješani komunalni otpad</t>
        </is>
      </c>
      <c r="D30" s="17" t="inlineStr">
        <is>
          <t>Pomaknuto zbog neradnog dana u tjednu</t>
        </is>
      </c>
    </row>
    <row r="31">
      <c r="A31" s="26" t="n">
        <v>46184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46191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46198</v>
      </c>
      <c r="B33" s="17" t="inlineStr">
        <is>
          <t>četvrtak</t>
        </is>
      </c>
      <c r="C33" s="9" t="inlineStr">
        <is>
          <t>Plastika i metal</t>
        </is>
      </c>
      <c r="D33" s="17" t="n"/>
    </row>
    <row r="34">
      <c r="A34" s="26" t="n">
        <v>46198</v>
      </c>
      <c r="B34" s="17" t="inlineStr">
        <is>
          <t>četvrtak</t>
        </is>
      </c>
      <c r="C34" s="10" t="inlineStr">
        <is>
          <t>Papir i karton</t>
        </is>
      </c>
      <c r="D34" s="17" t="n"/>
    </row>
    <row r="35">
      <c r="A35" s="26" t="n">
        <v>46205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46212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46219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46226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46233</v>
      </c>
      <c r="B39" s="17" t="inlineStr">
        <is>
          <t>četvrtak</t>
        </is>
      </c>
      <c r="C39" s="9" t="inlineStr">
        <is>
          <t>Plastika i metal</t>
        </is>
      </c>
      <c r="D39" s="17" t="n"/>
    </row>
    <row r="40">
      <c r="A40" s="26" t="n">
        <v>46233</v>
      </c>
      <c r="B40" s="17" t="inlineStr">
        <is>
          <t>četvrtak</t>
        </is>
      </c>
      <c r="C40" s="10" t="inlineStr">
        <is>
          <t>Papir i karton</t>
        </is>
      </c>
      <c r="D40" s="17" t="n"/>
    </row>
    <row r="41">
      <c r="A41" s="26" t="n">
        <v>46240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46247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46254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46261</v>
      </c>
      <c r="B44" s="17" t="inlineStr">
        <is>
          <t>četvrtak</t>
        </is>
      </c>
      <c r="C44" s="9" t="inlineStr">
        <is>
          <t>Plastika i metal</t>
        </is>
      </c>
      <c r="D44" s="17" t="n"/>
    </row>
    <row r="45">
      <c r="A45" s="26" t="n">
        <v>46261</v>
      </c>
      <c r="B45" s="17" t="inlineStr">
        <is>
          <t>četvrtak</t>
        </is>
      </c>
      <c r="C45" s="10" t="inlineStr">
        <is>
          <t>Papir i karton</t>
        </is>
      </c>
      <c r="D45" s="17" t="n"/>
    </row>
  </sheetData>
  <autoFilter ref="A1:D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2026-10-08T06:14:11Z</dcterms:created>
  <dcterms:modified xmlns:dcterms="http://purl.org/dc/terms/" xmlns:xsi="http://www.w3.org/2001/XMLSchema-instance" xsi:type="dcterms:W3CDTF">2026-10-08T06:14:11Z</dcterms:modified>
</cp:coreProperties>
</file>
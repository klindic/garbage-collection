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'Raspored'!$A$4:$H$53</definedName>
    <definedName name="_xlnm._FilterDatabase" localSheetId="2" hidden="1">'Po vrsti'!$A$1:$D$62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IFERROR(1/(1/_xlfn.MINIFS(Raspored!$A$5:$A$53,Raspored!$D$5:$D$53,"x",Raspored!$A$5:$A$53,"&gt;="&amp;$B$3)),"nema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COUNTIF(Raspored!$D$5:$D$53,"x")</f>
        <v/>
      </c>
    </row>
    <row r="7">
      <c r="A7" s="9" t="inlineStr">
        <is>
          <t>Plastika i metal</t>
        </is>
      </c>
      <c r="B7" s="6">
        <f>IFERROR(1/(1/_xlfn.MINIFS(Raspored!$A$5:$A$53,Raspored!$E$5:$E$53,"x",Raspored!$A$5:$A$53,"&gt;="&amp;$B$3)),"nema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COUNTIF(Raspored!$E$5:$E$53,"x")</f>
        <v/>
      </c>
    </row>
    <row r="8">
      <c r="A8" s="10" t="inlineStr">
        <is>
          <t>Papir i karton</t>
        </is>
      </c>
      <c r="B8" s="6">
        <f>IFERROR(1/(1/_xlfn.MINIFS(Raspored!$A$5:$A$53,Raspored!$F$5:$F$53,"x",Raspored!$A$5:$A$53,"&gt;="&amp;$B$3)),"nema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COUNTIF(Raspored!$F$5:$F$53,"x")</f>
        <v/>
      </c>
    </row>
    <row r="9">
      <c r="A9" s="11" t="inlineStr">
        <is>
          <t>Glomazni otpad</t>
        </is>
      </c>
      <c r="B9" s="6">
        <f>IFERROR(1/(1/_xlfn.MINIFS(Raspored!$A$5:$A$53,Raspored!$G$5:$G$53,"x",Raspored!$A$5:$A$53,"&gt;="&amp;$B$3)),"nema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COUNTIFS(Raspored!$C$5:$C$53,$A13,Raspored!$D$5:$D$53,"x")</f>
        <v/>
      </c>
      <c r="C13" s="7">
        <f>COUNTIFS(Raspored!$C$5:$C$53,$A13,Raspored!$E$5:$E$53,"x")</f>
        <v/>
      </c>
      <c r="D13" s="7">
        <f>COUNTIFS(Raspored!$C$5:$C$53,$A13,Raspored!$F$5:$F$53,"x")</f>
        <v/>
      </c>
      <c r="E13" s="7">
        <f>COUNTIFS(Raspored!$C$5:$C$53,$A13,Raspored!$G$5:$G$53,"x")</f>
        <v/>
      </c>
    </row>
    <row r="14">
      <c r="A14" s="17" t="inlineStr">
        <is>
          <t>veljača</t>
        </is>
      </c>
      <c r="B14" s="7">
        <f>COUNTIFS(Raspored!$C$5:$C$53,$A14,Raspored!$D$5:$D$53,"x")</f>
        <v/>
      </c>
      <c r="C14" s="7">
        <f>COUNTIFS(Raspored!$C$5:$C$53,$A14,Raspored!$E$5:$E$53,"x")</f>
        <v/>
      </c>
      <c r="D14" s="7">
        <f>COUNTIFS(Raspored!$C$5:$C$53,$A14,Raspored!$F$5:$F$53,"x")</f>
        <v/>
      </c>
      <c r="E14" s="7">
        <f>COUNTIFS(Raspored!$C$5:$C$53,$A14,Raspored!$G$5:$G$53,"x")</f>
        <v/>
      </c>
    </row>
    <row r="15">
      <c r="A15" s="17" t="inlineStr">
        <is>
          <t>ožujak</t>
        </is>
      </c>
      <c r="B15" s="7">
        <f>COUNTIFS(Raspored!$C$5:$C$53,$A15,Raspored!$D$5:$D$53,"x")</f>
        <v/>
      </c>
      <c r="C15" s="7">
        <f>COUNTIFS(Raspored!$C$5:$C$53,$A15,Raspored!$E$5:$E$53,"x")</f>
        <v/>
      </c>
      <c r="D15" s="7">
        <f>COUNTIFS(Raspored!$C$5:$C$53,$A15,Raspored!$F$5:$F$53,"x")</f>
        <v/>
      </c>
      <c r="E15" s="7">
        <f>COUNTIFS(Raspored!$C$5:$C$53,$A15,Raspored!$G$5:$G$53,"x")</f>
        <v/>
      </c>
    </row>
    <row r="16">
      <c r="A16" s="17" t="inlineStr">
        <is>
          <t>travanj</t>
        </is>
      </c>
      <c r="B16" s="7">
        <f>COUNTIFS(Raspored!$C$5:$C$53,$A16,Raspored!$D$5:$D$53,"x")</f>
        <v/>
      </c>
      <c r="C16" s="7">
        <f>COUNTIFS(Raspored!$C$5:$C$53,$A16,Raspored!$E$5:$E$53,"x")</f>
        <v/>
      </c>
      <c r="D16" s="7">
        <f>COUNTIFS(Raspored!$C$5:$C$53,$A16,Raspored!$F$5:$F$53,"x")</f>
        <v/>
      </c>
      <c r="E16" s="7">
        <f>COUNTIFS(Raspored!$C$5:$C$53,$A16,Raspored!$G$5:$G$53,"x")</f>
        <v/>
      </c>
    </row>
    <row r="17">
      <c r="A17" s="17" t="inlineStr">
        <is>
          <t>svibanj</t>
        </is>
      </c>
      <c r="B17" s="7">
        <f>COUNTIFS(Raspored!$C$5:$C$53,$A17,Raspored!$D$5:$D$53,"x")</f>
        <v/>
      </c>
      <c r="C17" s="7">
        <f>COUNTIFS(Raspored!$C$5:$C$53,$A17,Raspored!$E$5:$E$53,"x")</f>
        <v/>
      </c>
      <c r="D17" s="7">
        <f>COUNTIFS(Raspored!$C$5:$C$53,$A17,Raspored!$F$5:$F$53,"x")</f>
        <v/>
      </c>
      <c r="E17" s="7">
        <f>COUNTIFS(Raspored!$C$5:$C$53,$A17,Raspored!$G$5:$G$53,"x")</f>
        <v/>
      </c>
    </row>
    <row r="18">
      <c r="A18" s="17" t="inlineStr">
        <is>
          <t>lipanj</t>
        </is>
      </c>
      <c r="B18" s="7">
        <f>COUNTIFS(Raspored!$C$5:$C$53,$A18,Raspored!$D$5:$D$53,"x")</f>
        <v/>
      </c>
      <c r="C18" s="7">
        <f>COUNTIFS(Raspored!$C$5:$C$53,$A18,Raspored!$E$5:$E$53,"x")</f>
        <v/>
      </c>
      <c r="D18" s="7">
        <f>COUNTIFS(Raspored!$C$5:$C$53,$A18,Raspored!$F$5:$F$53,"x")</f>
        <v/>
      </c>
      <c r="E18" s="7">
        <f>COUNTIFS(Raspored!$C$5:$C$53,$A18,Raspored!$G$5:$G$53,"x")</f>
        <v/>
      </c>
    </row>
    <row r="19">
      <c r="A19" s="17" t="inlineStr">
        <is>
          <t>srpanj</t>
        </is>
      </c>
      <c r="B19" s="7">
        <f>COUNTIFS(Raspored!$C$5:$C$53,$A19,Raspored!$D$5:$D$53,"x")</f>
        <v/>
      </c>
      <c r="C19" s="7">
        <f>COUNTIFS(Raspored!$C$5:$C$53,$A19,Raspored!$E$5:$E$53,"x")</f>
        <v/>
      </c>
      <c r="D19" s="7">
        <f>COUNTIFS(Raspored!$C$5:$C$53,$A19,Raspored!$F$5:$F$53,"x")</f>
        <v/>
      </c>
      <c r="E19" s="7">
        <f>COUNTIFS(Raspored!$C$5:$C$53,$A19,Raspored!$G$5:$G$53,"x")</f>
        <v/>
      </c>
    </row>
    <row r="20">
      <c r="A20" s="17" t="inlineStr">
        <is>
          <t>kolovoz</t>
        </is>
      </c>
      <c r="B20" s="7">
        <f>COUNTIFS(Raspored!$C$5:$C$53,$A20,Raspored!$D$5:$D$53,"x")</f>
        <v/>
      </c>
      <c r="C20" s="7">
        <f>COUNTIFS(Raspored!$C$5:$C$53,$A20,Raspored!$E$5:$E$53,"x")</f>
        <v/>
      </c>
      <c r="D20" s="7">
        <f>COUNTIFS(Raspored!$C$5:$C$53,$A20,Raspored!$F$5:$F$53,"x")</f>
        <v/>
      </c>
      <c r="E20" s="7">
        <f>COUNTIFS(Raspored!$C$5:$C$53,$A20,Raspored!$G$5:$G$53,"x")</f>
        <v/>
      </c>
    </row>
    <row r="21">
      <c r="A21" s="17" t="inlineStr">
        <is>
          <t>rujan</t>
        </is>
      </c>
      <c r="B21" s="7">
        <f>COUNTIFS(Raspored!$C$5:$C$53,$A21,Raspored!$D$5:$D$53,"x")</f>
        <v/>
      </c>
      <c r="C21" s="7">
        <f>COUNTIFS(Raspored!$C$5:$C$53,$A21,Raspored!$E$5:$E$53,"x")</f>
        <v/>
      </c>
      <c r="D21" s="7">
        <f>COUNTIFS(Raspored!$C$5:$C$53,$A21,Raspored!$F$5:$F$53,"x")</f>
        <v/>
      </c>
      <c r="E21" s="7">
        <f>COUNTIFS(Raspored!$C$5:$C$53,$A21,Raspored!$G$5:$G$53,"x")</f>
        <v/>
      </c>
    </row>
    <row r="22">
      <c r="A22" s="17" t="inlineStr">
        <is>
          <t>listopad</t>
        </is>
      </c>
      <c r="B22" s="7">
        <f>COUNTIFS(Raspored!$C$5:$C$53,$A22,Raspored!$D$5:$D$53,"x")</f>
        <v/>
      </c>
      <c r="C22" s="7">
        <f>COUNTIFS(Raspored!$C$5:$C$53,$A22,Raspored!$E$5:$E$53,"x")</f>
        <v/>
      </c>
      <c r="D22" s="7">
        <f>COUNTIFS(Raspored!$C$5:$C$53,$A22,Raspored!$F$5:$F$53,"x")</f>
        <v/>
      </c>
      <c r="E22" s="7">
        <f>COUNTIFS(Raspored!$C$5:$C$53,$A22,Raspored!$G$5:$G$53,"x")</f>
        <v/>
      </c>
    </row>
    <row r="23">
      <c r="A23" s="17" t="inlineStr">
        <is>
          <t>studeni</t>
        </is>
      </c>
      <c r="B23" s="7">
        <f>COUNTIFS(Raspored!$C$5:$C$53,$A23,Raspored!$D$5:$D$53,"x")</f>
        <v/>
      </c>
      <c r="C23" s="7">
        <f>COUNTIFS(Raspored!$C$5:$C$53,$A23,Raspored!$E$5:$E$53,"x")</f>
        <v/>
      </c>
      <c r="D23" s="7">
        <f>COUNTIFS(Raspored!$C$5:$C$53,$A23,Raspored!$F$5:$F$53,"x")</f>
        <v/>
      </c>
      <c r="E23" s="7">
        <f>COUNTIFS(Raspored!$C$5:$C$53,$A23,Raspored!$G$5:$G$53,"x")</f>
        <v/>
      </c>
    </row>
    <row r="24">
      <c r="A24" s="17" t="inlineStr">
        <is>
          <t>prosinac</t>
        </is>
      </c>
      <c r="B24" s="7">
        <f>COUNTIFS(Raspored!$C$5:$C$53,$A24,Raspored!$D$5:$D$53,"x")</f>
        <v/>
      </c>
      <c r="C24" s="7">
        <f>COUNTIFS(Raspored!$C$5:$C$53,$A24,Raspored!$E$5:$E$53,"x")</f>
        <v/>
      </c>
      <c r="D24" s="7">
        <f>COUNTIFS(Raspored!$C$5:$C$53,$A24,Raspored!$F$5:$F$53,"x")</f>
        <v/>
      </c>
      <c r="E24" s="7">
        <f>COUNTIFS(Raspored!$C$5:$C$53,$A24,Raspored!$G$5:$G$53,"x")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Mobilno reciklažno dvorište: 23.1., 19.6., 30.9. (lokacije i vrijeme u PDF-u). Izvor: https://mull-trans.hr/wp-content/uploads/2026/04/Opcina-Jakovlje-raspored-za-2026.pdf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(Jakovlje)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46097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46104</v>
      </c>
      <c r="B15" s="7" t="inlineStr">
        <is>
          <t>ponedjeljak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46111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24" t="n">
        <v>46116</v>
      </c>
      <c r="B17" s="25" t="inlineStr">
        <is>
          <t>subota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inlineStr">
        <is>
          <t>Pomaknuto zbog neradnog dana u tjednu</t>
        </is>
      </c>
    </row>
    <row r="18">
      <c r="A18" s="6" t="n">
        <v>46125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46132</v>
      </c>
      <c r="B19" s="7" t="inlineStr">
        <is>
          <t>ponedjeljak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46139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46146</v>
      </c>
      <c r="B21" s="7" t="inlineStr">
        <is>
          <t>ponedjeljak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46153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46160</v>
      </c>
      <c r="B23" s="7" t="inlineStr">
        <is>
          <t>ponedjeljak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46167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46174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46188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24" t="n">
        <v>46193</v>
      </c>
      <c r="B27" s="25" t="inlineStr">
        <is>
          <t>subota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inlineStr">
        <is>
          <t>Pomaknuto zbog neradnog dana u tjednu</t>
        </is>
      </c>
    </row>
    <row r="28">
      <c r="A28" s="6" t="n">
        <v>46202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46209</v>
      </c>
      <c r="B29" s="7" t="inlineStr">
        <is>
          <t>ponedjeljak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46216</v>
      </c>
      <c r="B30" s="7" t="inlineStr">
        <is>
          <t>ponedjeljak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46223</v>
      </c>
      <c r="B31" s="7" t="inlineStr">
        <is>
          <t>ponedjeljak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46230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46237</v>
      </c>
      <c r="B33" s="7" t="inlineStr">
        <is>
          <t>ponedjeljak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46251</v>
      </c>
      <c r="B34" s="7" t="inlineStr">
        <is>
          <t>ponedjeljak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46258</v>
      </c>
      <c r="B35" s="7" t="inlineStr">
        <is>
          <t>ponedjeljak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46265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46272</v>
      </c>
      <c r="B37" s="7" t="inlineStr">
        <is>
          <t>ponedjeljak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46279</v>
      </c>
      <c r="B38" s="7" t="inlineStr">
        <is>
          <t>ponedjeljak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46282</v>
      </c>
      <c r="B39" s="7" t="inlineStr">
        <is>
          <t>četvrtak</t>
        </is>
      </c>
      <c r="C39" s="7" t="inlineStr">
        <is>
          <t>rujan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46286</v>
      </c>
      <c r="B40" s="7" t="inlineStr">
        <is>
          <t>ponedjeljak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46293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46300</v>
      </c>
      <c r="B42" s="7" t="inlineStr">
        <is>
          <t>ponedjeljak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46307</v>
      </c>
      <c r="B43" s="7" t="inlineStr">
        <is>
          <t>ponedjeljak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46314</v>
      </c>
      <c r="B44" s="7" t="inlineStr">
        <is>
          <t>ponedjeljak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46321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46328</v>
      </c>
      <c r="B46" s="7" t="inlineStr">
        <is>
          <t>ponedjeljak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46342</v>
      </c>
      <c r="B47" s="7" t="inlineStr">
        <is>
          <t>ponedjeljak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46349</v>
      </c>
      <c r="B48" s="7" t="inlineStr">
        <is>
          <t>ponedjeljak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46356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46363</v>
      </c>
      <c r="B50" s="7" t="inlineStr">
        <is>
          <t>ponedjeljak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46370</v>
      </c>
      <c r="B51" s="7" t="inlineStr">
        <is>
          <t>ponedjeljak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46377</v>
      </c>
      <c r="B52" s="7" t="inlineStr">
        <is>
          <t>ponedjeljak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46384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</sheetData>
  <autoFilter ref="A4:H53"/>
  <conditionalFormatting sqref="D5:D53">
    <cfRule type="expression" priority="1" dxfId="0">
      <formula>D5="x"</formula>
    </cfRule>
  </conditionalFormatting>
  <conditionalFormatting sqref="E5:E53">
    <cfRule type="expression" priority="2" dxfId="1">
      <formula>E5="x"</formula>
    </cfRule>
  </conditionalFormatting>
  <conditionalFormatting sqref="F5:F53">
    <cfRule type="expression" priority="3" dxfId="2">
      <formula>F5="x"</formula>
    </cfRule>
  </conditionalFormatting>
  <conditionalFormatting sqref="G5:G53">
    <cfRule type="expression" priority="4" dxfId="3">
      <formula>G5="x"</formula>
    </cfRule>
  </conditionalFormatting>
  <conditionalFormatting sqref="A5:H5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46041</v>
      </c>
      <c r="B4" s="17" t="inlineStr">
        <is>
          <t>ponedjeljak</t>
        </is>
      </c>
      <c r="C4" s="9" t="inlineStr">
        <is>
          <t>Plastika i metal</t>
        </is>
      </c>
      <c r="D4" s="17" t="n"/>
    </row>
    <row r="5">
      <c r="A5" s="26" t="n">
        <v>46041</v>
      </c>
      <c r="B5" s="17" t="inlineStr">
        <is>
          <t>ponedjeljak</t>
        </is>
      </c>
      <c r="C5" s="10" t="inlineStr">
        <is>
          <t>Papir i karton</t>
        </is>
      </c>
      <c r="D5" s="17" t="n"/>
    </row>
    <row r="6">
      <c r="A6" s="26" t="n">
        <v>46048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46055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46062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46069</v>
      </c>
      <c r="B9" s="17" t="inlineStr">
        <is>
          <t>ponedjeljak</t>
        </is>
      </c>
      <c r="C9" s="9" t="inlineStr">
        <is>
          <t>Plastika i metal</t>
        </is>
      </c>
      <c r="D9" s="17" t="n"/>
    </row>
    <row r="10">
      <c r="A10" s="26" t="n">
        <v>46069</v>
      </c>
      <c r="B10" s="17" t="inlineStr">
        <is>
          <t>ponedjeljak</t>
        </is>
      </c>
      <c r="C10" s="10" t="inlineStr">
        <is>
          <t>Papir i karton</t>
        </is>
      </c>
      <c r="D10" s="17" t="n"/>
    </row>
    <row r="11">
      <c r="A11" s="26" t="n">
        <v>46076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46083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46097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46104</v>
      </c>
      <c r="B14" s="17" t="inlineStr">
        <is>
          <t>ponedjeljak</t>
        </is>
      </c>
      <c r="C14" s="9" t="inlineStr">
        <is>
          <t>Plastika i metal</t>
        </is>
      </c>
      <c r="D14" s="17" t="n"/>
    </row>
    <row r="15">
      <c r="A15" s="26" t="n">
        <v>46104</v>
      </c>
      <c r="B15" s="17" t="inlineStr">
        <is>
          <t>ponedjeljak</t>
        </is>
      </c>
      <c r="C15" s="10" t="inlineStr">
        <is>
          <t>Papir i karton</t>
        </is>
      </c>
      <c r="D15" s="17" t="n"/>
    </row>
    <row r="16">
      <c r="A16" s="26" t="n">
        <v>46111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46116</v>
      </c>
      <c r="B17" s="17" t="inlineStr">
        <is>
          <t>subota</t>
        </is>
      </c>
      <c r="C17" s="5" t="inlineStr">
        <is>
          <t>Miješani komunalni otpad</t>
        </is>
      </c>
      <c r="D17" s="17" t="inlineStr">
        <is>
          <t>Pomaknuto zbog neradnog dana u tjednu</t>
        </is>
      </c>
    </row>
    <row r="18">
      <c r="A18" s="26" t="n">
        <v>46125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46132</v>
      </c>
      <c r="B19" s="17" t="inlineStr">
        <is>
          <t>ponedjeljak</t>
        </is>
      </c>
      <c r="C19" s="9" t="inlineStr">
        <is>
          <t>Plastika i metal</t>
        </is>
      </c>
      <c r="D19" s="17" t="n"/>
    </row>
    <row r="20">
      <c r="A20" s="26" t="n">
        <v>46132</v>
      </c>
      <c r="B20" s="17" t="inlineStr">
        <is>
          <t>ponedjeljak</t>
        </is>
      </c>
      <c r="C20" s="10" t="inlineStr">
        <is>
          <t>Papir i karton</t>
        </is>
      </c>
      <c r="D20" s="17" t="n"/>
    </row>
    <row r="21">
      <c r="A21" s="26" t="n">
        <v>46139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46146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46153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46160</v>
      </c>
      <c r="B24" s="17" t="inlineStr">
        <is>
          <t>ponedjeljak</t>
        </is>
      </c>
      <c r="C24" s="9" t="inlineStr">
        <is>
          <t>Plastika i metal</t>
        </is>
      </c>
      <c r="D24" s="17" t="n"/>
    </row>
    <row r="25">
      <c r="A25" s="26" t="n">
        <v>46160</v>
      </c>
      <c r="B25" s="17" t="inlineStr">
        <is>
          <t>ponedjeljak</t>
        </is>
      </c>
      <c r="C25" s="10" t="inlineStr">
        <is>
          <t>Papir i karton</t>
        </is>
      </c>
      <c r="D25" s="17" t="n"/>
    </row>
    <row r="26">
      <c r="A26" s="26" t="n">
        <v>46167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46174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46188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46193</v>
      </c>
      <c r="B29" s="17" t="inlineStr">
        <is>
          <t>subota</t>
        </is>
      </c>
      <c r="C29" s="9" t="inlineStr">
        <is>
          <t>Plastika i metal</t>
        </is>
      </c>
      <c r="D29" s="17" t="inlineStr">
        <is>
          <t>Pomaknuto zbog neradnog dana u tjednu</t>
        </is>
      </c>
    </row>
    <row r="30">
      <c r="A30" s="26" t="n">
        <v>46193</v>
      </c>
      <c r="B30" s="17" t="inlineStr">
        <is>
          <t>subota</t>
        </is>
      </c>
      <c r="C30" s="10" t="inlineStr">
        <is>
          <t>Papir i karton</t>
        </is>
      </c>
      <c r="D30" s="17" t="inlineStr">
        <is>
          <t>Pomaknuto zbog neradnog dana u tjednu</t>
        </is>
      </c>
    </row>
    <row r="31">
      <c r="A31" s="26" t="n">
        <v>46202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46209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46216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46223</v>
      </c>
      <c r="B34" s="17" t="inlineStr">
        <is>
          <t>ponedjeljak</t>
        </is>
      </c>
      <c r="C34" s="9" t="inlineStr">
        <is>
          <t>Plastika i metal</t>
        </is>
      </c>
      <c r="D34" s="17" t="n"/>
    </row>
    <row r="35">
      <c r="A35" s="26" t="n">
        <v>46223</v>
      </c>
      <c r="B35" s="17" t="inlineStr">
        <is>
          <t>ponedjeljak</t>
        </is>
      </c>
      <c r="C35" s="10" t="inlineStr">
        <is>
          <t>Papir i karton</t>
        </is>
      </c>
      <c r="D35" s="17" t="n"/>
    </row>
    <row r="36">
      <c r="A36" s="26" t="n">
        <v>46230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46237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46251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46258</v>
      </c>
      <c r="B39" s="17" t="inlineStr">
        <is>
          <t>ponedjeljak</t>
        </is>
      </c>
      <c r="C39" s="9" t="inlineStr">
        <is>
          <t>Plastika i metal</t>
        </is>
      </c>
      <c r="D39" s="17" t="n"/>
    </row>
    <row r="40">
      <c r="A40" s="26" t="n">
        <v>46258</v>
      </c>
      <c r="B40" s="17" t="inlineStr">
        <is>
          <t>ponedjeljak</t>
        </is>
      </c>
      <c r="C40" s="10" t="inlineStr">
        <is>
          <t>Papir i karton</t>
        </is>
      </c>
      <c r="D40" s="17" t="n"/>
    </row>
    <row r="41">
      <c r="A41" s="26" t="n">
        <v>46265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46272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46279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46282</v>
      </c>
      <c r="B44" s="17" t="inlineStr">
        <is>
          <t>četvrtak</t>
        </is>
      </c>
      <c r="C44" s="11" t="inlineStr">
        <is>
          <t>Glomazni otpad</t>
        </is>
      </c>
      <c r="D44" s="17" t="n"/>
    </row>
    <row r="45">
      <c r="A45" s="26" t="n">
        <v>46286</v>
      </c>
      <c r="B45" s="17" t="inlineStr">
        <is>
          <t>ponedjeljak</t>
        </is>
      </c>
      <c r="C45" s="9" t="inlineStr">
        <is>
          <t>Plastika i metal</t>
        </is>
      </c>
      <c r="D45" s="17" t="n"/>
    </row>
    <row r="46">
      <c r="A46" s="26" t="n">
        <v>46286</v>
      </c>
      <c r="B46" s="17" t="inlineStr">
        <is>
          <t>ponedjeljak</t>
        </is>
      </c>
      <c r="C46" s="10" t="inlineStr">
        <is>
          <t>Papir i karton</t>
        </is>
      </c>
      <c r="D46" s="17" t="n"/>
    </row>
    <row r="47">
      <c r="A47" s="26" t="n">
        <v>46293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46300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46307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46314</v>
      </c>
      <c r="B50" s="17" t="inlineStr">
        <is>
          <t>ponedjeljak</t>
        </is>
      </c>
      <c r="C50" s="9" t="inlineStr">
        <is>
          <t>Plastika i metal</t>
        </is>
      </c>
      <c r="D50" s="17" t="n"/>
    </row>
    <row r="51">
      <c r="A51" s="26" t="n">
        <v>46314</v>
      </c>
      <c r="B51" s="17" t="inlineStr">
        <is>
          <t>ponedjeljak</t>
        </is>
      </c>
      <c r="C51" s="10" t="inlineStr">
        <is>
          <t>Papir i karton</t>
        </is>
      </c>
      <c r="D51" s="17" t="n"/>
    </row>
    <row r="52">
      <c r="A52" s="26" t="n">
        <v>46321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46328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46342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46349</v>
      </c>
      <c r="B55" s="17" t="inlineStr">
        <is>
          <t>ponedjeljak</t>
        </is>
      </c>
      <c r="C55" s="9" t="inlineStr">
        <is>
          <t>Plastika i metal</t>
        </is>
      </c>
      <c r="D55" s="17" t="n"/>
    </row>
    <row r="56">
      <c r="A56" s="26" t="n">
        <v>46349</v>
      </c>
      <c r="B56" s="17" t="inlineStr">
        <is>
          <t>ponedjeljak</t>
        </is>
      </c>
      <c r="C56" s="10" t="inlineStr">
        <is>
          <t>Papir i karton</t>
        </is>
      </c>
      <c r="D56" s="17" t="n"/>
    </row>
    <row r="57">
      <c r="A57" s="26" t="n">
        <v>46356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46363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46370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46377</v>
      </c>
      <c r="B60" s="17" t="inlineStr">
        <is>
          <t>ponedjeljak</t>
        </is>
      </c>
      <c r="C60" s="9" t="inlineStr">
        <is>
          <t>Plastika i metal</t>
        </is>
      </c>
      <c r="D60" s="17" t="n"/>
    </row>
    <row r="61">
      <c r="A61" s="26" t="n">
        <v>46377</v>
      </c>
      <c r="B61" s="17" t="inlineStr">
        <is>
          <t>ponedjeljak</t>
        </is>
      </c>
      <c r="C61" s="10" t="inlineStr">
        <is>
          <t>Papir i karton</t>
        </is>
      </c>
      <c r="D61" s="17" t="n"/>
    </row>
    <row r="62">
      <c r="A62" s="26" t="n">
        <v>46384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
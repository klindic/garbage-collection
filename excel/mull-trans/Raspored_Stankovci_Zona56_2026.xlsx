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'Raspored'!$A$4:$G$89</definedName>
    <definedName name="_xlnm._FilterDatabase" localSheetId="2" hidden="1">'Po vrsti'!$A$1:$D$86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IFERROR(1/(1/_xlfn.MINIFS(Raspored!$A$5:$A$89,Raspored!$D$5:$D$89,"x",Raspored!$A$5:$A$89,"&gt;="&amp;$B$3)),"nema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COUNTIF(Raspored!$D$5:$D$89,"x")</f>
        <v/>
      </c>
    </row>
    <row r="7">
      <c r="A7" s="9" t="inlineStr">
        <is>
          <t>Plastika i metal</t>
        </is>
      </c>
      <c r="B7" s="6">
        <f>IFERROR(1/(1/_xlfn.MINIFS(Raspored!$A$5:$A$89,Raspored!$E$5:$E$89,"x",Raspored!$A$5:$A$89,"&gt;="&amp;$B$3)),"nema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COUNTIF(Raspored!$E$5:$E$89,"x")</f>
        <v/>
      </c>
    </row>
    <row r="8">
      <c r="A8" s="10" t="inlineStr">
        <is>
          <t>Papir i karton</t>
        </is>
      </c>
      <c r="B8" s="6">
        <f>IFERROR(1/(1/_xlfn.MINIFS(Raspored!$A$5:$A$89,Raspored!$F$5:$F$89,"x",Raspored!$A$5:$A$89,"&gt;="&amp;$B$3)),"nema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COUNTIFS(Raspored!$C$5:$C$89,$A12,Raspored!$D$5:$D$89,"x")</f>
        <v/>
      </c>
      <c r="C12" s="7">
        <f>COUNTIFS(Raspored!$C$5:$C$89,$A12,Raspored!$E$5:$E$89,"x")</f>
        <v/>
      </c>
      <c r="D12" s="7">
        <f>COUNTIFS(Raspored!$C$5:$C$89,$A12,Raspored!$F$5:$F$89,"x")</f>
        <v/>
      </c>
    </row>
    <row r="13">
      <c r="A13" s="15" t="inlineStr">
        <is>
          <t>veljača</t>
        </is>
      </c>
      <c r="B13" s="7">
        <f>COUNTIFS(Raspored!$C$5:$C$89,$A13,Raspored!$D$5:$D$89,"x")</f>
        <v/>
      </c>
      <c r="C13" s="7">
        <f>COUNTIFS(Raspored!$C$5:$C$89,$A13,Raspored!$E$5:$E$89,"x")</f>
        <v/>
      </c>
      <c r="D13" s="7">
        <f>COUNTIFS(Raspored!$C$5:$C$89,$A13,Raspored!$F$5:$F$89,"x")</f>
        <v/>
      </c>
    </row>
    <row r="14">
      <c r="A14" s="15" t="inlineStr">
        <is>
          <t>ožujak</t>
        </is>
      </c>
      <c r="B14" s="7">
        <f>COUNTIFS(Raspored!$C$5:$C$89,$A14,Raspored!$D$5:$D$89,"x")</f>
        <v/>
      </c>
      <c r="C14" s="7">
        <f>COUNTIFS(Raspored!$C$5:$C$89,$A14,Raspored!$E$5:$E$89,"x")</f>
        <v/>
      </c>
      <c r="D14" s="7">
        <f>COUNTIFS(Raspored!$C$5:$C$89,$A14,Raspored!$F$5:$F$89,"x")</f>
        <v/>
      </c>
    </row>
    <row r="15">
      <c r="A15" s="15" t="inlineStr">
        <is>
          <t>travanj</t>
        </is>
      </c>
      <c r="B15" s="7">
        <f>COUNTIFS(Raspored!$C$5:$C$89,$A15,Raspored!$D$5:$D$89,"x")</f>
        <v/>
      </c>
      <c r="C15" s="7">
        <f>COUNTIFS(Raspored!$C$5:$C$89,$A15,Raspored!$E$5:$E$89,"x")</f>
        <v/>
      </c>
      <c r="D15" s="7">
        <f>COUNTIFS(Raspored!$C$5:$C$89,$A15,Raspored!$F$5:$F$89,"x")</f>
        <v/>
      </c>
    </row>
    <row r="16">
      <c r="A16" s="15" t="inlineStr">
        <is>
          <t>svibanj</t>
        </is>
      </c>
      <c r="B16" s="7">
        <f>COUNTIFS(Raspored!$C$5:$C$89,$A16,Raspored!$D$5:$D$89,"x")</f>
        <v/>
      </c>
      <c r="C16" s="7">
        <f>COUNTIFS(Raspored!$C$5:$C$89,$A16,Raspored!$E$5:$E$89,"x")</f>
        <v/>
      </c>
      <c r="D16" s="7">
        <f>COUNTIFS(Raspored!$C$5:$C$89,$A16,Raspored!$F$5:$F$89,"x")</f>
        <v/>
      </c>
    </row>
    <row r="17">
      <c r="A17" s="15" t="inlineStr">
        <is>
          <t>lipanj</t>
        </is>
      </c>
      <c r="B17" s="7">
        <f>COUNTIFS(Raspored!$C$5:$C$89,$A17,Raspored!$D$5:$D$89,"x")</f>
        <v/>
      </c>
      <c r="C17" s="7">
        <f>COUNTIFS(Raspored!$C$5:$C$89,$A17,Raspored!$E$5:$E$89,"x")</f>
        <v/>
      </c>
      <c r="D17" s="7">
        <f>COUNTIFS(Raspored!$C$5:$C$89,$A17,Raspored!$F$5:$F$89,"x")</f>
        <v/>
      </c>
    </row>
    <row r="18">
      <c r="A18" s="15" t="inlineStr">
        <is>
          <t>srpanj</t>
        </is>
      </c>
      <c r="B18" s="7">
        <f>COUNTIFS(Raspored!$C$5:$C$89,$A18,Raspored!$D$5:$D$89,"x")</f>
        <v/>
      </c>
      <c r="C18" s="7">
        <f>COUNTIFS(Raspored!$C$5:$C$89,$A18,Raspored!$E$5:$E$89,"x")</f>
        <v/>
      </c>
      <c r="D18" s="7">
        <f>COUNTIFS(Raspored!$C$5:$C$89,$A18,Raspored!$F$5:$F$89,"x")</f>
        <v/>
      </c>
    </row>
    <row r="19">
      <c r="A19" s="15" t="inlineStr">
        <is>
          <t>kolovoz</t>
        </is>
      </c>
      <c r="B19" s="7">
        <f>COUNTIFS(Raspored!$C$5:$C$89,$A19,Raspored!$D$5:$D$89,"x")</f>
        <v/>
      </c>
      <c r="C19" s="7">
        <f>COUNTIFS(Raspored!$C$5:$C$89,$A19,Raspored!$E$5:$E$89,"x")</f>
        <v/>
      </c>
      <c r="D19" s="7">
        <f>COUNTIFS(Raspored!$C$5:$C$89,$A19,Raspored!$F$5:$F$89,"x")</f>
        <v/>
      </c>
    </row>
    <row r="20">
      <c r="A20" s="15" t="inlineStr">
        <is>
          <t>rujan</t>
        </is>
      </c>
      <c r="B20" s="7">
        <f>COUNTIFS(Raspored!$C$5:$C$89,$A20,Raspored!$D$5:$D$89,"x")</f>
        <v/>
      </c>
      <c r="C20" s="7">
        <f>COUNTIFS(Raspored!$C$5:$C$89,$A20,Raspored!$E$5:$E$89,"x")</f>
        <v/>
      </c>
      <c r="D20" s="7">
        <f>COUNTIFS(Raspored!$C$5:$C$89,$A20,Raspored!$F$5:$F$89,"x")</f>
        <v/>
      </c>
    </row>
    <row r="21">
      <c r="A21" s="15" t="inlineStr">
        <is>
          <t>listopad</t>
        </is>
      </c>
      <c r="B21" s="7">
        <f>COUNTIFS(Raspored!$C$5:$C$89,$A21,Raspored!$D$5:$D$89,"x")</f>
        <v/>
      </c>
      <c r="C21" s="7">
        <f>COUNTIFS(Raspored!$C$5:$C$89,$A21,Raspored!$E$5:$E$89,"x")</f>
        <v/>
      </c>
      <c r="D21" s="7">
        <f>COUNTIFS(Raspored!$C$5:$C$89,$A21,Raspored!$F$5:$F$89,"x")</f>
        <v/>
      </c>
    </row>
    <row r="22">
      <c r="A22" s="15" t="inlineStr">
        <is>
          <t>studeni</t>
        </is>
      </c>
      <c r="B22" s="7">
        <f>COUNTIFS(Raspored!$C$5:$C$89,$A22,Raspored!$D$5:$D$89,"x")</f>
        <v/>
      </c>
      <c r="C22" s="7">
        <f>COUNTIFS(Raspored!$C$5:$C$89,$A22,Raspored!$E$5:$E$89,"x")</f>
        <v/>
      </c>
      <c r="D22" s="7">
        <f>COUNTIFS(Raspored!$C$5:$C$89,$A22,Raspored!$F$5:$F$89,"x")</f>
        <v/>
      </c>
    </row>
    <row r="23">
      <c r="A23" s="15" t="inlineStr">
        <is>
          <t>prosinac</t>
        </is>
      </c>
      <c r="B23" s="7">
        <f>COUNTIFS(Raspored!$C$5:$C$89,$A23,Raspored!$D$5:$D$89,"x")</f>
        <v/>
      </c>
      <c r="C23" s="7">
        <f>COUNTIFS(Raspored!$C$5:$C$89,$A23,Raspored!$E$5:$E$89,"x")</f>
        <v/>
      </c>
      <c r="D23" s="7">
        <f>COUNTIFS(Raspored!$C$5:$C$89,$A23,Raspored!$F$5:$F$89,"x")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PDF ne navodi naselja po terenima; svoj teren (dan odvoza miješanog otpada: četvrtak, petak) provjerite kod Mull-Transa (049/587-837, info@mull-trans.hr). Glomazni otpad (raspon dana; dan za pojedino naselje nije objavljen): 9.–13.3.; 8.–12.6.; 7.–11.9.; 7.–11.12. U službenoj evidenciji davatelja usluge (stanje 5.10.2026.) za ovu općinu naveden je Michieli-Tomić d.o.o.; Mull-Trans ipak objavljuje raspored za 2026. Izvor: https://mull-trans.hr/wp-content/uploads/2026/07/Opcina-Stankovci-raspored-za-2026.-izmjene-i-dopune.pdf (PDF izmijenjen 30.07.2026.)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1">
      <c r="A31" s="19" t="inlineStr">
        <is>
          <t>• Spremnike treba iznijeti najkasnije do 6:00 na dan odvoza, na vidljivo mjesto pored obračunskog mjesta.</t>
        </is>
      </c>
    </row>
    <row r="32">
      <c r="A32" s="19" t="inlineStr">
        <is>
          <t>• Glomazni otpad odvozi se na zahtjev podnesen najkasnije 3 radna dana prije termina: 049/587-837, glomazni@mull-trans.hr (stariji PDF-ovi navode glomazni@eko-flor.hr).</t>
        </is>
      </c>
    </row>
    <row r="33">
      <c r="A33" s="19" t="inlineStr">
        <is>
          <t>• Blagdani: pomaci su ucrtani u kalendare (sivo ili uokvireno označen blagdan, strelica do zamjenskog dana, najčešće subote); takvi datumi označeni su kao pomaknuti.</t>
        </is>
      </c>
    </row>
    <row r="34">
      <c r="A34" s="19" t="inlineStr">
        <is>
          <t>• Mobilno reciklažno dvorište (MRD) nije odvoz s kućnog praga; datumi su u napomeni zone, lokacije i vrijeme u PDF-u općine.</t>
        </is>
      </c>
    </row>
    <row r="35">
      <c r="A35" s="19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56 (Stankovci)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46099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46121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46128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46134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46135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46149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46156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46162</v>
      </c>
      <c r="B32" s="7" t="inlineStr">
        <is>
          <t>srijeda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22" t="n">
        <v>46176</v>
      </c>
      <c r="B36" s="23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inlineStr">
        <is>
          <t>Pomaknuto zbog neradnog dana u tjednu</t>
        </is>
      </c>
    </row>
    <row r="37">
      <c r="A37" s="6" t="n">
        <v>46184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46190</v>
      </c>
      <c r="B38" s="7" t="inlineStr">
        <is>
          <t>srijeda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46225</v>
      </c>
      <c r="B48" s="7" t="inlineStr">
        <is>
          <t>srijeda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46226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46230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46232</v>
      </c>
      <c r="B51" s="7" t="inlineStr">
        <is>
          <t>srijeda</t>
        </is>
      </c>
      <c r="C51" s="7" t="inlineStr">
        <is>
          <t>srpanj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46233</v>
      </c>
      <c r="B52" s="7" t="inlineStr">
        <is>
          <t>četvrtak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46237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46240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46244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46247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46251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46253</v>
      </c>
      <c r="B58" s="7" t="inlineStr">
        <is>
          <t>srijeda</t>
        </is>
      </c>
      <c r="C58" s="7" t="inlineStr">
        <is>
          <t>kolovoz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46254</v>
      </c>
      <c r="B59" s="7" t="inlineStr">
        <is>
          <t>četvrtak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46258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46260</v>
      </c>
      <c r="B61" s="7" t="inlineStr">
        <is>
          <t>srijeda</t>
        </is>
      </c>
      <c r="C61" s="7" t="inlineStr">
        <is>
          <t>kolovoz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46261</v>
      </c>
      <c r="B62" s="7" t="inlineStr">
        <is>
          <t>četvrtak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46265</v>
      </c>
      <c r="B63" s="7" t="inlineStr">
        <is>
          <t>ponedjeljak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46268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46275</v>
      </c>
      <c r="B65" s="7" t="inlineStr">
        <is>
          <t>četvrtak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46282</v>
      </c>
      <c r="B66" s="7" t="inlineStr">
        <is>
          <t>četvrtak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46288</v>
      </c>
      <c r="B67" s="7" t="inlineStr">
        <is>
          <t>srijeda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46289</v>
      </c>
      <c r="B68" s="7" t="inlineStr">
        <is>
          <t>četvrtak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46295</v>
      </c>
      <c r="B69" s="7" t="inlineStr">
        <is>
          <t>srijeda</t>
        </is>
      </c>
      <c r="C69" s="7" t="inlineStr">
        <is>
          <t>rujan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46296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46303</v>
      </c>
      <c r="B71" s="7" t="inlineStr">
        <is>
          <t>četvrtak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46310</v>
      </c>
      <c r="B72" s="7" t="inlineStr">
        <is>
          <t>četvrtak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46316</v>
      </c>
      <c r="B73" s="7" t="inlineStr">
        <is>
          <t>srijeda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46317</v>
      </c>
      <c r="B74" s="7" t="inlineStr">
        <is>
          <t>četvrtak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46323</v>
      </c>
      <c r="B75" s="7" t="inlineStr">
        <is>
          <t>srijeda</t>
        </is>
      </c>
      <c r="C75" s="7" t="inlineStr">
        <is>
          <t>listopad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46324</v>
      </c>
      <c r="B76" s="7" t="inlineStr">
        <is>
          <t>četvrtak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46331</v>
      </c>
      <c r="B77" s="7" t="inlineStr">
        <is>
          <t>četvrtak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46338</v>
      </c>
      <c r="B78" s="7" t="inlineStr">
        <is>
          <t>četvrtak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46343</v>
      </c>
      <c r="B79" s="7" t="inlineStr">
        <is>
          <t>utorak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46345</v>
      </c>
      <c r="B80" s="7" t="inlineStr">
        <is>
          <t>četvrtak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46351</v>
      </c>
      <c r="B81" s="7" t="inlineStr">
        <is>
          <t>srijeda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46352</v>
      </c>
      <c r="B82" s="7" t="inlineStr">
        <is>
          <t>četvrtak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46359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46366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46373</v>
      </c>
      <c r="B85" s="7" t="inlineStr">
        <is>
          <t>četvrtak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46378</v>
      </c>
      <c r="B86" s="7" t="inlineStr">
        <is>
          <t>utorak</t>
        </is>
      </c>
      <c r="C86" s="7" t="inlineStr">
        <is>
          <t>prosinac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46380</v>
      </c>
      <c r="B87" s="7" t="inlineStr">
        <is>
          <t>četvrtak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46385</v>
      </c>
      <c r="B88" s="7" t="inlineStr">
        <is>
          <t>utorak</t>
        </is>
      </c>
      <c r="C88" s="7" t="inlineStr">
        <is>
          <t>prosinac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46387</v>
      </c>
      <c r="B89" s="7" t="inlineStr">
        <is>
          <t>četvrtak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21" t="n"/>
    </row>
  </sheetData>
  <autoFilter ref="A4:G89"/>
  <conditionalFormatting sqref="D5:D89">
    <cfRule type="expression" priority="1" dxfId="0">
      <formula>D5="x"</formula>
    </cfRule>
  </conditionalFormatting>
  <conditionalFormatting sqref="E5:E89">
    <cfRule type="expression" priority="2" dxfId="1">
      <formula>E5="x"</formula>
    </cfRule>
  </conditionalFormatting>
  <conditionalFormatting sqref="F5:F89">
    <cfRule type="expression" priority="3" dxfId="2">
      <formula>F5="x"</formula>
    </cfRule>
  </conditionalFormatting>
  <conditionalFormatting sqref="A5:G8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46037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46050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4" t="n">
        <v>46051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46058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46065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9" t="inlineStr">
        <is>
          <t>Plastika i metal</t>
        </is>
      </c>
      <c r="D10" s="15" t="n"/>
    </row>
    <row r="11">
      <c r="A11" s="24" t="n">
        <v>46072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46078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4" t="n">
        <v>46079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46086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46093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46100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46106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4" t="n">
        <v>46107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46114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46128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46134</v>
      </c>
      <c r="B23" s="15" t="inlineStr">
        <is>
          <t>srijeda</t>
        </is>
      </c>
      <c r="C23" s="9" t="inlineStr">
        <is>
          <t>Plastika i metal</t>
        </is>
      </c>
      <c r="D23" s="15" t="n"/>
    </row>
    <row r="24">
      <c r="A24" s="24" t="n">
        <v>46135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46140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4" t="n">
        <v>46142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46149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46156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46162</v>
      </c>
      <c r="B29" s="15" t="inlineStr">
        <is>
          <t>srijeda</t>
        </is>
      </c>
      <c r="C29" s="9" t="inlineStr">
        <is>
          <t>Plastika i metal</t>
        </is>
      </c>
      <c r="D29" s="15" t="n"/>
    </row>
    <row r="30">
      <c r="A30" s="24" t="n">
        <v>46163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46169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4" t="n">
        <v>46170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inlineStr">
        <is>
          <t>Pomaknuto zbog neradnog dana u tjednu</t>
        </is>
      </c>
    </row>
    <row r="34">
      <c r="A34" s="24" t="n">
        <v>46184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9" t="inlineStr">
        <is>
          <t>Plastika i metal</t>
        </is>
      </c>
      <c r="D35" s="15" t="n"/>
    </row>
    <row r="36">
      <c r="A36" s="24" t="n">
        <v>46191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46197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46205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46216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46223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46225</v>
      </c>
      <c r="B45" s="15" t="inlineStr">
        <is>
          <t>srijeda</t>
        </is>
      </c>
      <c r="C45" s="9" t="inlineStr">
        <is>
          <t>Plastika i metal</t>
        </is>
      </c>
      <c r="D45" s="15" t="n"/>
    </row>
    <row r="46">
      <c r="A46" s="24" t="n">
        <v>46226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46230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46232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4" t="n">
        <v>46233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46237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46240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46244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46247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46251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46253</v>
      </c>
      <c r="B55" s="15" t="inlineStr">
        <is>
          <t>srijeda</t>
        </is>
      </c>
      <c r="C55" s="9" t="inlineStr">
        <is>
          <t>Plastika i metal</t>
        </is>
      </c>
      <c r="D55" s="15" t="n"/>
    </row>
    <row r="56">
      <c r="A56" s="24" t="n">
        <v>46254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46258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46260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4" t="n">
        <v>46261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46265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46275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46282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46288</v>
      </c>
      <c r="B64" s="15" t="inlineStr">
        <is>
          <t>srijeda</t>
        </is>
      </c>
      <c r="C64" s="9" t="inlineStr">
        <is>
          <t>Plastika i metal</t>
        </is>
      </c>
      <c r="D64" s="15" t="n"/>
    </row>
    <row r="65">
      <c r="A65" s="24" t="n">
        <v>46289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46295</v>
      </c>
      <c r="B66" s="15" t="inlineStr">
        <is>
          <t>srijeda</t>
        </is>
      </c>
      <c r="C66" s="10" t="inlineStr">
        <is>
          <t>Papir i karton</t>
        </is>
      </c>
      <c r="D66" s="15" t="n"/>
    </row>
    <row r="67">
      <c r="A67" s="24" t="n">
        <v>46296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46303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46310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46316</v>
      </c>
      <c r="B70" s="15" t="inlineStr">
        <is>
          <t>srijeda</t>
        </is>
      </c>
      <c r="C70" s="9" t="inlineStr">
        <is>
          <t>Plastika i metal</t>
        </is>
      </c>
      <c r="D70" s="15" t="n"/>
    </row>
    <row r="71">
      <c r="A71" s="24" t="n">
        <v>46317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46323</v>
      </c>
      <c r="B72" s="15" t="inlineStr">
        <is>
          <t>srijeda</t>
        </is>
      </c>
      <c r="C72" s="10" t="inlineStr">
        <is>
          <t>Papir i karton</t>
        </is>
      </c>
      <c r="D72" s="15" t="n"/>
    </row>
    <row r="73">
      <c r="A73" s="24" t="n">
        <v>46324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46331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46338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46343</v>
      </c>
      <c r="B76" s="15" t="inlineStr">
        <is>
          <t>utorak</t>
        </is>
      </c>
      <c r="C76" s="9" t="inlineStr">
        <is>
          <t>Plastika i metal</t>
        </is>
      </c>
      <c r="D76" s="15" t="n"/>
    </row>
    <row r="77">
      <c r="A77" s="24" t="n">
        <v>46345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46351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4" t="n">
        <v>46352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46359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46366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4" t="n">
        <v>46373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4" t="n">
        <v>46378</v>
      </c>
      <c r="B83" s="15" t="inlineStr">
        <is>
          <t>utorak</t>
        </is>
      </c>
      <c r="C83" s="9" t="inlineStr">
        <is>
          <t>Plastika i metal</t>
        </is>
      </c>
      <c r="D83" s="15" t="n"/>
    </row>
    <row r="84">
      <c r="A84" s="24" t="n">
        <v>46380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46385</v>
      </c>
      <c r="B85" s="15" t="inlineStr">
        <is>
          <t>utorak</t>
        </is>
      </c>
      <c r="C85" s="10" t="inlineStr">
        <is>
          <t>Papir i karton</t>
        </is>
      </c>
      <c r="D85" s="15" t="n"/>
    </row>
    <row r="86">
      <c r="A86" s="24" t="n">
        <v>46387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</sheetData>
  <autoFilter ref="A1:D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2026-10-07T18:55:15Z</dcterms:created>
  <dcterms:modified xmlns:dcterms="http://purl.org/dc/terms/" xmlns:xsi="http://www.w3.org/2001/XMLSchema-instance" xsi:type="dcterms:W3CDTF">2026-10-07T18:55:15Z</dcterms:modified>
</cp:coreProperties>
</file>
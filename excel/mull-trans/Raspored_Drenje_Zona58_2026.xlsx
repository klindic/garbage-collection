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'Raspored'!$A$4:$H$58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IFERROR(1/(1/_xlfn.MINIFS(Raspored!$A$5:$A$58,Raspored!$D$5:$D$58,"x",Raspored!$A$5:$A$58,"&gt;="&amp;$B$3)),"nema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COUNTIF(Raspored!$D$5:$D$58,"x")</f>
        <v/>
      </c>
    </row>
    <row r="7">
      <c r="A7" s="9" t="inlineStr">
        <is>
          <t>Plastika i metal</t>
        </is>
      </c>
      <c r="B7" s="6">
        <f>IFERROR(1/(1/_xlfn.MINIFS(Raspored!$A$5:$A$58,Raspored!$E$5:$E$58,"x",Raspored!$A$5:$A$58,"&gt;="&amp;$B$3)),"nema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COUNTIF(Raspored!$E$5:$E$58,"x")</f>
        <v/>
      </c>
    </row>
    <row r="8">
      <c r="A8" s="10" t="inlineStr">
        <is>
          <t>Papir i karton</t>
        </is>
      </c>
      <c r="B8" s="6">
        <f>IFERROR(1/(1/_xlfn.MINIFS(Raspored!$A$5:$A$58,Raspored!$F$5:$F$58,"x",Raspored!$A$5:$A$58,"&gt;="&amp;$B$3)),"nema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COUNTIF(Raspored!$F$5:$F$58,"x")</f>
        <v/>
      </c>
    </row>
    <row r="9">
      <c r="A9" s="11" t="inlineStr">
        <is>
          <t>Glomazni otpad</t>
        </is>
      </c>
      <c r="B9" s="6">
        <f>IFERROR(1/(1/_xlfn.MINIFS(Raspored!$A$5:$A$58,Raspored!$G$5:$G$58,"x",Raspored!$A$5:$A$58,"&gt;="&amp;$B$3)),"nema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COUNTIFS(Raspored!$C$5:$C$58,$A13,Raspored!$D$5:$D$58,"x")</f>
        <v/>
      </c>
      <c r="C13" s="7">
        <f>COUNTIFS(Raspored!$C$5:$C$58,$A13,Raspored!$E$5:$E$58,"x")</f>
        <v/>
      </c>
      <c r="D13" s="7">
        <f>COUNTIFS(Raspored!$C$5:$C$58,$A13,Raspored!$F$5:$F$58,"x")</f>
        <v/>
      </c>
      <c r="E13" s="7">
        <f>COUNTIFS(Raspored!$C$5:$C$58,$A13,Raspored!$G$5:$G$58,"x")</f>
        <v/>
      </c>
    </row>
    <row r="14">
      <c r="A14" s="17" t="inlineStr">
        <is>
          <t>veljača</t>
        </is>
      </c>
      <c r="B14" s="7">
        <f>COUNTIFS(Raspored!$C$5:$C$58,$A14,Raspored!$D$5:$D$58,"x")</f>
        <v/>
      </c>
      <c r="C14" s="7">
        <f>COUNTIFS(Raspored!$C$5:$C$58,$A14,Raspored!$E$5:$E$58,"x")</f>
        <v/>
      </c>
      <c r="D14" s="7">
        <f>COUNTIFS(Raspored!$C$5:$C$58,$A14,Raspored!$F$5:$F$58,"x")</f>
        <v/>
      </c>
      <c r="E14" s="7">
        <f>COUNTIFS(Raspored!$C$5:$C$58,$A14,Raspored!$G$5:$G$58,"x")</f>
        <v/>
      </c>
    </row>
    <row r="15">
      <c r="A15" s="17" t="inlineStr">
        <is>
          <t>ožujak</t>
        </is>
      </c>
      <c r="B15" s="7">
        <f>COUNTIFS(Raspored!$C$5:$C$58,$A15,Raspored!$D$5:$D$58,"x")</f>
        <v/>
      </c>
      <c r="C15" s="7">
        <f>COUNTIFS(Raspored!$C$5:$C$58,$A15,Raspored!$E$5:$E$58,"x")</f>
        <v/>
      </c>
      <c r="D15" s="7">
        <f>COUNTIFS(Raspored!$C$5:$C$58,$A15,Raspored!$F$5:$F$58,"x")</f>
        <v/>
      </c>
      <c r="E15" s="7">
        <f>COUNTIFS(Raspored!$C$5:$C$58,$A15,Raspored!$G$5:$G$58,"x")</f>
        <v/>
      </c>
    </row>
    <row r="16">
      <c r="A16" s="17" t="inlineStr">
        <is>
          <t>travanj</t>
        </is>
      </c>
      <c r="B16" s="7">
        <f>COUNTIFS(Raspored!$C$5:$C$58,$A16,Raspored!$D$5:$D$58,"x")</f>
        <v/>
      </c>
      <c r="C16" s="7">
        <f>COUNTIFS(Raspored!$C$5:$C$58,$A16,Raspored!$E$5:$E$58,"x")</f>
        <v/>
      </c>
      <c r="D16" s="7">
        <f>COUNTIFS(Raspored!$C$5:$C$58,$A16,Raspored!$F$5:$F$58,"x")</f>
        <v/>
      </c>
      <c r="E16" s="7">
        <f>COUNTIFS(Raspored!$C$5:$C$58,$A16,Raspored!$G$5:$G$58,"x")</f>
        <v/>
      </c>
    </row>
    <row r="17">
      <c r="A17" s="17" t="inlineStr">
        <is>
          <t>svibanj</t>
        </is>
      </c>
      <c r="B17" s="7">
        <f>COUNTIFS(Raspored!$C$5:$C$58,$A17,Raspored!$D$5:$D$58,"x")</f>
        <v/>
      </c>
      <c r="C17" s="7">
        <f>COUNTIFS(Raspored!$C$5:$C$58,$A17,Raspored!$E$5:$E$58,"x")</f>
        <v/>
      </c>
      <c r="D17" s="7">
        <f>COUNTIFS(Raspored!$C$5:$C$58,$A17,Raspored!$F$5:$F$58,"x")</f>
        <v/>
      </c>
      <c r="E17" s="7">
        <f>COUNTIFS(Raspored!$C$5:$C$58,$A17,Raspored!$G$5:$G$58,"x")</f>
        <v/>
      </c>
    </row>
    <row r="18">
      <c r="A18" s="17" t="inlineStr">
        <is>
          <t>lipanj</t>
        </is>
      </c>
      <c r="B18" s="7">
        <f>COUNTIFS(Raspored!$C$5:$C$58,$A18,Raspored!$D$5:$D$58,"x")</f>
        <v/>
      </c>
      <c r="C18" s="7">
        <f>COUNTIFS(Raspored!$C$5:$C$58,$A18,Raspored!$E$5:$E$58,"x")</f>
        <v/>
      </c>
      <c r="D18" s="7">
        <f>COUNTIFS(Raspored!$C$5:$C$58,$A18,Raspored!$F$5:$F$58,"x")</f>
        <v/>
      </c>
      <c r="E18" s="7">
        <f>COUNTIFS(Raspored!$C$5:$C$58,$A18,Raspored!$G$5:$G$58,"x")</f>
        <v/>
      </c>
    </row>
    <row r="19">
      <c r="A19" s="17" t="inlineStr">
        <is>
          <t>srpanj</t>
        </is>
      </c>
      <c r="B19" s="7">
        <f>COUNTIFS(Raspored!$C$5:$C$58,$A19,Raspored!$D$5:$D$58,"x")</f>
        <v/>
      </c>
      <c r="C19" s="7">
        <f>COUNTIFS(Raspored!$C$5:$C$58,$A19,Raspored!$E$5:$E$58,"x")</f>
        <v/>
      </c>
      <c r="D19" s="7">
        <f>COUNTIFS(Raspored!$C$5:$C$58,$A19,Raspored!$F$5:$F$58,"x")</f>
        <v/>
      </c>
      <c r="E19" s="7">
        <f>COUNTIFS(Raspored!$C$5:$C$58,$A19,Raspored!$G$5:$G$58,"x")</f>
        <v/>
      </c>
    </row>
    <row r="20">
      <c r="A20" s="17" t="inlineStr">
        <is>
          <t>kolovoz</t>
        </is>
      </c>
      <c r="B20" s="7">
        <f>COUNTIFS(Raspored!$C$5:$C$58,$A20,Raspored!$D$5:$D$58,"x")</f>
        <v/>
      </c>
      <c r="C20" s="7">
        <f>COUNTIFS(Raspored!$C$5:$C$58,$A20,Raspored!$E$5:$E$58,"x")</f>
        <v/>
      </c>
      <c r="D20" s="7">
        <f>COUNTIFS(Raspored!$C$5:$C$58,$A20,Raspored!$F$5:$F$58,"x")</f>
        <v/>
      </c>
      <c r="E20" s="7">
        <f>COUNTIFS(Raspored!$C$5:$C$58,$A20,Raspored!$G$5:$G$58,"x")</f>
        <v/>
      </c>
    </row>
    <row r="21">
      <c r="A21" s="17" t="inlineStr">
        <is>
          <t>rujan</t>
        </is>
      </c>
      <c r="B21" s="7">
        <f>COUNTIFS(Raspored!$C$5:$C$58,$A21,Raspored!$D$5:$D$58,"x")</f>
        <v/>
      </c>
      <c r="C21" s="7">
        <f>COUNTIFS(Raspored!$C$5:$C$58,$A21,Raspored!$E$5:$E$58,"x")</f>
        <v/>
      </c>
      <c r="D21" s="7">
        <f>COUNTIFS(Raspored!$C$5:$C$58,$A21,Raspored!$F$5:$F$58,"x")</f>
        <v/>
      </c>
      <c r="E21" s="7">
        <f>COUNTIFS(Raspored!$C$5:$C$58,$A21,Raspored!$G$5:$G$58,"x")</f>
        <v/>
      </c>
    </row>
    <row r="22">
      <c r="A22" s="17" t="inlineStr">
        <is>
          <t>listopad</t>
        </is>
      </c>
      <c r="B22" s="7">
        <f>COUNTIFS(Raspored!$C$5:$C$58,$A22,Raspored!$D$5:$D$58,"x")</f>
        <v/>
      </c>
      <c r="C22" s="7">
        <f>COUNTIFS(Raspored!$C$5:$C$58,$A22,Raspored!$E$5:$E$58,"x")</f>
        <v/>
      </c>
      <c r="D22" s="7">
        <f>COUNTIFS(Raspored!$C$5:$C$58,$A22,Raspored!$F$5:$F$58,"x")</f>
        <v/>
      </c>
      <c r="E22" s="7">
        <f>COUNTIFS(Raspored!$C$5:$C$58,$A22,Raspored!$G$5:$G$58,"x")</f>
        <v/>
      </c>
    </row>
    <row r="23">
      <c r="A23" s="17" t="inlineStr">
        <is>
          <t>studeni</t>
        </is>
      </c>
      <c r="B23" s="7">
        <f>COUNTIFS(Raspored!$C$5:$C$58,$A23,Raspored!$D$5:$D$58,"x")</f>
        <v/>
      </c>
      <c r="C23" s="7">
        <f>COUNTIFS(Raspored!$C$5:$C$58,$A23,Raspored!$E$5:$E$58,"x")</f>
        <v/>
      </c>
      <c r="D23" s="7">
        <f>COUNTIFS(Raspored!$C$5:$C$58,$A23,Raspored!$F$5:$F$58,"x")</f>
        <v/>
      </c>
      <c r="E23" s="7">
        <f>COUNTIFS(Raspored!$C$5:$C$58,$A23,Raspored!$G$5:$G$58,"x")</f>
        <v/>
      </c>
    </row>
    <row r="24">
      <c r="A24" s="17" t="inlineStr">
        <is>
          <t>prosinac</t>
        </is>
      </c>
      <c r="B24" s="7">
        <f>COUNTIFS(Raspored!$C$5:$C$58,$A24,Raspored!$D$5:$D$58,"x")</f>
        <v/>
      </c>
      <c r="C24" s="7">
        <f>COUNTIFS(Raspored!$C$5:$C$58,$A24,Raspored!$E$5:$E$58,"x")</f>
        <v/>
      </c>
      <c r="D24" s="7">
        <f>COUNTIFS(Raspored!$C$5:$C$58,$A24,Raspored!$F$5:$F$58,"x")</f>
        <v/>
      </c>
      <c r="E24" s="7">
        <f>COUNTIFS(Raspored!$C$5:$C$58,$A24,Raspored!$G$5:$G$58,"x")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Mobilno reciklažno dvorište: 12.2., 14.5., 13.8., 10.11. (lokacije i vrijeme u PDF-u). Izvor: https://mull-trans.hr/wp-content/uploads/2026/04/OPCINA-DRENJE-raspored-odvoza-otpada-za-2026.pdf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58 (Drenje)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46115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46122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46129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46136</v>
      </c>
      <c r="B22" s="7" t="inlineStr">
        <is>
          <t>petak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n"/>
      <c r="H22" s="23" t="n"/>
    </row>
    <row r="23">
      <c r="A23" s="24" t="n">
        <v>46144</v>
      </c>
      <c r="B23" s="25" t="inlineStr">
        <is>
          <t>subota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3" t="inlineStr">
        <is>
          <t>Pomaknuto zbog neradnog dana u tjednu</t>
        </is>
      </c>
    </row>
    <row r="24">
      <c r="A24" s="6" t="n">
        <v>46150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46157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46164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46171</v>
      </c>
      <c r="B27" s="7" t="inlineStr">
        <is>
          <t>petak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46178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46185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46192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46199</v>
      </c>
      <c r="B31" s="7" t="inlineStr">
        <is>
          <t>petak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46206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46213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46220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46227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46234</v>
      </c>
      <c r="B36" s="7" t="inlineStr">
        <is>
          <t>petak</t>
        </is>
      </c>
      <c r="C36" s="7" t="inlineStr">
        <is>
          <t>srpanj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n"/>
      <c r="H36" s="23" t="n"/>
    </row>
    <row r="37">
      <c r="A37" s="6" t="n">
        <v>46241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46248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46255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46262</v>
      </c>
      <c r="B40" s="7" t="inlineStr">
        <is>
          <t>petak</t>
        </is>
      </c>
      <c r="C40" s="7" t="inlineStr">
        <is>
          <t>kolovoz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n"/>
      <c r="H40" s="23" t="n"/>
    </row>
    <row r="41">
      <c r="A41" s="6" t="n">
        <v>46269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46276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46283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46290</v>
      </c>
      <c r="B44" s="7" t="inlineStr">
        <is>
          <t>petak</t>
        </is>
      </c>
      <c r="C44" s="7" t="inlineStr">
        <is>
          <t>rujan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n"/>
      <c r="H44" s="23" t="n"/>
    </row>
    <row r="45">
      <c r="A45" s="6" t="n">
        <v>46297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46304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46311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46318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46325</v>
      </c>
      <c r="B49" s="7" t="inlineStr">
        <is>
          <t>petak</t>
        </is>
      </c>
      <c r="C49" s="7" t="inlineStr">
        <is>
          <t>listopad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n"/>
      <c r="H49" s="23" t="n"/>
    </row>
    <row r="50">
      <c r="A50" s="6" t="n">
        <v>46332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46339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46346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46353</v>
      </c>
      <c r="B53" s="7" t="inlineStr">
        <is>
          <t>petak</t>
        </is>
      </c>
      <c r="C53" s="7" t="inlineStr">
        <is>
          <t>studeni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n"/>
      <c r="H53" s="23" t="n"/>
    </row>
    <row r="54">
      <c r="A54" s="6" t="n">
        <v>46360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46367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46374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46379</v>
      </c>
      <c r="B57" s="7" t="inlineStr">
        <is>
          <t>srijeda</t>
        </is>
      </c>
      <c r="C57" s="7" t="inlineStr">
        <is>
          <t>prosinac</t>
        </is>
      </c>
      <c r="D57" s="7" t="n"/>
      <c r="E57" s="7" t="inlineStr">
        <is>
          <t>x</t>
        </is>
      </c>
      <c r="F57" s="7" t="inlineStr">
        <is>
          <t>x</t>
        </is>
      </c>
      <c r="G57" s="7" t="n"/>
      <c r="H57" s="23" t="n"/>
    </row>
    <row r="58">
      <c r="A58" s="24" t="n">
        <v>46380</v>
      </c>
      <c r="B58" s="25" t="inlineStr">
        <is>
          <t>četvrtak</t>
        </is>
      </c>
      <c r="C58" s="7" t="inlineStr">
        <is>
          <t>prosinac</t>
        </is>
      </c>
      <c r="D58" s="7" t="inlineStr">
        <is>
          <t>x</t>
        </is>
      </c>
      <c r="E58" s="7" t="n"/>
      <c r="F58" s="7" t="n"/>
      <c r="G58" s="7" t="n"/>
      <c r="H58" s="23" t="inlineStr">
        <is>
          <t>Pomaknuto zbog neradnog dana u tjednu</t>
        </is>
      </c>
    </row>
  </sheetData>
  <autoFilter ref="A4:H58"/>
  <conditionalFormatting sqref="D5:D58">
    <cfRule type="expression" priority="1" dxfId="0">
      <formula>D5="x"</formula>
    </cfRule>
  </conditionalFormatting>
  <conditionalFormatting sqref="E5:E58">
    <cfRule type="expression" priority="2" dxfId="1">
      <formula>E5="x"</formula>
    </cfRule>
  </conditionalFormatting>
  <conditionalFormatting sqref="F5:F58">
    <cfRule type="expression" priority="3" dxfId="2">
      <formula>F5="x"</formula>
    </cfRule>
  </conditionalFormatting>
  <conditionalFormatting sqref="G5:G58">
    <cfRule type="expression" priority="4" dxfId="3">
      <formula>G5="x"</formula>
    </cfRule>
  </conditionalFormatting>
  <conditionalFormatting sqref="A5:H5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46031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6" t="n">
        <v>46038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6" t="n">
        <v>46045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6" t="n">
        <v>46052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6" t="n">
        <v>46052</v>
      </c>
      <c r="B7" s="17" t="inlineStr">
        <is>
          <t>petak</t>
        </is>
      </c>
      <c r="C7" s="9" t="inlineStr">
        <is>
          <t>Plastika i metal</t>
        </is>
      </c>
      <c r="D7" s="17" t="n"/>
    </row>
    <row r="8">
      <c r="A8" s="26" t="n">
        <v>46052</v>
      </c>
      <c r="B8" s="17" t="inlineStr">
        <is>
          <t>petak</t>
        </is>
      </c>
      <c r="C8" s="10" t="inlineStr">
        <is>
          <t>Papir i karton</t>
        </is>
      </c>
      <c r="D8" s="17" t="n"/>
    </row>
    <row r="9">
      <c r="A9" s="26" t="n">
        <v>46059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6" t="n">
        <v>46066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6" t="n">
        <v>46073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6" t="n">
        <v>46080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6" t="n">
        <v>46080</v>
      </c>
      <c r="B13" s="17" t="inlineStr">
        <is>
          <t>petak</t>
        </is>
      </c>
      <c r="C13" s="9" t="inlineStr">
        <is>
          <t>Plastika i metal</t>
        </is>
      </c>
      <c r="D13" s="17" t="n"/>
    </row>
    <row r="14">
      <c r="A14" s="26" t="n">
        <v>46080</v>
      </c>
      <c r="B14" s="17" t="inlineStr">
        <is>
          <t>petak</t>
        </is>
      </c>
      <c r="C14" s="10" t="inlineStr">
        <is>
          <t>Papir i karton</t>
        </is>
      </c>
      <c r="D14" s="17" t="n"/>
    </row>
    <row r="15">
      <c r="A15" s="26" t="n">
        <v>46087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6" t="n">
        <v>46094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6" t="n">
        <v>46101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6" t="n">
        <v>46108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6" t="n">
        <v>46108</v>
      </c>
      <c r="B19" s="17" t="inlineStr">
        <is>
          <t>petak</t>
        </is>
      </c>
      <c r="C19" s="9" t="inlineStr">
        <is>
          <t>Plastika i metal</t>
        </is>
      </c>
      <c r="D19" s="17" t="n"/>
    </row>
    <row r="20">
      <c r="A20" s="26" t="n">
        <v>46108</v>
      </c>
      <c r="B20" s="17" t="inlineStr">
        <is>
          <t>petak</t>
        </is>
      </c>
      <c r="C20" s="10" t="inlineStr">
        <is>
          <t>Papir i karton</t>
        </is>
      </c>
      <c r="D20" s="17" t="n"/>
    </row>
    <row r="21">
      <c r="A21" s="26" t="n">
        <v>46114</v>
      </c>
      <c r="B21" s="17" t="inlineStr">
        <is>
          <t>četvrtak</t>
        </is>
      </c>
      <c r="C21" s="11" t="inlineStr">
        <is>
          <t>Glomazni otpad</t>
        </is>
      </c>
      <c r="D21" s="17" t="n"/>
    </row>
    <row r="22">
      <c r="A22" s="26" t="n">
        <v>46115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6" t="n">
        <v>46122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6" t="n">
        <v>46129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6" t="n">
        <v>46136</v>
      </c>
      <c r="B25" s="17" t="inlineStr">
        <is>
          <t>petak</t>
        </is>
      </c>
      <c r="C25" s="5" t="inlineStr">
        <is>
          <t>Miješani komunalni otpad</t>
        </is>
      </c>
      <c r="D25" s="17" t="n"/>
    </row>
    <row r="26">
      <c r="A26" s="26" t="n">
        <v>46136</v>
      </c>
      <c r="B26" s="17" t="inlineStr">
        <is>
          <t>petak</t>
        </is>
      </c>
      <c r="C26" s="9" t="inlineStr">
        <is>
          <t>Plastika i metal</t>
        </is>
      </c>
      <c r="D26" s="17" t="n"/>
    </row>
    <row r="27">
      <c r="A27" s="26" t="n">
        <v>46136</v>
      </c>
      <c r="B27" s="17" t="inlineStr">
        <is>
          <t>petak</t>
        </is>
      </c>
      <c r="C27" s="10" t="inlineStr">
        <is>
          <t>Papir i karton</t>
        </is>
      </c>
      <c r="D27" s="17" t="n"/>
    </row>
    <row r="28">
      <c r="A28" s="26" t="n">
        <v>46144</v>
      </c>
      <c r="B28" s="17" t="inlineStr">
        <is>
          <t>subota</t>
        </is>
      </c>
      <c r="C28" s="5" t="inlineStr">
        <is>
          <t>Miješani komunalni otpad</t>
        </is>
      </c>
      <c r="D28" s="17" t="inlineStr">
        <is>
          <t>Pomaknuto zbog neradnog dana u tjednu</t>
        </is>
      </c>
    </row>
    <row r="29">
      <c r="A29" s="26" t="n">
        <v>46150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6" t="n">
        <v>46157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46164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6" t="n">
        <v>46171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6" t="n">
        <v>46171</v>
      </c>
      <c r="B33" s="17" t="inlineStr">
        <is>
          <t>petak</t>
        </is>
      </c>
      <c r="C33" s="9" t="inlineStr">
        <is>
          <t>Plastika i metal</t>
        </is>
      </c>
      <c r="D33" s="17" t="n"/>
    </row>
    <row r="34">
      <c r="A34" s="26" t="n">
        <v>46171</v>
      </c>
      <c r="B34" s="17" t="inlineStr">
        <is>
          <t>petak</t>
        </is>
      </c>
      <c r="C34" s="10" t="inlineStr">
        <is>
          <t>Papir i karton</t>
        </is>
      </c>
      <c r="D34" s="17" t="n"/>
    </row>
    <row r="35">
      <c r="A35" s="26" t="n">
        <v>46178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6" t="n">
        <v>46185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6" t="n">
        <v>46192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6" t="n">
        <v>46199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6" t="n">
        <v>46199</v>
      </c>
      <c r="B39" s="17" t="inlineStr">
        <is>
          <t>petak</t>
        </is>
      </c>
      <c r="C39" s="9" t="inlineStr">
        <is>
          <t>Plastika i metal</t>
        </is>
      </c>
      <c r="D39" s="17" t="n"/>
    </row>
    <row r="40">
      <c r="A40" s="26" t="n">
        <v>46199</v>
      </c>
      <c r="B40" s="17" t="inlineStr">
        <is>
          <t>petak</t>
        </is>
      </c>
      <c r="C40" s="10" t="inlineStr">
        <is>
          <t>Papir i karton</t>
        </is>
      </c>
      <c r="D40" s="17" t="n"/>
    </row>
    <row r="41">
      <c r="A41" s="26" t="n">
        <v>46206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6" t="n">
        <v>46213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6" t="n">
        <v>46220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6" t="n">
        <v>46227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6" t="n">
        <v>46234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6" t="n">
        <v>46234</v>
      </c>
      <c r="B46" s="17" t="inlineStr">
        <is>
          <t>petak</t>
        </is>
      </c>
      <c r="C46" s="9" t="inlineStr">
        <is>
          <t>Plastika i metal</t>
        </is>
      </c>
      <c r="D46" s="17" t="n"/>
    </row>
    <row r="47">
      <c r="A47" s="26" t="n">
        <v>46234</v>
      </c>
      <c r="B47" s="17" t="inlineStr">
        <is>
          <t>petak</t>
        </is>
      </c>
      <c r="C47" s="10" t="inlineStr">
        <is>
          <t>Papir i karton</t>
        </is>
      </c>
      <c r="D47" s="17" t="n"/>
    </row>
    <row r="48">
      <c r="A48" s="26" t="n">
        <v>46241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6" t="n">
        <v>46248</v>
      </c>
      <c r="B49" s="17" t="inlineStr">
        <is>
          <t>petak</t>
        </is>
      </c>
      <c r="C49" s="5" t="inlineStr">
        <is>
          <t>Miješani komunalni otpad</t>
        </is>
      </c>
      <c r="D49" s="17" t="n"/>
    </row>
    <row r="50">
      <c r="A50" s="26" t="n">
        <v>46255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6" t="n">
        <v>46262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6" t="n">
        <v>46262</v>
      </c>
      <c r="B52" s="17" t="inlineStr">
        <is>
          <t>petak</t>
        </is>
      </c>
      <c r="C52" s="9" t="inlineStr">
        <is>
          <t>Plastika i metal</t>
        </is>
      </c>
      <c r="D52" s="17" t="n"/>
    </row>
    <row r="53">
      <c r="A53" s="26" t="n">
        <v>46262</v>
      </c>
      <c r="B53" s="17" t="inlineStr">
        <is>
          <t>petak</t>
        </is>
      </c>
      <c r="C53" s="10" t="inlineStr">
        <is>
          <t>Papir i karton</t>
        </is>
      </c>
      <c r="D53" s="17" t="n"/>
    </row>
    <row r="54">
      <c r="A54" s="26" t="n">
        <v>46269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6" t="n">
        <v>46276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6" t="n">
        <v>46283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6" t="n">
        <v>46290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6" t="n">
        <v>46290</v>
      </c>
      <c r="B58" s="17" t="inlineStr">
        <is>
          <t>petak</t>
        </is>
      </c>
      <c r="C58" s="9" t="inlineStr">
        <is>
          <t>Plastika i metal</t>
        </is>
      </c>
      <c r="D58" s="17" t="n"/>
    </row>
    <row r="59">
      <c r="A59" s="26" t="n">
        <v>46290</v>
      </c>
      <c r="B59" s="17" t="inlineStr">
        <is>
          <t>petak</t>
        </is>
      </c>
      <c r="C59" s="10" t="inlineStr">
        <is>
          <t>Papir i karton</t>
        </is>
      </c>
      <c r="D59" s="17" t="n"/>
    </row>
    <row r="60">
      <c r="A60" s="26" t="n">
        <v>46297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6" t="n">
        <v>46304</v>
      </c>
      <c r="B61" s="17" t="inlineStr">
        <is>
          <t>petak</t>
        </is>
      </c>
      <c r="C61" s="5" t="inlineStr">
        <is>
          <t>Miješani komunalni otpad</t>
        </is>
      </c>
      <c r="D61" s="17" t="n"/>
    </row>
    <row r="62">
      <c r="A62" s="26" t="n">
        <v>46311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6" t="n">
        <v>46318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6" t="n">
        <v>46325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6" t="n">
        <v>46325</v>
      </c>
      <c r="B65" s="17" t="inlineStr">
        <is>
          <t>petak</t>
        </is>
      </c>
      <c r="C65" s="9" t="inlineStr">
        <is>
          <t>Plastika i metal</t>
        </is>
      </c>
      <c r="D65" s="17" t="n"/>
    </row>
    <row r="66">
      <c r="A66" s="26" t="n">
        <v>46325</v>
      </c>
      <c r="B66" s="17" t="inlineStr">
        <is>
          <t>petak</t>
        </is>
      </c>
      <c r="C66" s="10" t="inlineStr">
        <is>
          <t>Papir i karton</t>
        </is>
      </c>
      <c r="D66" s="17" t="n"/>
    </row>
    <row r="67">
      <c r="A67" s="26" t="n">
        <v>46332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6" t="n">
        <v>46339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6" t="n">
        <v>46346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6" t="n">
        <v>46353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6" t="n">
        <v>46353</v>
      </c>
      <c r="B71" s="17" t="inlineStr">
        <is>
          <t>petak</t>
        </is>
      </c>
      <c r="C71" s="9" t="inlineStr">
        <is>
          <t>Plastika i metal</t>
        </is>
      </c>
      <c r="D71" s="17" t="n"/>
    </row>
    <row r="72">
      <c r="A72" s="26" t="n">
        <v>46353</v>
      </c>
      <c r="B72" s="17" t="inlineStr">
        <is>
          <t>petak</t>
        </is>
      </c>
      <c r="C72" s="10" t="inlineStr">
        <is>
          <t>Papir i karton</t>
        </is>
      </c>
      <c r="D72" s="17" t="n"/>
    </row>
    <row r="73">
      <c r="A73" s="26" t="n">
        <v>46360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6" t="n">
        <v>46367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6" t="n">
        <v>46374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6" t="n">
        <v>46379</v>
      </c>
      <c r="B76" s="17" t="inlineStr">
        <is>
          <t>srijeda</t>
        </is>
      </c>
      <c r="C76" s="9" t="inlineStr">
        <is>
          <t>Plastika i metal</t>
        </is>
      </c>
      <c r="D76" s="17" t="n"/>
    </row>
    <row r="77">
      <c r="A77" s="26" t="n">
        <v>46379</v>
      </c>
      <c r="B77" s="17" t="inlineStr">
        <is>
          <t>srijeda</t>
        </is>
      </c>
      <c r="C77" s="10" t="inlineStr">
        <is>
          <t>Papir i karton</t>
        </is>
      </c>
      <c r="D77" s="17" t="n"/>
    </row>
    <row r="78">
      <c r="A78" s="26" t="n">
        <v>46380</v>
      </c>
      <c r="B78" s="17" t="inlineStr">
        <is>
          <t>četvrtak</t>
        </is>
      </c>
      <c r="C78" s="5" t="inlineStr">
        <is>
          <t>Miješani komunalni otpad</t>
        </is>
      </c>
      <c r="D78" s="17" t="inlineStr">
        <is>
          <t>Pomaknuto zbog neradnog dana u tjednu</t>
        </is>
      </c>
    </row>
  </sheetData>
  <autoFilter ref="A1:D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2026-10-07T18:55:15Z</dcterms:created>
  <dcterms:modified xmlns:dcterms="http://purl.org/dc/terms/" xmlns:xsi="http://www.w3.org/2001/XMLSchema-instance" xsi:type="dcterms:W3CDTF">2026-10-07T18:55:15Z</dcterms:modified>
</cp:coreProperties>
</file>
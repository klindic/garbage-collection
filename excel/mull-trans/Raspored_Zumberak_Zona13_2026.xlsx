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metal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9">
      <c r="A9" s="11" t="inlineStr">
        <is>
          <t>Glomazni otpad</t>
        </is>
      </c>
      <c r="B9" s="6">
        <f>IFERROR(1/(1/_xlfn.MINIFS(Raspored!$A$5:$A$54,Raspored!$G$5:$G$54,"x",Raspored!$A$5:$A$54,"&gt;="&amp;$B$3)),"nema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  <c r="E13" s="7">
        <f>COUNTIFS(Raspored!$C$5:$C$54,$A13,Raspored!$G$5:$G$54,"x")</f>
        <v/>
      </c>
    </row>
    <row r="14">
      <c r="A14" s="17" t="inlineStr">
        <is>
          <t>veljača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  <c r="E14" s="7">
        <f>COUNTIFS(Raspored!$C$5:$C$54,$A14,Raspored!$G$5:$G$54,"x")</f>
        <v/>
      </c>
    </row>
    <row r="15">
      <c r="A15" s="17" t="inlineStr">
        <is>
          <t>ožujak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  <c r="E15" s="7">
        <f>COUNTIFS(Raspored!$C$5:$C$54,$A15,Raspored!$G$5:$G$54,"x")</f>
        <v/>
      </c>
    </row>
    <row r="16">
      <c r="A16" s="17" t="inlineStr">
        <is>
          <t>travanj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  <c r="E16" s="7">
        <f>COUNTIFS(Raspored!$C$5:$C$54,$A16,Raspored!$G$5:$G$54,"x")</f>
        <v/>
      </c>
    </row>
    <row r="17">
      <c r="A17" s="17" t="inlineStr">
        <is>
          <t>svibanj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  <c r="E17" s="7">
        <f>COUNTIFS(Raspored!$C$5:$C$54,$A17,Raspored!$G$5:$G$54,"x")</f>
        <v/>
      </c>
    </row>
    <row r="18">
      <c r="A18" s="17" t="inlineStr">
        <is>
          <t>lipanj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  <c r="E18" s="7">
        <f>COUNTIFS(Raspored!$C$5:$C$54,$A18,Raspored!$G$5:$G$54,"x")</f>
        <v/>
      </c>
    </row>
    <row r="19">
      <c r="A19" s="17" t="inlineStr">
        <is>
          <t>srpanj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  <c r="E19" s="7">
        <f>COUNTIFS(Raspored!$C$5:$C$54,$A19,Raspored!$G$5:$G$54,"x")</f>
        <v/>
      </c>
    </row>
    <row r="20">
      <c r="A20" s="17" t="inlineStr">
        <is>
          <t>kolovoz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  <c r="E20" s="7">
        <f>COUNTIFS(Raspored!$C$5:$C$54,$A20,Raspored!$G$5:$G$54,"x")</f>
        <v/>
      </c>
    </row>
    <row r="21">
      <c r="A21" s="17" t="inlineStr">
        <is>
          <t>rujan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  <c r="E21" s="7">
        <f>COUNTIFS(Raspored!$C$5:$C$54,$A21,Raspored!$G$5:$G$54,"x")</f>
        <v/>
      </c>
    </row>
    <row r="22">
      <c r="A22" s="17" t="inlineStr">
        <is>
          <t>listopad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  <c r="E22" s="7">
        <f>COUNTIFS(Raspored!$C$5:$C$54,$A22,Raspored!$G$5:$G$54,"x")</f>
        <v/>
      </c>
    </row>
    <row r="23">
      <c r="A23" s="17" t="inlineStr">
        <is>
          <t>studeni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  <c r="E23" s="7">
        <f>COUNTIFS(Raspored!$C$5:$C$54,$A23,Raspored!$G$5:$G$54,"x")</f>
        <v/>
      </c>
    </row>
    <row r="24">
      <c r="A24" s="17" t="inlineStr">
        <is>
          <t>prosinac</t>
        </is>
      </c>
      <c r="B24" s="7">
        <f>COUNTIFS(Raspored!$C$5:$C$54,$A24,Raspored!$D$5:$D$54,"x")</f>
        <v/>
      </c>
      <c r="C24" s="7">
        <f>COUNTIFS(Raspored!$C$5:$C$54,$A24,Raspored!$E$5:$E$54,"x")</f>
        <v/>
      </c>
      <c r="D24" s="7">
        <f>COUNTIFS(Raspored!$C$5:$C$54,$A24,Raspored!$F$5:$F$54,"x")</f>
        <v/>
      </c>
      <c r="E24" s="7">
        <f>COUNTIFS(Raspored!$C$5:$C$54,$A24,Raspored!$G$5:$G$54,"x")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Mobilno reciklažno dvorište: 19.1., 30.4., 17.7., 30.11. (lokacije i vrijeme u PDF-u). Izvor: https://eko-flor.hr/wp-content/uploads/2025/12/Opcina-Zumberak-raspored-za-2026.pdf (PDF izmijenjen 30.12.2025.)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(Žumberak)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46114</v>
      </c>
      <c r="B17" s="7" t="inlineStr">
        <is>
          <t>četvrtak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46119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46149</v>
      </c>
      <c r="B21" s="7" t="inlineStr">
        <is>
          <t>četvrtak</t>
        </is>
      </c>
      <c r="C21" s="7" t="inlineStr">
        <is>
          <t>svibanj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46168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46178</v>
      </c>
      <c r="B25" s="7" t="inlineStr">
        <is>
          <t>petak</t>
        </is>
      </c>
      <c r="C25" s="7" t="inlineStr">
        <is>
          <t>lipanj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24" t="n">
        <v>46179</v>
      </c>
      <c r="B26" s="25" t="inlineStr">
        <is>
          <t>subota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7" t="n"/>
      <c r="H26" s="23" t="inlineStr">
        <is>
          <t>Pomaknuto zbog neradnog dana u tjednu</t>
        </is>
      </c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46205</v>
      </c>
      <c r="B30" s="7" t="inlineStr">
        <is>
          <t>četvrtak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46210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46238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46266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46268</v>
      </c>
      <c r="B39" s="7" t="inlineStr">
        <is>
          <t>četvrtak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46294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46296</v>
      </c>
      <c r="B43" s="7" t="inlineStr">
        <is>
          <t>četvrtak</t>
        </is>
      </c>
      <c r="C43" s="7" t="inlineStr">
        <is>
          <t>listopad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46301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46329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46331</v>
      </c>
      <c r="B48" s="7" t="inlineStr">
        <is>
          <t>četvrtak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46359</v>
      </c>
      <c r="B51" s="7" t="inlineStr">
        <is>
          <t>četvrtak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46360</v>
      </c>
      <c r="B52" s="7" t="inlineStr">
        <is>
          <t>petak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46378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</sheetData>
  <autoFilter ref="A4:H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G5:G54">
    <cfRule type="expression" priority="4" dxfId="3">
      <formula>G5="x"</formula>
    </cfRule>
  </conditionalFormatting>
  <conditionalFormatting sqref="A5:H5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10" t="inlineStr">
        <is>
          <t>Papir i karton</t>
        </is>
      </c>
      <c r="D2" s="17" t="n"/>
    </row>
    <row r="3">
      <c r="A3" s="26" t="n">
        <v>46031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6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46058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6" t="n">
        <v>46059</v>
      </c>
      <c r="B7" s="17" t="inlineStr">
        <is>
          <t>petak</t>
        </is>
      </c>
      <c r="C7" s="9" t="inlineStr">
        <is>
          <t>Plastika i metal</t>
        </is>
      </c>
      <c r="D7" s="17" t="n"/>
    </row>
    <row r="8">
      <c r="A8" s="26" t="n">
        <v>46063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46077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46086</v>
      </c>
      <c r="B10" s="17" t="inlineStr">
        <is>
          <t>četvrtak</t>
        </is>
      </c>
      <c r="C10" s="10" t="inlineStr">
        <is>
          <t>Papir i karton</t>
        </is>
      </c>
      <c r="D10" s="17" t="n"/>
    </row>
    <row r="11">
      <c r="A11" s="26" t="n">
        <v>46087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6" t="n">
        <v>46091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46105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46114</v>
      </c>
      <c r="B14" s="17" t="inlineStr">
        <is>
          <t>četvrtak</t>
        </is>
      </c>
      <c r="C14" s="10" t="inlineStr">
        <is>
          <t>Papir i karton</t>
        </is>
      </c>
      <c r="D14" s="17" t="n"/>
    </row>
    <row r="15">
      <c r="A15" s="26" t="n">
        <v>46115</v>
      </c>
      <c r="B15" s="17" t="inlineStr">
        <is>
          <t>petak</t>
        </is>
      </c>
      <c r="C15" s="9" t="inlineStr">
        <is>
          <t>Plastika i metal</t>
        </is>
      </c>
      <c r="D15" s="17" t="n"/>
    </row>
    <row r="16">
      <c r="A16" s="26" t="n">
        <v>46119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46133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46149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46150</v>
      </c>
      <c r="B19" s="17" t="inlineStr">
        <is>
          <t>petak</t>
        </is>
      </c>
      <c r="C19" s="9" t="inlineStr">
        <is>
          <t>Plastika i metal</t>
        </is>
      </c>
      <c r="D19" s="17" t="n"/>
    </row>
    <row r="20">
      <c r="A20" s="26" t="n">
        <v>46154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46168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46178</v>
      </c>
      <c r="B22" s="17" t="inlineStr">
        <is>
          <t>petak</t>
        </is>
      </c>
      <c r="C22" s="9" t="inlineStr">
        <is>
          <t>Plastika i metal</t>
        </is>
      </c>
      <c r="D22" s="17" t="n"/>
    </row>
    <row r="23">
      <c r="A23" s="26" t="n">
        <v>46179</v>
      </c>
      <c r="B23" s="17" t="inlineStr">
        <is>
          <t>subota</t>
        </is>
      </c>
      <c r="C23" s="10" t="inlineStr">
        <is>
          <t>Papir i karton</t>
        </is>
      </c>
      <c r="D23" s="17" t="inlineStr">
        <is>
          <t>Pomaknuto zbog neradnog dana u tjednu</t>
        </is>
      </c>
    </row>
    <row r="24">
      <c r="A24" s="26" t="n">
        <v>46182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46192</v>
      </c>
      <c r="B25" s="17" t="inlineStr">
        <is>
          <t>petak</t>
        </is>
      </c>
      <c r="C25" s="11" t="inlineStr">
        <is>
          <t>Glomazni otpad</t>
        </is>
      </c>
      <c r="D25" s="17" t="n"/>
    </row>
    <row r="26">
      <c r="A26" s="26" t="n">
        <v>46196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46205</v>
      </c>
      <c r="B27" s="17" t="inlineStr">
        <is>
          <t>četvrtak</t>
        </is>
      </c>
      <c r="C27" s="10" t="inlineStr">
        <is>
          <t>Papir i karton</t>
        </is>
      </c>
      <c r="D27" s="17" t="n"/>
    </row>
    <row r="28">
      <c r="A28" s="26" t="n">
        <v>46206</v>
      </c>
      <c r="B28" s="17" t="inlineStr">
        <is>
          <t>petak</t>
        </is>
      </c>
      <c r="C28" s="9" t="inlineStr">
        <is>
          <t>Plastika i metal</t>
        </is>
      </c>
      <c r="D28" s="17" t="n"/>
    </row>
    <row r="29">
      <c r="A29" s="26" t="n">
        <v>46210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46224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46238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46240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46241</v>
      </c>
      <c r="B33" s="17" t="inlineStr">
        <is>
          <t>petak</t>
        </is>
      </c>
      <c r="C33" s="9" t="inlineStr">
        <is>
          <t>Plastika i metal</t>
        </is>
      </c>
      <c r="D33" s="17" t="n"/>
    </row>
    <row r="34">
      <c r="A34" s="26" t="n">
        <v>46252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46266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46268</v>
      </c>
      <c r="B36" s="17" t="inlineStr">
        <is>
          <t>četvrtak</t>
        </is>
      </c>
      <c r="C36" s="10" t="inlineStr">
        <is>
          <t>Papir i karton</t>
        </is>
      </c>
      <c r="D36" s="17" t="n"/>
    </row>
    <row r="37">
      <c r="A37" s="26" t="n">
        <v>46269</v>
      </c>
      <c r="B37" s="17" t="inlineStr">
        <is>
          <t>petak</t>
        </is>
      </c>
      <c r="C37" s="9" t="inlineStr">
        <is>
          <t>Plastika i metal</t>
        </is>
      </c>
      <c r="D37" s="17" t="n"/>
    </row>
    <row r="38">
      <c r="A38" s="26" t="n">
        <v>46280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46294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46296</v>
      </c>
      <c r="B40" s="17" t="inlineStr">
        <is>
          <t>četvrtak</t>
        </is>
      </c>
      <c r="C40" s="10" t="inlineStr">
        <is>
          <t>Papir i karton</t>
        </is>
      </c>
      <c r="D40" s="17" t="n"/>
    </row>
    <row r="41">
      <c r="A41" s="26" t="n">
        <v>46297</v>
      </c>
      <c r="B41" s="17" t="inlineStr">
        <is>
          <t>petak</t>
        </is>
      </c>
      <c r="C41" s="9" t="inlineStr">
        <is>
          <t>Plastika i metal</t>
        </is>
      </c>
      <c r="D41" s="17" t="n"/>
    </row>
    <row r="42">
      <c r="A42" s="26" t="n">
        <v>46301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46315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46329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46331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6" t="n">
        <v>46332</v>
      </c>
      <c r="B46" s="17" t="inlineStr">
        <is>
          <t>petak</t>
        </is>
      </c>
      <c r="C46" s="9" t="inlineStr">
        <is>
          <t>Plastika i metal</t>
        </is>
      </c>
      <c r="D46" s="17" t="n"/>
    </row>
    <row r="47">
      <c r="A47" s="26" t="n">
        <v>46343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46359</v>
      </c>
      <c r="B48" s="17" t="inlineStr">
        <is>
          <t>četvrtak</t>
        </is>
      </c>
      <c r="C48" s="10" t="inlineStr">
        <is>
          <t>Papir i karton</t>
        </is>
      </c>
      <c r="D48" s="17" t="n"/>
    </row>
    <row r="49">
      <c r="A49" s="26" t="n">
        <v>46360</v>
      </c>
      <c r="B49" s="17" t="inlineStr">
        <is>
          <t>petak</t>
        </is>
      </c>
      <c r="C49" s="9" t="inlineStr">
        <is>
          <t>Plastika i metal</t>
        </is>
      </c>
      <c r="D49" s="17" t="n"/>
    </row>
    <row r="50">
      <c r="A50" s="26" t="n">
        <v>46364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46378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
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'Raspored'!$A$4:$I$36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Plastična i metalna ambalaža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i karton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Staklena ambalaža (vrećica)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0">
      <c r="A10" s="12" t="inlineStr">
        <is>
          <t>Glomazni otpad (samo uz najavu)</t>
        </is>
      </c>
      <c r="B10" s="6">
        <f>IFERROR(1/(1/_xlfn.MINIFS(Raspored!$A$5:$A$36,Raspored!$H$5:$H$36,"x",Raspored!$A$5:$A$36,"&gt;="&amp;$B$3)),"nema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Plastična i metalna ambalaža</t>
        </is>
      </c>
      <c r="D13" s="16" t="inlineStr">
        <is>
          <t>Papir i karton</t>
        </is>
      </c>
      <c r="E13" s="17" t="inlineStr">
        <is>
          <t>Staklena ambalaža (vrećica)</t>
        </is>
      </c>
      <c r="F13" s="18" t="inlineStr">
        <is>
          <t>Glomazni otpad (samo uz najavu)</t>
        </is>
      </c>
    </row>
    <row r="14">
      <c r="A14" s="19" t="inlineStr">
        <is>
          <t>siječanj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  <c r="F14" s="7">
        <f>COUNTIFS(Raspored!$C$5:$C$36,$A14,Raspored!$H$5:$H$36,"x")</f>
        <v/>
      </c>
    </row>
    <row r="15">
      <c r="A15" s="19" t="inlineStr">
        <is>
          <t>veljača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  <c r="F15" s="7">
        <f>COUNTIFS(Raspored!$C$5:$C$36,$A15,Raspored!$H$5:$H$36,"x")</f>
        <v/>
      </c>
    </row>
    <row r="16">
      <c r="A16" s="19" t="inlineStr">
        <is>
          <t>ožujak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  <c r="F16" s="7">
        <f>COUNTIFS(Raspored!$C$5:$C$36,$A16,Raspored!$H$5:$H$36,"x")</f>
        <v/>
      </c>
    </row>
    <row r="17">
      <c r="A17" s="19" t="inlineStr">
        <is>
          <t>travanj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  <c r="F17" s="7">
        <f>COUNTIFS(Raspored!$C$5:$C$36,$A17,Raspored!$H$5:$H$36,"x")</f>
        <v/>
      </c>
    </row>
    <row r="18">
      <c r="A18" s="19" t="inlineStr">
        <is>
          <t>svibanj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  <c r="F18" s="7">
        <f>COUNTIFS(Raspored!$C$5:$C$36,$A18,Raspored!$H$5:$H$36,"x")</f>
        <v/>
      </c>
    </row>
    <row r="19">
      <c r="A19" s="19" t="inlineStr">
        <is>
          <t>lipanj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  <c r="F19" s="7">
        <f>COUNTIFS(Raspored!$C$5:$C$36,$A19,Raspored!$H$5:$H$36,"x")</f>
        <v/>
      </c>
    </row>
    <row r="20">
      <c r="A20" s="19" t="inlineStr">
        <is>
          <t>srpanj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  <c r="F20" s="7">
        <f>COUNTIFS(Raspored!$C$5:$C$36,$A20,Raspored!$H$5:$H$36,"x")</f>
        <v/>
      </c>
    </row>
    <row r="21">
      <c r="A21" s="19" t="inlineStr">
        <is>
          <t>kolovoz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  <c r="F21" s="7">
        <f>COUNTIFS(Raspored!$C$5:$C$36,$A21,Raspored!$H$5:$H$36,"x")</f>
        <v/>
      </c>
    </row>
    <row r="22">
      <c r="A22" s="19" t="inlineStr">
        <is>
          <t>rujan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  <c r="F22" s="7">
        <f>COUNTIFS(Raspored!$C$5:$C$36,$A22,Raspored!$H$5:$H$36,"x")</f>
        <v/>
      </c>
    </row>
    <row r="23">
      <c r="A23" s="19" t="inlineStr">
        <is>
          <t>listopad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  <c r="F23" s="7">
        <f>COUNTIFS(Raspored!$C$5:$C$36,$A23,Raspored!$H$5:$H$36,"x")</f>
        <v/>
      </c>
    </row>
    <row r="24">
      <c r="A24" s="19" t="inlineStr">
        <is>
          <t>studeni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  <c r="F24" s="7">
        <f>COUNTIFS(Raspored!$C$5:$C$36,$A24,Raspored!$H$5:$H$36,"x")</f>
        <v/>
      </c>
    </row>
    <row r="25">
      <c r="A25" s="19" t="inlineStr">
        <is>
          <t>prosinac</t>
        </is>
      </c>
      <c r="B25" s="7">
        <f>COUNTIFS(Raspored!$C$5:$C$36,$A25,Raspored!$D$5:$D$36,"x")</f>
        <v/>
      </c>
      <c r="C25" s="7">
        <f>COUNTIFS(Raspored!$C$5:$C$36,$A25,Raspored!$E$5:$E$36,"x")</f>
        <v/>
      </c>
      <c r="D25" s="7">
        <f>COUNTIFS(Raspored!$C$5:$C$36,$A25,Raspored!$F$5:$F$36,"x")</f>
        <v/>
      </c>
      <c r="E25" s="7">
        <f>COUNTIFS(Raspored!$C$5:$C$36,$A25,Raspored!$G$5:$G$36,"x")</f>
        <v/>
      </c>
      <c r="F25" s="7">
        <f>COUNTIFS(Raspored!$C$5:$C$36,$A25,Raspored!$H$5:$H$36,"x")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Doroslov od 1.7.2026.; prije toga Eko-Flor/Mull-Trans. Doroslovov raspored za ovu općinu objavljen je od 07.07.2026. Mobilno reciklažno dvorište: 11.08., 06.11. (lokacije i vrijeme u PDF-u rasporeda).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Miješani komunalni otpad odvozi se jednom u dva tjedna, plastika i metal, papir i staklo jednom mjesečno.</t>
        </is>
      </c>
    </row>
    <row r="32">
      <c r="A32" s="23" t="inlineStr">
        <is>
          <t>• Glomazni otpad odvozi se na označeni dan samo uz najavu najkasnije tri dana prije: 031/632-284 ili info@doroslov.hr.</t>
        </is>
      </c>
    </row>
    <row r="33">
      <c r="A33" s="23" t="inlineStr">
        <is>
          <t>• Pomaci zbog blagdana već su upisani u rasporede.</t>
        </is>
      </c>
    </row>
    <row r="34">
      <c r="A34" s="23" t="inlineStr">
        <is>
          <t>• Općine Magadenovac, Podravsku Moslavinu i Viljevo Doroslov preuzima od 1.7.2026.; ovdje su samo datumi iz Doroslovih rasporeda.</t>
        </is>
      </c>
    </row>
    <row r="35">
      <c r="A35" s="23" t="inlineStr">
        <is>
          <t>• Odlagalište i reciklažno dvorište Donji Miholjac: pon-pet 12-17 h.</t>
        </is>
      </c>
    </row>
    <row r="36">
      <c r="A36" s="23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8 (Viljevo)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Plastična i metalna ambalaža</t>
        </is>
      </c>
      <c r="F4" s="16" t="inlineStr">
        <is>
          <t>Papir i karton</t>
        </is>
      </c>
      <c r="G4" s="17" t="inlineStr">
        <is>
          <t>Staklena ambalaža (vrećica)</t>
        </is>
      </c>
      <c r="H4" s="18" t="inlineStr">
        <is>
          <t>Glomazni otpad (samo uz najavu)</t>
        </is>
      </c>
      <c r="I4" s="4" t="inlineStr">
        <is>
          <t>Napomena</t>
        </is>
      </c>
    </row>
    <row r="5">
      <c r="A5" s="6" t="n">
        <v>46210</v>
      </c>
      <c r="B5" s="7" t="inlineStr">
        <is>
          <t>utorak</t>
        </is>
      </c>
      <c r="C5" s="7" t="inlineStr">
        <is>
          <t>srpanj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46217</v>
      </c>
      <c r="B6" s="7" t="inlineStr">
        <is>
          <t>utorak</t>
        </is>
      </c>
      <c r="C6" s="7" t="inlineStr">
        <is>
          <t>srpanj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46224</v>
      </c>
      <c r="B7" s="7" t="inlineStr">
        <is>
          <t>utorak</t>
        </is>
      </c>
      <c r="C7" s="7" t="inlineStr">
        <is>
          <t>srpanj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46231</v>
      </c>
      <c r="B8" s="7" t="inlineStr">
        <is>
          <t>utorak</t>
        </is>
      </c>
      <c r="C8" s="7" t="inlineStr">
        <is>
          <t>srpanj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46232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46238</v>
      </c>
      <c r="B10" s="7" t="inlineStr">
        <is>
          <t>utorak</t>
        </is>
      </c>
      <c r="C10" s="7" t="inlineStr">
        <is>
          <t>kolovoz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46245</v>
      </c>
      <c r="B11" s="7" t="inlineStr">
        <is>
          <t>utorak</t>
        </is>
      </c>
      <c r="C11" s="7" t="inlineStr">
        <is>
          <t>kolovoz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46252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46259</v>
      </c>
      <c r="B13" s="7" t="inlineStr">
        <is>
          <t>utorak</t>
        </is>
      </c>
      <c r="C13" s="7" t="inlineStr">
        <is>
          <t>kolovoz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46261</v>
      </c>
      <c r="B14" s="7" t="inlineStr">
        <is>
          <t>četvrtak</t>
        </is>
      </c>
      <c r="C14" s="7" t="inlineStr">
        <is>
          <t>kolovoz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46266</v>
      </c>
      <c r="B15" s="7" t="inlineStr">
        <is>
          <t>utorak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46273</v>
      </c>
      <c r="B16" s="7" t="inlineStr">
        <is>
          <t>utorak</t>
        </is>
      </c>
      <c r="C16" s="7" t="inlineStr">
        <is>
          <t>rujan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46280</v>
      </c>
      <c r="B17" s="7" t="inlineStr">
        <is>
          <t>utorak</t>
        </is>
      </c>
      <c r="C17" s="7" t="inlineStr">
        <is>
          <t>rujan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46287</v>
      </c>
      <c r="B18" s="7" t="inlineStr">
        <is>
          <t>utorak</t>
        </is>
      </c>
      <c r="C18" s="7" t="inlineStr">
        <is>
          <t>rujan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46294</v>
      </c>
      <c r="B19" s="7" t="inlineStr">
        <is>
          <t>utorak</t>
        </is>
      </c>
      <c r="C19" s="7" t="inlineStr">
        <is>
          <t>rujan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46295</v>
      </c>
      <c r="B20" s="7" t="inlineStr">
        <is>
          <t>srijeda</t>
        </is>
      </c>
      <c r="C20" s="7" t="inlineStr">
        <is>
          <t>rujan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46301</v>
      </c>
      <c r="B21" s="7" t="inlineStr">
        <is>
          <t>utorak</t>
        </is>
      </c>
      <c r="C21" s="7" t="inlineStr">
        <is>
          <t>listopad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46308</v>
      </c>
      <c r="B22" s="7" t="inlineStr">
        <is>
          <t>utorak</t>
        </is>
      </c>
      <c r="C22" s="7" t="inlineStr">
        <is>
          <t>listopad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46315</v>
      </c>
      <c r="B23" s="7" t="inlineStr">
        <is>
          <t>utorak</t>
        </is>
      </c>
      <c r="C23" s="7" t="inlineStr">
        <is>
          <t>listopad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46322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46323</v>
      </c>
      <c r="B25" s="7" t="inlineStr">
        <is>
          <t>srijeda</t>
        </is>
      </c>
      <c r="C25" s="7" t="inlineStr">
        <is>
          <t>listopad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46324</v>
      </c>
      <c r="B26" s="7" t="inlineStr">
        <is>
          <t>četvrtak</t>
        </is>
      </c>
      <c r="C26" s="7" t="inlineStr">
        <is>
          <t>listopad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46329</v>
      </c>
      <c r="B27" s="7" t="inlineStr">
        <is>
          <t>utorak</t>
        </is>
      </c>
      <c r="C27" s="7" t="inlineStr">
        <is>
          <t>studeni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46336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46343</v>
      </c>
      <c r="B29" s="7" t="inlineStr">
        <is>
          <t>utorak</t>
        </is>
      </c>
      <c r="C29" s="7" t="inlineStr">
        <is>
          <t>studeni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46350</v>
      </c>
      <c r="B30" s="7" t="inlineStr">
        <is>
          <t>utorak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46351</v>
      </c>
      <c r="B31" s="7" t="inlineStr">
        <is>
          <t>srijeda</t>
        </is>
      </c>
      <c r="C31" s="7" t="inlineStr">
        <is>
          <t>studeni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46357</v>
      </c>
      <c r="B32" s="7" t="inlineStr">
        <is>
          <t>utorak</t>
        </is>
      </c>
      <c r="C32" s="7" t="inlineStr">
        <is>
          <t>prosinac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46364</v>
      </c>
      <c r="B33" s="7" t="inlineStr">
        <is>
          <t>utorak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46371</v>
      </c>
      <c r="B34" s="7" t="inlineStr">
        <is>
          <t>utorak</t>
        </is>
      </c>
      <c r="C34" s="7" t="inlineStr">
        <is>
          <t>prosinac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46378</v>
      </c>
      <c r="B35" s="7" t="inlineStr">
        <is>
          <t>utorak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46386</v>
      </c>
      <c r="B36" s="7" t="inlineStr">
        <is>
          <t>srijeda</t>
        </is>
      </c>
      <c r="C36" s="7" t="inlineStr">
        <is>
          <t>prosinac</t>
        </is>
      </c>
      <c r="D36" s="7" t="n"/>
      <c r="E36" s="7" t="n"/>
      <c r="F36" s="7" t="n"/>
      <c r="G36" s="7" t="inlineStr">
        <is>
          <t>x</t>
        </is>
      </c>
      <c r="H36" s="7" t="n"/>
      <c r="I36" s="25" t="n"/>
    </row>
  </sheetData>
  <autoFilter ref="A4:I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H5:H36">
    <cfRule type="expression" priority="5" dxfId="4">
      <formula>H5="x"</formula>
    </cfRule>
  </conditionalFormatting>
  <conditionalFormatting sqref="A5:I3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46210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6" t="n">
        <v>46217</v>
      </c>
      <c r="B3" s="19" t="inlineStr">
        <is>
          <t>utorak</t>
        </is>
      </c>
      <c r="C3" s="9" t="inlineStr">
        <is>
          <t>Plastična i metalna ambalaža</t>
        </is>
      </c>
      <c r="D3" s="19" t="n"/>
    </row>
    <row r="4">
      <c r="A4" s="26" t="n">
        <v>46224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6" t="n">
        <v>46231</v>
      </c>
      <c r="B5" s="19" t="inlineStr">
        <is>
          <t>utorak</t>
        </is>
      </c>
      <c r="C5" s="10" t="inlineStr">
        <is>
          <t>Papir i karton</t>
        </is>
      </c>
      <c r="D5" s="19" t="n"/>
    </row>
    <row r="6">
      <c r="A6" s="26" t="n">
        <v>46232</v>
      </c>
      <c r="B6" s="19" t="inlineStr">
        <is>
          <t>srijeda</t>
        </is>
      </c>
      <c r="C6" s="11" t="inlineStr">
        <is>
          <t>Staklena ambalaža (vrećica)</t>
        </is>
      </c>
      <c r="D6" s="19" t="n"/>
    </row>
    <row r="7">
      <c r="A7" s="26" t="n">
        <v>46238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46245</v>
      </c>
      <c r="B8" s="19" t="inlineStr">
        <is>
          <t>utorak</t>
        </is>
      </c>
      <c r="C8" s="9" t="inlineStr">
        <is>
          <t>Plastična i metalna ambalaža</t>
        </is>
      </c>
      <c r="D8" s="19" t="n"/>
    </row>
    <row r="9">
      <c r="A9" s="26" t="n">
        <v>46252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46259</v>
      </c>
      <c r="B10" s="19" t="inlineStr">
        <is>
          <t>utorak</t>
        </is>
      </c>
      <c r="C10" s="10" t="inlineStr">
        <is>
          <t>Papir i karton</t>
        </is>
      </c>
      <c r="D10" s="19" t="n"/>
    </row>
    <row r="11">
      <c r="A11" s="26" t="n">
        <v>46261</v>
      </c>
      <c r="B11" s="19" t="inlineStr">
        <is>
          <t>četvrtak</t>
        </is>
      </c>
      <c r="C11" s="11" t="inlineStr">
        <is>
          <t>Staklena ambalaža (vrećica)</t>
        </is>
      </c>
      <c r="D11" s="19" t="n"/>
    </row>
    <row r="12">
      <c r="A12" s="26" t="n">
        <v>46266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46273</v>
      </c>
      <c r="B13" s="19" t="inlineStr">
        <is>
          <t>utorak</t>
        </is>
      </c>
      <c r="C13" s="9" t="inlineStr">
        <is>
          <t>Plastična i metalna ambalaža</t>
        </is>
      </c>
      <c r="D13" s="19" t="n"/>
    </row>
    <row r="14">
      <c r="A14" s="26" t="n">
        <v>46280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46287</v>
      </c>
      <c r="B15" s="19" t="inlineStr">
        <is>
          <t>utorak</t>
        </is>
      </c>
      <c r="C15" s="10" t="inlineStr">
        <is>
          <t>Papir i karton</t>
        </is>
      </c>
      <c r="D15" s="19" t="n"/>
    </row>
    <row r="16">
      <c r="A16" s="26" t="n">
        <v>46294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46295</v>
      </c>
      <c r="B17" s="19" t="inlineStr">
        <is>
          <t>srijeda</t>
        </is>
      </c>
      <c r="C17" s="11" t="inlineStr">
        <is>
          <t>Staklena ambalaža (vrećica)</t>
        </is>
      </c>
      <c r="D17" s="19" t="n"/>
    </row>
    <row r="18">
      <c r="A18" s="26" t="n">
        <v>46301</v>
      </c>
      <c r="B18" s="19" t="inlineStr">
        <is>
          <t>utorak</t>
        </is>
      </c>
      <c r="C18" s="9" t="inlineStr">
        <is>
          <t>Plastična i metalna ambalaža</t>
        </is>
      </c>
      <c r="D18" s="19" t="n"/>
    </row>
    <row r="19">
      <c r="A19" s="26" t="n">
        <v>46308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46315</v>
      </c>
      <c r="B20" s="19" t="inlineStr">
        <is>
          <t>utorak</t>
        </is>
      </c>
      <c r="C20" s="10" t="inlineStr">
        <is>
          <t>Papir i karton</t>
        </is>
      </c>
      <c r="D20" s="19" t="n"/>
    </row>
    <row r="21">
      <c r="A21" s="26" t="n">
        <v>46322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46323</v>
      </c>
      <c r="B22" s="19" t="inlineStr">
        <is>
          <t>srijeda</t>
        </is>
      </c>
      <c r="C22" s="11" t="inlineStr">
        <is>
          <t>Staklena ambalaža (vrećica)</t>
        </is>
      </c>
      <c r="D22" s="19" t="n"/>
    </row>
    <row r="23">
      <c r="A23" s="26" t="n">
        <v>46324</v>
      </c>
      <c r="B23" s="19" t="inlineStr">
        <is>
          <t>četvrtak</t>
        </is>
      </c>
      <c r="C23" s="12" t="inlineStr">
        <is>
          <t>Glomazni otpad (samo uz najavu)</t>
        </is>
      </c>
      <c r="D23" s="19" t="n"/>
    </row>
    <row r="24">
      <c r="A24" s="26" t="n">
        <v>46329</v>
      </c>
      <c r="B24" s="19" t="inlineStr">
        <is>
          <t>utorak</t>
        </is>
      </c>
      <c r="C24" s="9" t="inlineStr">
        <is>
          <t>Plastična i metalna ambalaža</t>
        </is>
      </c>
      <c r="D24" s="19" t="n"/>
    </row>
    <row r="25">
      <c r="A25" s="26" t="n">
        <v>46336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6" t="n">
        <v>46343</v>
      </c>
      <c r="B26" s="19" t="inlineStr">
        <is>
          <t>utorak</t>
        </is>
      </c>
      <c r="C26" s="10" t="inlineStr">
        <is>
          <t>Papir i karton</t>
        </is>
      </c>
      <c r="D26" s="19" t="n"/>
    </row>
    <row r="27">
      <c r="A27" s="26" t="n">
        <v>46350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6" t="n">
        <v>46351</v>
      </c>
      <c r="B28" s="19" t="inlineStr">
        <is>
          <t>srijeda</t>
        </is>
      </c>
      <c r="C28" s="11" t="inlineStr">
        <is>
          <t>Staklena ambalaža (vrećica)</t>
        </is>
      </c>
      <c r="D28" s="19" t="n"/>
    </row>
    <row r="29">
      <c r="A29" s="26" t="n">
        <v>46357</v>
      </c>
      <c r="B29" s="19" t="inlineStr">
        <is>
          <t>utorak</t>
        </is>
      </c>
      <c r="C29" s="9" t="inlineStr">
        <is>
          <t>Plastična i metalna ambalaža</t>
        </is>
      </c>
      <c r="D29" s="19" t="n"/>
    </row>
    <row r="30">
      <c r="A30" s="26" t="n">
        <v>46364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6" t="n">
        <v>46371</v>
      </c>
      <c r="B31" s="19" t="inlineStr">
        <is>
          <t>utorak</t>
        </is>
      </c>
      <c r="C31" s="10" t="inlineStr">
        <is>
          <t>Papir i karton</t>
        </is>
      </c>
      <c r="D31" s="19" t="n"/>
    </row>
    <row r="32">
      <c r="A32" s="26" t="n">
        <v>46378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6" t="n">
        <v>46386</v>
      </c>
      <c r="B33" s="19" t="inlineStr">
        <is>
          <t>srijeda</t>
        </is>
      </c>
      <c r="C33" s="11" t="inlineStr">
        <is>
          <t>Staklena ambalaža (vrećica)</t>
        </is>
      </c>
      <c r="D33" s="19" t="n"/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
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'Raspored'!$A$4:$G$37</definedName>
    <definedName name="_xlnm._FilterDatabase" localSheetId="2" hidden="1">'Po vrsti'!$A$1:$D$41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IFERROR(1/(1/_xlfn.MINIFS(Raspored!$A$5:$A$37,Raspored!$D$5:$D$37,"x",Raspored!$A$5:$A$37,"&gt;="&amp;$B$3)),"nema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COUNTIF(Raspored!$D$5:$D$37,"x")</f>
        <v/>
      </c>
    </row>
    <row r="7">
      <c r="A7" s="9" t="inlineStr">
        <is>
          <t>Plastika</t>
        </is>
      </c>
      <c r="B7" s="6">
        <f>IFERROR(1/(1/_xlfn.MINIFS(Raspored!$A$5:$A$37,Raspored!$E$5:$E$37,"x",Raspored!$A$5:$A$37,"&gt;="&amp;$B$3)),"nema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COUNTIF(Raspored!$E$5:$E$37,"x")</f>
        <v/>
      </c>
    </row>
    <row r="8">
      <c r="A8" s="10" t="inlineStr">
        <is>
          <t>Papir i karton</t>
        </is>
      </c>
      <c r="B8" s="6">
        <f>IFERROR(1/(1/_xlfn.MINIFS(Raspored!$A$5:$A$37,Raspored!$F$5:$F$37,"x",Raspored!$A$5:$A$37,"&gt;="&amp;$B$3)),"nema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COUNTIFS(Raspored!$C$5:$C$37,$A12,Raspored!$D$5:$D$37,"x")</f>
        <v/>
      </c>
      <c r="C12" s="7">
        <f>COUNTIFS(Raspored!$C$5:$C$37,$A12,Raspored!$E$5:$E$37,"x")</f>
        <v/>
      </c>
      <c r="D12" s="7">
        <f>COUNTIFS(Raspored!$C$5:$C$37,$A12,Raspored!$F$5:$F$37,"x")</f>
        <v/>
      </c>
    </row>
    <row r="13">
      <c r="A13" s="15" t="inlineStr">
        <is>
          <t>veljača</t>
        </is>
      </c>
      <c r="B13" s="7">
        <f>COUNTIFS(Raspored!$C$5:$C$37,$A13,Raspored!$D$5:$D$37,"x")</f>
        <v/>
      </c>
      <c r="C13" s="7">
        <f>COUNTIFS(Raspored!$C$5:$C$37,$A13,Raspored!$E$5:$E$37,"x")</f>
        <v/>
      </c>
      <c r="D13" s="7">
        <f>COUNTIFS(Raspored!$C$5:$C$37,$A13,Raspored!$F$5:$F$37,"x")</f>
        <v/>
      </c>
    </row>
    <row r="14">
      <c r="A14" s="15" t="inlineStr">
        <is>
          <t>ožujak</t>
        </is>
      </c>
      <c r="B14" s="7">
        <f>COUNTIFS(Raspored!$C$5:$C$37,$A14,Raspored!$D$5:$D$37,"x")</f>
        <v/>
      </c>
      <c r="C14" s="7">
        <f>COUNTIFS(Raspored!$C$5:$C$37,$A14,Raspored!$E$5:$E$37,"x")</f>
        <v/>
      </c>
      <c r="D14" s="7">
        <f>COUNTIFS(Raspored!$C$5:$C$37,$A14,Raspored!$F$5:$F$37,"x")</f>
        <v/>
      </c>
    </row>
    <row r="15">
      <c r="A15" s="15" t="inlineStr">
        <is>
          <t>travanj</t>
        </is>
      </c>
      <c r="B15" s="7">
        <f>COUNTIFS(Raspored!$C$5:$C$37,$A15,Raspored!$D$5:$D$37,"x")</f>
        <v/>
      </c>
      <c r="C15" s="7">
        <f>COUNTIFS(Raspored!$C$5:$C$37,$A15,Raspored!$E$5:$E$37,"x")</f>
        <v/>
      </c>
      <c r="D15" s="7">
        <f>COUNTIFS(Raspored!$C$5:$C$37,$A15,Raspored!$F$5:$F$37,"x")</f>
        <v/>
      </c>
    </row>
    <row r="16">
      <c r="A16" s="15" t="inlineStr">
        <is>
          <t>svibanj</t>
        </is>
      </c>
      <c r="B16" s="7">
        <f>COUNTIFS(Raspored!$C$5:$C$37,$A16,Raspored!$D$5:$D$37,"x")</f>
        <v/>
      </c>
      <c r="C16" s="7">
        <f>COUNTIFS(Raspored!$C$5:$C$37,$A16,Raspored!$E$5:$E$37,"x")</f>
        <v/>
      </c>
      <c r="D16" s="7">
        <f>COUNTIFS(Raspored!$C$5:$C$37,$A16,Raspored!$F$5:$F$37,"x")</f>
        <v/>
      </c>
    </row>
    <row r="17">
      <c r="A17" s="15" t="inlineStr">
        <is>
          <t>lipanj</t>
        </is>
      </c>
      <c r="B17" s="7">
        <f>COUNTIFS(Raspored!$C$5:$C$37,$A17,Raspored!$D$5:$D$37,"x")</f>
        <v/>
      </c>
      <c r="C17" s="7">
        <f>COUNTIFS(Raspored!$C$5:$C$37,$A17,Raspored!$E$5:$E$37,"x")</f>
        <v/>
      </c>
      <c r="D17" s="7">
        <f>COUNTIFS(Raspored!$C$5:$C$37,$A17,Raspored!$F$5:$F$37,"x")</f>
        <v/>
      </c>
    </row>
    <row r="18">
      <c r="A18" s="15" t="inlineStr">
        <is>
          <t>srpanj</t>
        </is>
      </c>
      <c r="B18" s="7">
        <f>COUNTIFS(Raspored!$C$5:$C$37,$A18,Raspored!$D$5:$D$37,"x")</f>
        <v/>
      </c>
      <c r="C18" s="7">
        <f>COUNTIFS(Raspored!$C$5:$C$37,$A18,Raspored!$E$5:$E$37,"x")</f>
        <v/>
      </c>
      <c r="D18" s="7">
        <f>COUNTIFS(Raspored!$C$5:$C$37,$A18,Raspored!$F$5:$F$37,"x")</f>
        <v/>
      </c>
    </row>
    <row r="19">
      <c r="A19" s="15" t="inlineStr">
        <is>
          <t>kolovoz</t>
        </is>
      </c>
      <c r="B19" s="7">
        <f>COUNTIFS(Raspored!$C$5:$C$37,$A19,Raspored!$D$5:$D$37,"x")</f>
        <v/>
      </c>
      <c r="C19" s="7">
        <f>COUNTIFS(Raspored!$C$5:$C$37,$A19,Raspored!$E$5:$E$37,"x")</f>
        <v/>
      </c>
      <c r="D19" s="7">
        <f>COUNTIFS(Raspored!$C$5:$C$37,$A19,Raspored!$F$5:$F$37,"x")</f>
        <v/>
      </c>
    </row>
    <row r="20">
      <c r="A20" s="15" t="inlineStr">
        <is>
          <t>rujan</t>
        </is>
      </c>
      <c r="B20" s="7">
        <f>COUNTIFS(Raspored!$C$5:$C$37,$A20,Raspored!$D$5:$D$37,"x")</f>
        <v/>
      </c>
      <c r="C20" s="7">
        <f>COUNTIFS(Raspored!$C$5:$C$37,$A20,Raspored!$E$5:$E$37,"x")</f>
        <v/>
      </c>
      <c r="D20" s="7">
        <f>COUNTIFS(Raspored!$C$5:$C$37,$A20,Raspored!$F$5:$F$37,"x")</f>
        <v/>
      </c>
    </row>
    <row r="21">
      <c r="A21" s="15" t="inlineStr">
        <is>
          <t>listopad</t>
        </is>
      </c>
      <c r="B21" s="7">
        <f>COUNTIFS(Raspored!$C$5:$C$37,$A21,Raspored!$D$5:$D$37,"x")</f>
        <v/>
      </c>
      <c r="C21" s="7">
        <f>COUNTIFS(Raspored!$C$5:$C$37,$A21,Raspored!$E$5:$E$37,"x")</f>
        <v/>
      </c>
      <c r="D21" s="7">
        <f>COUNTIFS(Raspored!$C$5:$C$37,$A21,Raspored!$F$5:$F$37,"x")</f>
        <v/>
      </c>
    </row>
    <row r="22">
      <c r="A22" s="15" t="inlineStr">
        <is>
          <t>studeni</t>
        </is>
      </c>
      <c r="B22" s="7">
        <f>COUNTIFS(Raspored!$C$5:$C$37,$A22,Raspored!$D$5:$D$37,"x")</f>
        <v/>
      </c>
      <c r="C22" s="7">
        <f>COUNTIFS(Raspored!$C$5:$C$37,$A22,Raspored!$E$5:$E$37,"x")</f>
        <v/>
      </c>
      <c r="D22" s="7">
        <f>COUNTIFS(Raspored!$C$5:$C$37,$A22,Raspored!$F$5:$F$37,"x")</f>
        <v/>
      </c>
    </row>
    <row r="23">
      <c r="A23" s="15" t="inlineStr">
        <is>
          <t>prosinac</t>
        </is>
      </c>
      <c r="B23" s="7">
        <f>COUNTIFS(Raspored!$C$5:$C$37,$A23,Raspored!$D$5:$D$37,"x")</f>
        <v/>
      </c>
      <c r="C23" s="7">
        <f>COUNTIFS(Raspored!$C$5:$C$37,$A23,Raspored!$E$5:$E$37,"x")</f>
        <v/>
      </c>
      <c r="D23" s="7">
        <f>COUNTIFS(Raspored!$C$5:$C$37,$A23,Raspored!$F$5:$F$37,"x")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Na webu je objavljen samo raspored od 30.09.2026. do 21.04.2027. (widget na naslovnici); raniji raspored za listopad 2025. - rujan 2026. više nije objavljen.</t>
        </is>
      </c>
    </row>
    <row r="28">
      <c r="A28" s="19" t="inlineStr">
        <is>
          <t>• Bibinjac ne objavljuje popis ulica iznad i ispod pruge.</t>
        </is>
      </c>
    </row>
    <row r="29">
      <c r="A29" s="19" t="inlineStr">
        <is>
          <t>• Papir i plastika odvoze se istoga dana (svaka druga srijeda prema datumima).</t>
        </is>
      </c>
    </row>
    <row r="30">
      <c r="A30" s="19" t="inlineStr">
        <is>
          <t>• Spremnike iznijeti večer prije odvoza ili najkasnije rano ujutro na dan odvoza.</t>
        </is>
      </c>
    </row>
    <row r="31">
      <c r="A31" s="19" t="inlineStr">
        <is>
          <t>• Općina navodi da se miješani otpad ljeti odvozi tri puta tjedno, ali ljetni raspored nije objavljen.</t>
        </is>
      </c>
    </row>
    <row r="32">
      <c r="A32" s="19" t="inlineStr">
        <is>
          <t>• Glomazni otpad: prema obavijesti od 07.10.2026. odvozi se utorkom i četvrtkom (na blagdan idući utvrđeni dan).</t>
        </is>
      </c>
    </row>
    <row r="33">
      <c r="A33" s="19" t="inlineStr">
        <is>
          <t>• Kontakt: 023/261-201, tdbibinjac@gmail.com.</t>
        </is>
      </c>
    </row>
    <row r="34">
      <c r="A34" s="19" t="inlineStr">
        <is>
          <t>• Pomaci odvoza miješanog otpada zbog blagdana nisu objavljeni; upisani su dani po rasporedu i za blagdane: 29.03.2027. (iznad pruge), 25.12.2026. (ispod pruge), 01.01.2027. (ispod pruge).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(Bibinje)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46295</v>
      </c>
      <c r="B5" s="7" t="inlineStr">
        <is>
          <t>srijeda</t>
        </is>
      </c>
      <c r="C5" s="7" t="inlineStr">
        <is>
          <t>rujan</t>
        </is>
      </c>
      <c r="D5" s="7" t="n"/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46297</v>
      </c>
      <c r="B6" s="7" t="inlineStr">
        <is>
          <t>petak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46301</v>
      </c>
      <c r="B7" s="7" t="inlineStr">
        <is>
          <t>utorak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46304</v>
      </c>
      <c r="B8" s="7" t="inlineStr">
        <is>
          <t>petak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46308</v>
      </c>
      <c r="B9" s="7" t="inlineStr">
        <is>
          <t>utorak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46309</v>
      </c>
      <c r="B10" s="7" t="inlineStr">
        <is>
          <t>srijeda</t>
        </is>
      </c>
      <c r="C10" s="7" t="inlineStr">
        <is>
          <t>listopad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46311</v>
      </c>
      <c r="B11" s="7" t="inlineStr">
        <is>
          <t>petak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46315</v>
      </c>
      <c r="B12" s="7" t="inlineStr">
        <is>
          <t>utorak</t>
        </is>
      </c>
      <c r="C12" s="7" t="inlineStr">
        <is>
          <t>listopad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46318</v>
      </c>
      <c r="B13" s="7" t="inlineStr">
        <is>
          <t>petak</t>
        </is>
      </c>
      <c r="C13" s="7" t="inlineStr">
        <is>
          <t>listopad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46322</v>
      </c>
      <c r="B14" s="7" t="inlineStr">
        <is>
          <t>utorak</t>
        </is>
      </c>
      <c r="C14" s="7" t="inlineStr">
        <is>
          <t>listopad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46323</v>
      </c>
      <c r="B15" s="7" t="inlineStr">
        <is>
          <t>srijeda</t>
        </is>
      </c>
      <c r="C15" s="7" t="inlineStr">
        <is>
          <t>listopad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46325</v>
      </c>
      <c r="B16" s="7" t="inlineStr">
        <is>
          <t>petak</t>
        </is>
      </c>
      <c r="C16" s="7" t="inlineStr">
        <is>
          <t>listopad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46329</v>
      </c>
      <c r="B17" s="7" t="inlineStr">
        <is>
          <t>utorak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46332</v>
      </c>
      <c r="B18" s="7" t="inlineStr">
        <is>
          <t>petak</t>
        </is>
      </c>
      <c r="C18" s="7" t="inlineStr">
        <is>
          <t>studeni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46336</v>
      </c>
      <c r="B19" s="7" t="inlineStr">
        <is>
          <t>utorak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46337</v>
      </c>
      <c r="B20" s="7" t="inlineStr">
        <is>
          <t>srijeda</t>
        </is>
      </c>
      <c r="C20" s="7" t="inlineStr">
        <is>
          <t>studeni</t>
        </is>
      </c>
      <c r="D20" s="7" t="n"/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46339</v>
      </c>
      <c r="B21" s="7" t="inlineStr">
        <is>
          <t>petak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46343</v>
      </c>
      <c r="B22" s="7" t="inlineStr">
        <is>
          <t>utorak</t>
        </is>
      </c>
      <c r="C22" s="7" t="inlineStr">
        <is>
          <t>studeni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46346</v>
      </c>
      <c r="B23" s="7" t="inlineStr">
        <is>
          <t>petak</t>
        </is>
      </c>
      <c r="C23" s="7" t="inlineStr">
        <is>
          <t>studeni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46350</v>
      </c>
      <c r="B24" s="7" t="inlineStr">
        <is>
          <t>utorak</t>
        </is>
      </c>
      <c r="C24" s="7" t="inlineStr">
        <is>
          <t>studeni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46353</v>
      </c>
      <c r="B25" s="7" t="inlineStr">
        <is>
          <t>petak</t>
        </is>
      </c>
      <c r="C25" s="7" t="inlineStr">
        <is>
          <t>studeni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46357</v>
      </c>
      <c r="B26" s="7" t="inlineStr">
        <is>
          <t>utorak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46358</v>
      </c>
      <c r="B27" s="7" t="inlineStr">
        <is>
          <t>srijeda</t>
        </is>
      </c>
      <c r="C27" s="7" t="inlineStr">
        <is>
          <t>prosinac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46360</v>
      </c>
      <c r="B28" s="7" t="inlineStr">
        <is>
          <t>petak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46364</v>
      </c>
      <c r="B29" s="7" t="inlineStr">
        <is>
          <t>utorak</t>
        </is>
      </c>
      <c r="C29" s="7" t="inlineStr">
        <is>
          <t>prosinac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46367</v>
      </c>
      <c r="B30" s="7" t="inlineStr">
        <is>
          <t>petak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46371</v>
      </c>
      <c r="B31" s="7" t="inlineStr">
        <is>
          <t>utorak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46372</v>
      </c>
      <c r="B32" s="7" t="inlineStr">
        <is>
          <t>srijeda</t>
        </is>
      </c>
      <c r="C32" s="7" t="inlineStr">
        <is>
          <t>prosinac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46374</v>
      </c>
      <c r="B33" s="7" t="inlineStr">
        <is>
          <t>petak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46378</v>
      </c>
      <c r="B34" s="7" t="inlineStr">
        <is>
          <t>utorak</t>
        </is>
      </c>
      <c r="C34" s="7" t="inlineStr">
        <is>
          <t>prosinac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46381</v>
      </c>
      <c r="B35" s="7" t="inlineStr">
        <is>
          <t>petak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46385</v>
      </c>
      <c r="B36" s="7" t="inlineStr">
        <is>
          <t>utorak</t>
        </is>
      </c>
      <c r="C36" s="7" t="inlineStr">
        <is>
          <t>prosinac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46386</v>
      </c>
      <c r="B37" s="7" t="inlineStr">
        <is>
          <t>srijeda</t>
        </is>
      </c>
      <c r="C37" s="7" t="inlineStr">
        <is>
          <t>prosinac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</sheetData>
  <autoFilter ref="A4:G37"/>
  <conditionalFormatting sqref="D5:D37">
    <cfRule type="expression" priority="1" dxfId="0">
      <formula>D5="x"</formula>
    </cfRule>
  </conditionalFormatting>
  <conditionalFormatting sqref="E5:E37">
    <cfRule type="expression" priority="2" dxfId="1">
      <formula>E5="x"</formula>
    </cfRule>
  </conditionalFormatting>
  <conditionalFormatting sqref="F5:F37">
    <cfRule type="expression" priority="3" dxfId="2">
      <formula>F5="x"</formula>
    </cfRule>
  </conditionalFormatting>
  <conditionalFormatting sqref="A5:G3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46295</v>
      </c>
      <c r="B2" s="15" t="inlineStr">
        <is>
          <t>srijeda</t>
        </is>
      </c>
      <c r="C2" s="9" t="inlineStr">
        <is>
          <t>Plastika</t>
        </is>
      </c>
      <c r="D2" s="15" t="n"/>
    </row>
    <row r="3">
      <c r="A3" s="22" t="n">
        <v>46295</v>
      </c>
      <c r="B3" s="15" t="inlineStr">
        <is>
          <t>srijeda</t>
        </is>
      </c>
      <c r="C3" s="10" t="inlineStr">
        <is>
          <t>Papir i karton</t>
        </is>
      </c>
      <c r="D3" s="15" t="n"/>
    </row>
    <row r="4">
      <c r="A4" s="22" t="n">
        <v>46297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46301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46304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46308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46309</v>
      </c>
      <c r="B8" s="15" t="inlineStr">
        <is>
          <t>srijeda</t>
        </is>
      </c>
      <c r="C8" s="9" t="inlineStr">
        <is>
          <t>Plastika</t>
        </is>
      </c>
      <c r="D8" s="15" t="n"/>
    </row>
    <row r="9">
      <c r="A9" s="22" t="n">
        <v>46309</v>
      </c>
      <c r="B9" s="15" t="inlineStr">
        <is>
          <t>srijeda</t>
        </is>
      </c>
      <c r="C9" s="10" t="inlineStr">
        <is>
          <t>Papir i karton</t>
        </is>
      </c>
      <c r="D9" s="15" t="n"/>
    </row>
    <row r="10">
      <c r="A10" s="22" t="n">
        <v>46311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46315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46318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46322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46323</v>
      </c>
      <c r="B14" s="15" t="inlineStr">
        <is>
          <t>srijeda</t>
        </is>
      </c>
      <c r="C14" s="9" t="inlineStr">
        <is>
          <t>Plastika</t>
        </is>
      </c>
      <c r="D14" s="15" t="n"/>
    </row>
    <row r="15">
      <c r="A15" s="22" t="n">
        <v>46323</v>
      </c>
      <c r="B15" s="15" t="inlineStr">
        <is>
          <t>srijeda</t>
        </is>
      </c>
      <c r="C15" s="10" t="inlineStr">
        <is>
          <t>Papir i karton</t>
        </is>
      </c>
      <c r="D15" s="15" t="n"/>
    </row>
    <row r="16">
      <c r="A16" s="22" t="n">
        <v>46325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46329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46332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46336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46337</v>
      </c>
      <c r="B20" s="15" t="inlineStr">
        <is>
          <t>srijeda</t>
        </is>
      </c>
      <c r="C20" s="9" t="inlineStr">
        <is>
          <t>Plastika</t>
        </is>
      </c>
      <c r="D20" s="15" t="n"/>
    </row>
    <row r="21">
      <c r="A21" s="22" t="n">
        <v>46337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2" t="n">
        <v>46339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46343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46346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46350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46353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46357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46358</v>
      </c>
      <c r="B28" s="15" t="inlineStr">
        <is>
          <t>srijeda</t>
        </is>
      </c>
      <c r="C28" s="9" t="inlineStr">
        <is>
          <t>Plastika</t>
        </is>
      </c>
      <c r="D28" s="15" t="n"/>
    </row>
    <row r="29">
      <c r="A29" s="22" t="n">
        <v>46358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2" t="n">
        <v>46360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46364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46367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46371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46372</v>
      </c>
      <c r="B34" s="15" t="inlineStr">
        <is>
          <t>srijeda</t>
        </is>
      </c>
      <c r="C34" s="9" t="inlineStr">
        <is>
          <t>Plastika</t>
        </is>
      </c>
      <c r="D34" s="15" t="n"/>
    </row>
    <row r="35">
      <c r="A35" s="22" t="n">
        <v>46372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2" t="n">
        <v>46374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46378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46381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46385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46386</v>
      </c>
      <c r="B40" s="15" t="inlineStr">
        <is>
          <t>srijeda</t>
        </is>
      </c>
      <c r="C40" s="9" t="inlineStr">
        <is>
          <t>Plastika</t>
        </is>
      </c>
      <c r="D40" s="15" t="n"/>
    </row>
    <row r="41">
      <c r="A41" s="22" t="n">
        <v>46386</v>
      </c>
      <c r="B41" s="15" t="inlineStr">
        <is>
          <t>srijeda</t>
        </is>
      </c>
      <c r="C41" s="10" t="inlineStr">
        <is>
          <t>Papir i karton</t>
        </is>
      </c>
      <c r="D41" s="15" t="n"/>
    </row>
  </sheetData>
  <autoFilter ref="A1:D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(Bibinje): ulice i naselja</t>
        </is>
      </c>
    </row>
    <row r="4">
      <c r="A4" s="4" t="inlineStr">
        <is>
          <t>Ulica / naselje</t>
        </is>
      </c>
    </row>
    <row r="5">
      <c r="A5" s="15" t="inlineStr">
        <is>
          <t>Bibinje – ispod pruge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2026-10-08T05:48:46Z</dcterms:created>
  <dcterms:modified xmlns:dcterms="http://purl.org/dc/terms/" xmlns:xsi="http://www.w3.org/2001/XMLSchema-instance" xsi:type="dcterms:W3CDTF">2026-10-08T05:48:46Z</dcterms:modified>
</cp:coreProperties>
</file>
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'Raspored'!$A$4:$G$43</definedName>
    <definedName name="_xlnm._FilterDatabase" localSheetId="2" hidden="1">'Po vrsti'!$A$1:$D$48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2027: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2027.</t>
        </is>
      </c>
    </row>
    <row r="6">
      <c r="A6" s="5" t="inlineStr">
        <is>
          <t>Miješani komunalni otpad</t>
        </is>
      </c>
      <c r="B6" s="6">
        <f>IFERROR(1/(1/_xlfn.MINIFS(Raspored!$A$5:$A$43,Raspored!$D$5:$D$43,"x",Raspored!$A$5:$A$43,"&gt;="&amp;$B$3)),"nema više u 2027.")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COUNTIF(Raspored!$D$5:$D$43,"x")</f>
        <v/>
      </c>
    </row>
    <row r="7">
      <c r="A7" s="9" t="inlineStr">
        <is>
          <t>Plastika</t>
        </is>
      </c>
      <c r="B7" s="6">
        <f>IFERROR(1/(1/_xlfn.MINIFS(Raspored!$A$5:$A$43,Raspored!$E$5:$E$43,"x",Raspored!$A$5:$A$43,"&gt;="&amp;$B$3)),"nema više u 2027.")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COUNTIF(Raspored!$E$5:$E$43,"x")</f>
        <v/>
      </c>
    </row>
    <row r="8">
      <c r="A8" s="10" t="inlineStr">
        <is>
          <t>Papir i karton</t>
        </is>
      </c>
      <c r="B8" s="6">
        <f>IFERROR(1/(1/_xlfn.MINIFS(Raspored!$A$5:$A$43,Raspored!$F$5:$F$43,"x",Raspored!$A$5:$A$43,"&gt;="&amp;$B$3)),"nema više u 2027.")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COUNTIF(Raspored!$F$5:$F$43,"x")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COUNTIFS(Raspored!$C$5:$C$43,$A12,Raspored!$D$5:$D$43,"x")</f>
        <v/>
      </c>
      <c r="C12" s="7">
        <f>COUNTIFS(Raspored!$C$5:$C$43,$A12,Raspored!$E$5:$E$43,"x")</f>
        <v/>
      </c>
      <c r="D12" s="7">
        <f>COUNTIFS(Raspored!$C$5:$C$43,$A12,Raspored!$F$5:$F$43,"x")</f>
        <v/>
      </c>
    </row>
    <row r="13">
      <c r="A13" s="15" t="inlineStr">
        <is>
          <t>veljača</t>
        </is>
      </c>
      <c r="B13" s="7">
        <f>COUNTIFS(Raspored!$C$5:$C$43,$A13,Raspored!$D$5:$D$43,"x")</f>
        <v/>
      </c>
      <c r="C13" s="7">
        <f>COUNTIFS(Raspored!$C$5:$C$43,$A13,Raspored!$E$5:$E$43,"x")</f>
        <v/>
      </c>
      <c r="D13" s="7">
        <f>COUNTIFS(Raspored!$C$5:$C$43,$A13,Raspored!$F$5:$F$43,"x")</f>
        <v/>
      </c>
    </row>
    <row r="14">
      <c r="A14" s="15" t="inlineStr">
        <is>
          <t>ožujak</t>
        </is>
      </c>
      <c r="B14" s="7">
        <f>COUNTIFS(Raspored!$C$5:$C$43,$A14,Raspored!$D$5:$D$43,"x")</f>
        <v/>
      </c>
      <c r="C14" s="7">
        <f>COUNTIFS(Raspored!$C$5:$C$43,$A14,Raspored!$E$5:$E$43,"x")</f>
        <v/>
      </c>
      <c r="D14" s="7">
        <f>COUNTIFS(Raspored!$C$5:$C$43,$A14,Raspored!$F$5:$F$43,"x")</f>
        <v/>
      </c>
    </row>
    <row r="15">
      <c r="A15" s="15" t="inlineStr">
        <is>
          <t>travanj</t>
        </is>
      </c>
      <c r="B15" s="7">
        <f>COUNTIFS(Raspored!$C$5:$C$43,$A15,Raspored!$D$5:$D$43,"x")</f>
        <v/>
      </c>
      <c r="C15" s="7">
        <f>COUNTIFS(Raspored!$C$5:$C$43,$A15,Raspored!$E$5:$E$43,"x")</f>
        <v/>
      </c>
      <c r="D15" s="7">
        <f>COUNTIFS(Raspored!$C$5:$C$43,$A15,Raspored!$F$5:$F$43,"x")</f>
        <v/>
      </c>
    </row>
    <row r="16">
      <c r="A16" s="15" t="inlineStr">
        <is>
          <t>svibanj</t>
        </is>
      </c>
      <c r="B16" s="7">
        <f>COUNTIFS(Raspored!$C$5:$C$43,$A16,Raspored!$D$5:$D$43,"x")</f>
        <v/>
      </c>
      <c r="C16" s="7">
        <f>COUNTIFS(Raspored!$C$5:$C$43,$A16,Raspored!$E$5:$E$43,"x")</f>
        <v/>
      </c>
      <c r="D16" s="7">
        <f>COUNTIFS(Raspored!$C$5:$C$43,$A16,Raspored!$F$5:$F$43,"x")</f>
        <v/>
      </c>
    </row>
    <row r="17">
      <c r="A17" s="15" t="inlineStr">
        <is>
          <t>lipanj</t>
        </is>
      </c>
      <c r="B17" s="7">
        <f>COUNTIFS(Raspored!$C$5:$C$43,$A17,Raspored!$D$5:$D$43,"x")</f>
        <v/>
      </c>
      <c r="C17" s="7">
        <f>COUNTIFS(Raspored!$C$5:$C$43,$A17,Raspored!$E$5:$E$43,"x")</f>
        <v/>
      </c>
      <c r="D17" s="7">
        <f>COUNTIFS(Raspored!$C$5:$C$43,$A17,Raspored!$F$5:$F$43,"x")</f>
        <v/>
      </c>
    </row>
    <row r="18">
      <c r="A18" s="15" t="inlineStr">
        <is>
          <t>srpanj</t>
        </is>
      </c>
      <c r="B18" s="7">
        <f>COUNTIFS(Raspored!$C$5:$C$43,$A18,Raspored!$D$5:$D$43,"x")</f>
        <v/>
      </c>
      <c r="C18" s="7">
        <f>COUNTIFS(Raspored!$C$5:$C$43,$A18,Raspored!$E$5:$E$43,"x")</f>
        <v/>
      </c>
      <c r="D18" s="7">
        <f>COUNTIFS(Raspored!$C$5:$C$43,$A18,Raspored!$F$5:$F$43,"x")</f>
        <v/>
      </c>
    </row>
    <row r="19">
      <c r="A19" s="15" t="inlineStr">
        <is>
          <t>kolovoz</t>
        </is>
      </c>
      <c r="B19" s="7">
        <f>COUNTIFS(Raspored!$C$5:$C$43,$A19,Raspored!$D$5:$D$43,"x")</f>
        <v/>
      </c>
      <c r="C19" s="7">
        <f>COUNTIFS(Raspored!$C$5:$C$43,$A19,Raspored!$E$5:$E$43,"x")</f>
        <v/>
      </c>
      <c r="D19" s="7">
        <f>COUNTIFS(Raspored!$C$5:$C$43,$A19,Raspored!$F$5:$F$43,"x")</f>
        <v/>
      </c>
    </row>
    <row r="20">
      <c r="A20" s="15" t="inlineStr">
        <is>
          <t>rujan</t>
        </is>
      </c>
      <c r="B20" s="7">
        <f>COUNTIFS(Raspored!$C$5:$C$43,$A20,Raspored!$D$5:$D$43,"x")</f>
        <v/>
      </c>
      <c r="C20" s="7">
        <f>COUNTIFS(Raspored!$C$5:$C$43,$A20,Raspored!$E$5:$E$43,"x")</f>
        <v/>
      </c>
      <c r="D20" s="7">
        <f>COUNTIFS(Raspored!$C$5:$C$43,$A20,Raspored!$F$5:$F$43,"x")</f>
        <v/>
      </c>
    </row>
    <row r="21">
      <c r="A21" s="15" t="inlineStr">
        <is>
          <t>listopad</t>
        </is>
      </c>
      <c r="B21" s="7">
        <f>COUNTIFS(Raspored!$C$5:$C$43,$A21,Raspored!$D$5:$D$43,"x")</f>
        <v/>
      </c>
      <c r="C21" s="7">
        <f>COUNTIFS(Raspored!$C$5:$C$43,$A21,Raspored!$E$5:$E$43,"x")</f>
        <v/>
      </c>
      <c r="D21" s="7">
        <f>COUNTIFS(Raspored!$C$5:$C$43,$A21,Raspored!$F$5:$F$43,"x")</f>
        <v/>
      </c>
    </row>
    <row r="22">
      <c r="A22" s="15" t="inlineStr">
        <is>
          <t>studeni</t>
        </is>
      </c>
      <c r="B22" s="7">
        <f>COUNTIFS(Raspored!$C$5:$C$43,$A22,Raspored!$D$5:$D$43,"x")</f>
        <v/>
      </c>
      <c r="C22" s="7">
        <f>COUNTIFS(Raspored!$C$5:$C$43,$A22,Raspored!$E$5:$E$43,"x")</f>
        <v/>
      </c>
      <c r="D22" s="7">
        <f>COUNTIFS(Raspored!$C$5:$C$43,$A22,Raspored!$F$5:$F$43,"x")</f>
        <v/>
      </c>
    </row>
    <row r="23">
      <c r="A23" s="15" t="inlineStr">
        <is>
          <t>prosinac</t>
        </is>
      </c>
      <c r="B23" s="7">
        <f>COUNTIFS(Raspored!$C$5:$C$43,$A23,Raspored!$D$5:$D$43,"x")</f>
        <v/>
      </c>
      <c r="C23" s="7">
        <f>COUNTIFS(Raspored!$C$5:$C$43,$A23,Raspored!$E$5:$E$43,"x")</f>
        <v/>
      </c>
      <c r="D23" s="7">
        <f>COUNTIFS(Raspored!$C$5:$C$43,$A23,Raspored!$F$5:$F$43,"x")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Na webu je objavljen samo raspored od 30.09.2026. do 21.04.2027. (widget na naslovnici); raniji raspored za listopad 2025. - rujan 2026. više nije objavljen.</t>
        </is>
      </c>
    </row>
    <row r="28">
      <c r="A28" s="19" t="inlineStr">
        <is>
          <t>• Bibinjac ne objavljuje popis ulica iznad i ispod pruge.</t>
        </is>
      </c>
    </row>
    <row r="29">
      <c r="A29" s="19" t="inlineStr">
        <is>
          <t>• Papir i plastika odvoze se istoga dana (svaka druga srijeda prema datumima).</t>
        </is>
      </c>
    </row>
    <row r="30">
      <c r="A30" s="19" t="inlineStr">
        <is>
          <t>• Spremnike iznijeti večer prije odvoza ili najkasnije rano ujutro na dan odvoza.</t>
        </is>
      </c>
    </row>
    <row r="31">
      <c r="A31" s="19" t="inlineStr">
        <is>
          <t>• Općina navodi da se miješani otpad ljeti odvozi tri puta tjedno, ali ljetni raspored nije objavljen.</t>
        </is>
      </c>
    </row>
    <row r="32">
      <c r="A32" s="19" t="inlineStr">
        <is>
          <t>• Glomazni otpad: prema obavijesti od 07.10.2026. odvozi se utorkom i četvrtkom (na blagdan idući utvrđeni dan).</t>
        </is>
      </c>
    </row>
    <row r="33">
      <c r="A33" s="19" t="inlineStr">
        <is>
          <t>• Kontakt: 023/261-201, tdbibinjac@gmail.com.</t>
        </is>
      </c>
    </row>
    <row r="34">
      <c r="A34" s="19" t="inlineStr">
        <is>
          <t>• Pomaci odvoza miješanog otpada zbog blagdana nisu objavljeni; upisani su dani po rasporedu i za blagdane: 29.03.2027. (iznad pruge), 25.12.2026. (ispod pruge), 01.01.2027. (ispod pruge).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2027., Zona 1 (Bibinje)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46391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46394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46398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46400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inlineStr">
        <is>
          <t>x</t>
        </is>
      </c>
      <c r="G8" s="21" t="n"/>
    </row>
    <row r="9">
      <c r="A9" s="6" t="n">
        <v>46401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46405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46408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46412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46414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21" t="n"/>
    </row>
    <row r="14">
      <c r="A14" s="6" t="n">
        <v>46415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46419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46422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46426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46428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46429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46433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46436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46440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46442</v>
      </c>
      <c r="B23" s="7" t="inlineStr">
        <is>
          <t>srijeda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inlineStr">
        <is>
          <t>x</t>
        </is>
      </c>
      <c r="G23" s="21" t="n"/>
    </row>
    <row r="24">
      <c r="A24" s="6" t="n">
        <v>46443</v>
      </c>
      <c r="B24" s="7" t="inlineStr">
        <is>
          <t>četvrtak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46447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46450</v>
      </c>
      <c r="B26" s="7" t="inlineStr">
        <is>
          <t>četvrtak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46454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46456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inlineStr">
        <is>
          <t>x</t>
        </is>
      </c>
      <c r="G28" s="21" t="n"/>
    </row>
    <row r="29">
      <c r="A29" s="6" t="n">
        <v>46457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46461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46464</v>
      </c>
      <c r="B31" s="7" t="inlineStr">
        <is>
          <t>četvrtak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46468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46470</v>
      </c>
      <c r="B33" s="7" t="inlineStr">
        <is>
          <t>srijeda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inlineStr">
        <is>
          <t>x</t>
        </is>
      </c>
      <c r="G33" s="21" t="n"/>
    </row>
    <row r="34">
      <c r="A34" s="6" t="n">
        <v>46471</v>
      </c>
      <c r="B34" s="7" t="inlineStr">
        <is>
          <t>četvrtak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46475</v>
      </c>
      <c r="B35" s="7" t="inlineStr">
        <is>
          <t>ponedjeljak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46478</v>
      </c>
      <c r="B36" s="7" t="inlineStr">
        <is>
          <t>četvrtak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46482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46484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inlineStr">
        <is>
          <t>x</t>
        </is>
      </c>
      <c r="G38" s="21" t="n"/>
    </row>
    <row r="39">
      <c r="A39" s="6" t="n">
        <v>46485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46489</v>
      </c>
      <c r="B40" s="7" t="inlineStr">
        <is>
          <t>ponedjeljak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46492</v>
      </c>
      <c r="B41" s="7" t="inlineStr">
        <is>
          <t>četvrtak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46496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46498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</sheetData>
  <autoFilter ref="A4:G43"/>
  <conditionalFormatting sqref="D5:D43">
    <cfRule type="expression" priority="1" dxfId="0">
      <formula>D5="x"</formula>
    </cfRule>
  </conditionalFormatting>
  <conditionalFormatting sqref="E5:E43">
    <cfRule type="expression" priority="2" dxfId="1">
      <formula>E5="x"</formula>
    </cfRule>
  </conditionalFormatting>
  <conditionalFormatting sqref="F5:F43">
    <cfRule type="expression" priority="3" dxfId="2">
      <formula>F5="x"</formula>
    </cfRule>
  </conditionalFormatting>
  <conditionalFormatting sqref="A5:G43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46391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46394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2" t="n">
        <v>46398</v>
      </c>
      <c r="B4" s="15" t="inlineStr">
        <is>
          <t>ponedjeljak</t>
        </is>
      </c>
      <c r="C4" s="5" t="inlineStr">
        <is>
          <t>Miješani komunalni otpad</t>
        </is>
      </c>
      <c r="D4" s="15" t="n"/>
    </row>
    <row r="5">
      <c r="A5" s="22" t="n">
        <v>46400</v>
      </c>
      <c r="B5" s="15" t="inlineStr">
        <is>
          <t>srijeda</t>
        </is>
      </c>
      <c r="C5" s="9" t="inlineStr">
        <is>
          <t>Plastika</t>
        </is>
      </c>
      <c r="D5" s="15" t="n"/>
    </row>
    <row r="6">
      <c r="A6" s="22" t="n">
        <v>46400</v>
      </c>
      <c r="B6" s="15" t="inlineStr">
        <is>
          <t>srijeda</t>
        </is>
      </c>
      <c r="C6" s="10" t="inlineStr">
        <is>
          <t>Papir i karton</t>
        </is>
      </c>
      <c r="D6" s="15" t="n"/>
    </row>
    <row r="7">
      <c r="A7" s="22" t="n">
        <v>46401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46405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46408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46412</v>
      </c>
      <c r="B10" s="15" t="inlineStr">
        <is>
          <t>ponedjeljak</t>
        </is>
      </c>
      <c r="C10" s="5" t="inlineStr">
        <is>
          <t>Miješani komunalni otpad</t>
        </is>
      </c>
      <c r="D10" s="15" t="n"/>
    </row>
    <row r="11">
      <c r="A11" s="22" t="n">
        <v>46414</v>
      </c>
      <c r="B11" s="15" t="inlineStr">
        <is>
          <t>srijeda</t>
        </is>
      </c>
      <c r="C11" s="9" t="inlineStr">
        <is>
          <t>Plastika</t>
        </is>
      </c>
      <c r="D11" s="15" t="n"/>
    </row>
    <row r="12">
      <c r="A12" s="22" t="n">
        <v>46414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2" t="n">
        <v>46415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46419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46422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2" t="n">
        <v>46426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46428</v>
      </c>
      <c r="B17" s="15" t="inlineStr">
        <is>
          <t>srijeda</t>
        </is>
      </c>
      <c r="C17" s="9" t="inlineStr">
        <is>
          <t>Plastika</t>
        </is>
      </c>
      <c r="D17" s="15" t="n"/>
    </row>
    <row r="18">
      <c r="A18" s="22" t="n">
        <v>46428</v>
      </c>
      <c r="B18" s="15" t="inlineStr">
        <is>
          <t>srijeda</t>
        </is>
      </c>
      <c r="C18" s="10" t="inlineStr">
        <is>
          <t>Papir i karton</t>
        </is>
      </c>
      <c r="D18" s="15" t="n"/>
    </row>
    <row r="19">
      <c r="A19" s="22" t="n">
        <v>46429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2" t="n">
        <v>46433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46436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2" t="n">
        <v>46440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46442</v>
      </c>
      <c r="B23" s="15" t="inlineStr">
        <is>
          <t>srijeda</t>
        </is>
      </c>
      <c r="C23" s="9" t="inlineStr">
        <is>
          <t>Plastika</t>
        </is>
      </c>
      <c r="D23" s="15" t="n"/>
    </row>
    <row r="24">
      <c r="A24" s="22" t="n">
        <v>46442</v>
      </c>
      <c r="B24" s="15" t="inlineStr">
        <is>
          <t>srijeda</t>
        </is>
      </c>
      <c r="C24" s="10" t="inlineStr">
        <is>
          <t>Papir i karton</t>
        </is>
      </c>
      <c r="D24" s="15" t="n"/>
    </row>
    <row r="25">
      <c r="A25" s="22" t="n">
        <v>46443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2" t="n">
        <v>46447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46450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2" t="n">
        <v>46454</v>
      </c>
      <c r="B28" s="15" t="inlineStr">
        <is>
          <t>ponedjeljak</t>
        </is>
      </c>
      <c r="C28" s="5" t="inlineStr">
        <is>
          <t>Miješani komunalni otpad</t>
        </is>
      </c>
      <c r="D28" s="15" t="n"/>
    </row>
    <row r="29">
      <c r="A29" s="22" t="n">
        <v>46456</v>
      </c>
      <c r="B29" s="15" t="inlineStr">
        <is>
          <t>srijeda</t>
        </is>
      </c>
      <c r="C29" s="9" t="inlineStr">
        <is>
          <t>Plastika</t>
        </is>
      </c>
      <c r="D29" s="15" t="n"/>
    </row>
    <row r="30">
      <c r="A30" s="22" t="n">
        <v>46456</v>
      </c>
      <c r="B30" s="15" t="inlineStr">
        <is>
          <t>srijeda</t>
        </is>
      </c>
      <c r="C30" s="10" t="inlineStr">
        <is>
          <t>Papir i karton</t>
        </is>
      </c>
      <c r="D30" s="15" t="n"/>
    </row>
    <row r="31">
      <c r="A31" s="22" t="n">
        <v>46457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2" t="n">
        <v>46461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46464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2" t="n">
        <v>46468</v>
      </c>
      <c r="B34" s="15" t="inlineStr">
        <is>
          <t>ponedjeljak</t>
        </is>
      </c>
      <c r="C34" s="5" t="inlineStr">
        <is>
          <t>Miješani komunalni otpad</t>
        </is>
      </c>
      <c r="D34" s="15" t="n"/>
    </row>
    <row r="35">
      <c r="A35" s="22" t="n">
        <v>46470</v>
      </c>
      <c r="B35" s="15" t="inlineStr">
        <is>
          <t>srijeda</t>
        </is>
      </c>
      <c r="C35" s="9" t="inlineStr">
        <is>
          <t>Plastika</t>
        </is>
      </c>
      <c r="D35" s="15" t="n"/>
    </row>
    <row r="36">
      <c r="A36" s="22" t="n">
        <v>46470</v>
      </c>
      <c r="B36" s="15" t="inlineStr">
        <is>
          <t>srijeda</t>
        </is>
      </c>
      <c r="C36" s="10" t="inlineStr">
        <is>
          <t>Papir i karton</t>
        </is>
      </c>
      <c r="D36" s="15" t="n"/>
    </row>
    <row r="37">
      <c r="A37" s="22" t="n">
        <v>46471</v>
      </c>
      <c r="B37" s="15" t="inlineStr">
        <is>
          <t>četvrtak</t>
        </is>
      </c>
      <c r="C37" s="5" t="inlineStr">
        <is>
          <t>Miješani komunalni otpad</t>
        </is>
      </c>
      <c r="D37" s="15" t="n"/>
    </row>
    <row r="38">
      <c r="A38" s="22" t="n">
        <v>46475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46478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2" t="n">
        <v>46482</v>
      </c>
      <c r="B40" s="15" t="inlineStr">
        <is>
          <t>ponedjeljak</t>
        </is>
      </c>
      <c r="C40" s="5" t="inlineStr">
        <is>
          <t>Miješani komunalni otpad</t>
        </is>
      </c>
      <c r="D40" s="15" t="n"/>
    </row>
    <row r="41">
      <c r="A41" s="22" t="n">
        <v>46484</v>
      </c>
      <c r="B41" s="15" t="inlineStr">
        <is>
          <t>srijeda</t>
        </is>
      </c>
      <c r="C41" s="9" t="inlineStr">
        <is>
          <t>Plastika</t>
        </is>
      </c>
      <c r="D41" s="15" t="n"/>
    </row>
    <row r="42">
      <c r="A42" s="22" t="n">
        <v>46484</v>
      </c>
      <c r="B42" s="15" t="inlineStr">
        <is>
          <t>srijeda</t>
        </is>
      </c>
      <c r="C42" s="10" t="inlineStr">
        <is>
          <t>Papir i karton</t>
        </is>
      </c>
      <c r="D42" s="15" t="n"/>
    </row>
    <row r="43">
      <c r="A43" s="22" t="n">
        <v>46485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2" t="n">
        <v>46489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46492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2" t="n">
        <v>46496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46498</v>
      </c>
      <c r="B47" s="15" t="inlineStr">
        <is>
          <t>srijeda</t>
        </is>
      </c>
      <c r="C47" s="9" t="inlineStr">
        <is>
          <t>Plastika</t>
        </is>
      </c>
      <c r="D47" s="15" t="n"/>
    </row>
    <row r="48">
      <c r="A48" s="22" t="n">
        <v>46498</v>
      </c>
      <c r="B48" s="15" t="inlineStr">
        <is>
          <t>srijeda</t>
        </is>
      </c>
      <c r="C48" s="10" t="inlineStr">
        <is>
          <t>Papir i karton</t>
        </is>
      </c>
      <c r="D48" s="15" t="n"/>
    </row>
  </sheetData>
  <autoFilter ref="A1:D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(Bibinje): ulice i naselja</t>
        </is>
      </c>
    </row>
    <row r="4">
      <c r="A4" s="4" t="inlineStr">
        <is>
          <t>Ulica / naselje</t>
        </is>
      </c>
    </row>
    <row r="5">
      <c r="A5" s="15" t="inlineStr">
        <is>
          <t>Bibinje – iznad pruge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2026-10-08T05:48:46Z</dcterms:created>
  <dcterms:modified xmlns:dcterms="http://purl.org/dc/terms/" xmlns:xsi="http://www.w3.org/2001/XMLSchema-instance" xsi:type="dcterms:W3CDTF">2026-10-08T05:48:46Z</dcterms:modified>
</cp:coreProperties>
</file>
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'Raspored'!$A$4:$G$43</definedName>
    <definedName name="_xlnm._FilterDatabase" localSheetId="2" hidden="1">'Po vrsti'!$A$1:$D$47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2027: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2027.</t>
        </is>
      </c>
    </row>
    <row r="6">
      <c r="A6" s="5" t="inlineStr">
        <is>
          <t>Miješani komunalni otpad</t>
        </is>
      </c>
      <c r="B6" s="6">
        <f>IFERROR(1/(1/_xlfn.MINIFS(Raspored!$A$5:$A$43,Raspored!$D$5:$D$43,"x",Raspored!$A$5:$A$43,"&gt;="&amp;$B$3)),"nema više u 2027.")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COUNTIF(Raspored!$D$5:$D$43,"x")</f>
        <v/>
      </c>
    </row>
    <row r="7">
      <c r="A7" s="9" t="inlineStr">
        <is>
          <t>Plastika</t>
        </is>
      </c>
      <c r="B7" s="6">
        <f>IFERROR(1/(1/_xlfn.MINIFS(Raspored!$A$5:$A$43,Raspored!$E$5:$E$43,"x",Raspored!$A$5:$A$43,"&gt;="&amp;$B$3)),"nema više u 2027.")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COUNTIF(Raspored!$E$5:$E$43,"x")</f>
        <v/>
      </c>
    </row>
    <row r="8">
      <c r="A8" s="10" t="inlineStr">
        <is>
          <t>Papir i karton</t>
        </is>
      </c>
      <c r="B8" s="6">
        <f>IFERROR(1/(1/_xlfn.MINIFS(Raspored!$A$5:$A$43,Raspored!$F$5:$F$43,"x",Raspored!$A$5:$A$43,"&gt;="&amp;$B$3)),"nema više u 2027.")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COUNTIF(Raspored!$F$5:$F$43,"x")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COUNTIFS(Raspored!$C$5:$C$43,$A12,Raspored!$D$5:$D$43,"x")</f>
        <v/>
      </c>
      <c r="C12" s="7">
        <f>COUNTIFS(Raspored!$C$5:$C$43,$A12,Raspored!$E$5:$E$43,"x")</f>
        <v/>
      </c>
      <c r="D12" s="7">
        <f>COUNTIFS(Raspored!$C$5:$C$43,$A12,Raspored!$F$5:$F$43,"x")</f>
        <v/>
      </c>
    </row>
    <row r="13">
      <c r="A13" s="15" t="inlineStr">
        <is>
          <t>veljača</t>
        </is>
      </c>
      <c r="B13" s="7">
        <f>COUNTIFS(Raspored!$C$5:$C$43,$A13,Raspored!$D$5:$D$43,"x")</f>
        <v/>
      </c>
      <c r="C13" s="7">
        <f>COUNTIFS(Raspored!$C$5:$C$43,$A13,Raspored!$E$5:$E$43,"x")</f>
        <v/>
      </c>
      <c r="D13" s="7">
        <f>COUNTIFS(Raspored!$C$5:$C$43,$A13,Raspored!$F$5:$F$43,"x")</f>
        <v/>
      </c>
    </row>
    <row r="14">
      <c r="A14" s="15" t="inlineStr">
        <is>
          <t>ožujak</t>
        </is>
      </c>
      <c r="B14" s="7">
        <f>COUNTIFS(Raspored!$C$5:$C$43,$A14,Raspored!$D$5:$D$43,"x")</f>
        <v/>
      </c>
      <c r="C14" s="7">
        <f>COUNTIFS(Raspored!$C$5:$C$43,$A14,Raspored!$E$5:$E$43,"x")</f>
        <v/>
      </c>
      <c r="D14" s="7">
        <f>COUNTIFS(Raspored!$C$5:$C$43,$A14,Raspored!$F$5:$F$43,"x")</f>
        <v/>
      </c>
    </row>
    <row r="15">
      <c r="A15" s="15" t="inlineStr">
        <is>
          <t>travanj</t>
        </is>
      </c>
      <c r="B15" s="7">
        <f>COUNTIFS(Raspored!$C$5:$C$43,$A15,Raspored!$D$5:$D$43,"x")</f>
        <v/>
      </c>
      <c r="C15" s="7">
        <f>COUNTIFS(Raspored!$C$5:$C$43,$A15,Raspored!$E$5:$E$43,"x")</f>
        <v/>
      </c>
      <c r="D15" s="7">
        <f>COUNTIFS(Raspored!$C$5:$C$43,$A15,Raspored!$F$5:$F$43,"x")</f>
        <v/>
      </c>
    </row>
    <row r="16">
      <c r="A16" s="15" t="inlineStr">
        <is>
          <t>svibanj</t>
        </is>
      </c>
      <c r="B16" s="7">
        <f>COUNTIFS(Raspored!$C$5:$C$43,$A16,Raspored!$D$5:$D$43,"x")</f>
        <v/>
      </c>
      <c r="C16" s="7">
        <f>COUNTIFS(Raspored!$C$5:$C$43,$A16,Raspored!$E$5:$E$43,"x")</f>
        <v/>
      </c>
      <c r="D16" s="7">
        <f>COUNTIFS(Raspored!$C$5:$C$43,$A16,Raspored!$F$5:$F$43,"x")</f>
        <v/>
      </c>
    </row>
    <row r="17">
      <c r="A17" s="15" t="inlineStr">
        <is>
          <t>lipanj</t>
        </is>
      </c>
      <c r="B17" s="7">
        <f>COUNTIFS(Raspored!$C$5:$C$43,$A17,Raspored!$D$5:$D$43,"x")</f>
        <v/>
      </c>
      <c r="C17" s="7">
        <f>COUNTIFS(Raspored!$C$5:$C$43,$A17,Raspored!$E$5:$E$43,"x")</f>
        <v/>
      </c>
      <c r="D17" s="7">
        <f>COUNTIFS(Raspored!$C$5:$C$43,$A17,Raspored!$F$5:$F$43,"x")</f>
        <v/>
      </c>
    </row>
    <row r="18">
      <c r="A18" s="15" t="inlineStr">
        <is>
          <t>srpanj</t>
        </is>
      </c>
      <c r="B18" s="7">
        <f>COUNTIFS(Raspored!$C$5:$C$43,$A18,Raspored!$D$5:$D$43,"x")</f>
        <v/>
      </c>
      <c r="C18" s="7">
        <f>COUNTIFS(Raspored!$C$5:$C$43,$A18,Raspored!$E$5:$E$43,"x")</f>
        <v/>
      </c>
      <c r="D18" s="7">
        <f>COUNTIFS(Raspored!$C$5:$C$43,$A18,Raspored!$F$5:$F$43,"x")</f>
        <v/>
      </c>
    </row>
    <row r="19">
      <c r="A19" s="15" t="inlineStr">
        <is>
          <t>kolovoz</t>
        </is>
      </c>
      <c r="B19" s="7">
        <f>COUNTIFS(Raspored!$C$5:$C$43,$A19,Raspored!$D$5:$D$43,"x")</f>
        <v/>
      </c>
      <c r="C19" s="7">
        <f>COUNTIFS(Raspored!$C$5:$C$43,$A19,Raspored!$E$5:$E$43,"x")</f>
        <v/>
      </c>
      <c r="D19" s="7">
        <f>COUNTIFS(Raspored!$C$5:$C$43,$A19,Raspored!$F$5:$F$43,"x")</f>
        <v/>
      </c>
    </row>
    <row r="20">
      <c r="A20" s="15" t="inlineStr">
        <is>
          <t>rujan</t>
        </is>
      </c>
      <c r="B20" s="7">
        <f>COUNTIFS(Raspored!$C$5:$C$43,$A20,Raspored!$D$5:$D$43,"x")</f>
        <v/>
      </c>
      <c r="C20" s="7">
        <f>COUNTIFS(Raspored!$C$5:$C$43,$A20,Raspored!$E$5:$E$43,"x")</f>
        <v/>
      </c>
      <c r="D20" s="7">
        <f>COUNTIFS(Raspored!$C$5:$C$43,$A20,Raspored!$F$5:$F$43,"x")</f>
        <v/>
      </c>
    </row>
    <row r="21">
      <c r="A21" s="15" t="inlineStr">
        <is>
          <t>listopad</t>
        </is>
      </c>
      <c r="B21" s="7">
        <f>COUNTIFS(Raspored!$C$5:$C$43,$A21,Raspored!$D$5:$D$43,"x")</f>
        <v/>
      </c>
      <c r="C21" s="7">
        <f>COUNTIFS(Raspored!$C$5:$C$43,$A21,Raspored!$E$5:$E$43,"x")</f>
        <v/>
      </c>
      <c r="D21" s="7">
        <f>COUNTIFS(Raspored!$C$5:$C$43,$A21,Raspored!$F$5:$F$43,"x")</f>
        <v/>
      </c>
    </row>
    <row r="22">
      <c r="A22" s="15" t="inlineStr">
        <is>
          <t>studeni</t>
        </is>
      </c>
      <c r="B22" s="7">
        <f>COUNTIFS(Raspored!$C$5:$C$43,$A22,Raspored!$D$5:$D$43,"x")</f>
        <v/>
      </c>
      <c r="C22" s="7">
        <f>COUNTIFS(Raspored!$C$5:$C$43,$A22,Raspored!$E$5:$E$43,"x")</f>
        <v/>
      </c>
      <c r="D22" s="7">
        <f>COUNTIFS(Raspored!$C$5:$C$43,$A22,Raspored!$F$5:$F$43,"x")</f>
        <v/>
      </c>
    </row>
    <row r="23">
      <c r="A23" s="15" t="inlineStr">
        <is>
          <t>prosinac</t>
        </is>
      </c>
      <c r="B23" s="7">
        <f>COUNTIFS(Raspored!$C$5:$C$43,$A23,Raspored!$D$5:$D$43,"x")</f>
        <v/>
      </c>
      <c r="C23" s="7">
        <f>COUNTIFS(Raspored!$C$5:$C$43,$A23,Raspored!$E$5:$E$43,"x")</f>
        <v/>
      </c>
      <c r="D23" s="7">
        <f>COUNTIFS(Raspored!$C$5:$C$43,$A23,Raspored!$F$5:$F$43,"x")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Na webu je objavljen samo raspored od 30.09.2026. do 21.04.2027. (widget na naslovnici); raniji raspored za listopad 2025. - rujan 2026. više nije objavljen.</t>
        </is>
      </c>
    </row>
    <row r="28">
      <c r="A28" s="19" t="inlineStr">
        <is>
          <t>• Bibinjac ne objavljuje popis ulica iznad i ispod pruge.</t>
        </is>
      </c>
    </row>
    <row r="29">
      <c r="A29" s="19" t="inlineStr">
        <is>
          <t>• Papir i plastika odvoze se istoga dana (svaka druga srijeda prema datumima).</t>
        </is>
      </c>
    </row>
    <row r="30">
      <c r="A30" s="19" t="inlineStr">
        <is>
          <t>• Spremnike iznijeti večer prije odvoza ili najkasnije rano ujutro na dan odvoza.</t>
        </is>
      </c>
    </row>
    <row r="31">
      <c r="A31" s="19" t="inlineStr">
        <is>
          <t>• Općina navodi da se miješani otpad ljeti odvozi tri puta tjedno, ali ljetni raspored nije objavljen.</t>
        </is>
      </c>
    </row>
    <row r="32">
      <c r="A32" s="19" t="inlineStr">
        <is>
          <t>• Glomazni otpad: prema obavijesti od 07.10.2026. odvozi se utorkom i četvrtkom (na blagdan idući utvrđeni dan).</t>
        </is>
      </c>
    </row>
    <row r="33">
      <c r="A33" s="19" t="inlineStr">
        <is>
          <t>• Kontakt: 023/261-201, tdbibinjac@gmail.com.</t>
        </is>
      </c>
    </row>
    <row r="34">
      <c r="A34" s="19" t="inlineStr">
        <is>
          <t>• Pomaci odvoza miješanog otpada zbog blagdana nisu objavljeni; upisani su dani po rasporedu i za blagdane: 29.03.2027. (iznad pruge), 25.12.2026. (ispod pruge), 01.01.2027. (ispod pruge).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2027., Zona 2 (Bibinje)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46388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46392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46395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46399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46402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46406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46407</v>
      </c>
      <c r="B11" s="7" t="inlineStr">
        <is>
          <t>srijeda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inlineStr">
        <is>
          <t>x</t>
        </is>
      </c>
      <c r="G11" s="21" t="n"/>
    </row>
    <row r="12">
      <c r="A12" s="6" t="n">
        <v>46409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46413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46416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46420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46421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46423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46427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46430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46434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46435</v>
      </c>
      <c r="B21" s="7" t="inlineStr">
        <is>
          <t>srijeda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inlineStr">
        <is>
          <t>x</t>
        </is>
      </c>
      <c r="G21" s="21" t="n"/>
    </row>
    <row r="22">
      <c r="A22" s="6" t="n">
        <v>46437</v>
      </c>
      <c r="B22" s="7" t="inlineStr">
        <is>
          <t>petak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46441</v>
      </c>
      <c r="B23" s="7" t="inlineStr">
        <is>
          <t>utorak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46444</v>
      </c>
      <c r="B24" s="7" t="inlineStr">
        <is>
          <t>petak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46448</v>
      </c>
      <c r="B25" s="7" t="inlineStr">
        <is>
          <t>utorak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46449</v>
      </c>
      <c r="B26" s="7" t="inlineStr">
        <is>
          <t>srijeda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inlineStr">
        <is>
          <t>x</t>
        </is>
      </c>
      <c r="G26" s="21" t="n"/>
    </row>
    <row r="27">
      <c r="A27" s="6" t="n">
        <v>46451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46455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46458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46462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46463</v>
      </c>
      <c r="B31" s="7" t="inlineStr">
        <is>
          <t>srijeda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inlineStr">
        <is>
          <t>x</t>
        </is>
      </c>
      <c r="G31" s="21" t="n"/>
    </row>
    <row r="32">
      <c r="A32" s="6" t="n">
        <v>46465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46469</v>
      </c>
      <c r="B33" s="7" t="inlineStr">
        <is>
          <t>utorak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46472</v>
      </c>
      <c r="B34" s="7" t="inlineStr">
        <is>
          <t>petak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46476</v>
      </c>
      <c r="B35" s="7" t="inlineStr">
        <is>
          <t>utorak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46477</v>
      </c>
      <c r="B36" s="7" t="inlineStr">
        <is>
          <t>srijeda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inlineStr">
        <is>
          <t>x</t>
        </is>
      </c>
      <c r="G36" s="21" t="n"/>
    </row>
    <row r="37">
      <c r="A37" s="6" t="n">
        <v>46479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46483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46486</v>
      </c>
      <c r="B39" s="7" t="inlineStr">
        <is>
          <t>petak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46490</v>
      </c>
      <c r="B40" s="7" t="inlineStr">
        <is>
          <t>utorak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46491</v>
      </c>
      <c r="B41" s="7" t="inlineStr">
        <is>
          <t>srijeda</t>
        </is>
      </c>
      <c r="C41" s="7" t="inlineStr">
        <is>
          <t>travanj</t>
        </is>
      </c>
      <c r="D41" s="7" t="n"/>
      <c r="E41" s="7" t="inlineStr">
        <is>
          <t>x</t>
        </is>
      </c>
      <c r="F41" s="7" t="inlineStr">
        <is>
          <t>x</t>
        </is>
      </c>
      <c r="G41" s="21" t="n"/>
    </row>
    <row r="42">
      <c r="A42" s="6" t="n">
        <v>46493</v>
      </c>
      <c r="B42" s="7" t="inlineStr">
        <is>
          <t>petak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46497</v>
      </c>
      <c r="B43" s="7" t="inlineStr">
        <is>
          <t>utorak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21" t="n"/>
    </row>
  </sheetData>
  <autoFilter ref="A4:G43"/>
  <conditionalFormatting sqref="D5:D43">
    <cfRule type="expression" priority="1" dxfId="0">
      <formula>D5="x"</formula>
    </cfRule>
  </conditionalFormatting>
  <conditionalFormatting sqref="E5:E43">
    <cfRule type="expression" priority="2" dxfId="1">
      <formula>E5="x"</formula>
    </cfRule>
  </conditionalFormatting>
  <conditionalFormatting sqref="F5:F43">
    <cfRule type="expression" priority="3" dxfId="2">
      <formula>F5="x"</formula>
    </cfRule>
  </conditionalFormatting>
  <conditionalFormatting sqref="A5:G43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46388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2" t="n">
        <v>46392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2" t="n">
        <v>46395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2" t="n">
        <v>46399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2" t="n">
        <v>46402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2" t="n">
        <v>46406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2" t="n">
        <v>46407</v>
      </c>
      <c r="B8" s="15" t="inlineStr">
        <is>
          <t>srijeda</t>
        </is>
      </c>
      <c r="C8" s="9" t="inlineStr">
        <is>
          <t>Plastika</t>
        </is>
      </c>
      <c r="D8" s="15" t="n"/>
    </row>
    <row r="9">
      <c r="A9" s="22" t="n">
        <v>46407</v>
      </c>
      <c r="B9" s="15" t="inlineStr">
        <is>
          <t>srijeda</t>
        </is>
      </c>
      <c r="C9" s="10" t="inlineStr">
        <is>
          <t>Papir i karton</t>
        </is>
      </c>
      <c r="D9" s="15" t="n"/>
    </row>
    <row r="10">
      <c r="A10" s="22" t="n">
        <v>46409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2" t="n">
        <v>46413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2" t="n">
        <v>46416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2" t="n">
        <v>46420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2" t="n">
        <v>46421</v>
      </c>
      <c r="B14" s="15" t="inlineStr">
        <is>
          <t>srijeda</t>
        </is>
      </c>
      <c r="C14" s="9" t="inlineStr">
        <is>
          <t>Plastika</t>
        </is>
      </c>
      <c r="D14" s="15" t="n"/>
    </row>
    <row r="15">
      <c r="A15" s="22" t="n">
        <v>46421</v>
      </c>
      <c r="B15" s="15" t="inlineStr">
        <is>
          <t>srijeda</t>
        </is>
      </c>
      <c r="C15" s="10" t="inlineStr">
        <is>
          <t>Papir i karton</t>
        </is>
      </c>
      <c r="D15" s="15" t="n"/>
    </row>
    <row r="16">
      <c r="A16" s="22" t="n">
        <v>46423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2" t="n">
        <v>46427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2" t="n">
        <v>46430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2" t="n">
        <v>46434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2" t="n">
        <v>46435</v>
      </c>
      <c r="B20" s="15" t="inlineStr">
        <is>
          <t>srijeda</t>
        </is>
      </c>
      <c r="C20" s="9" t="inlineStr">
        <is>
          <t>Plastika</t>
        </is>
      </c>
      <c r="D20" s="15" t="n"/>
    </row>
    <row r="21">
      <c r="A21" s="22" t="n">
        <v>46435</v>
      </c>
      <c r="B21" s="15" t="inlineStr">
        <is>
          <t>srijeda</t>
        </is>
      </c>
      <c r="C21" s="10" t="inlineStr">
        <is>
          <t>Papir i karton</t>
        </is>
      </c>
      <c r="D21" s="15" t="n"/>
    </row>
    <row r="22">
      <c r="A22" s="22" t="n">
        <v>46437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2" t="n">
        <v>46441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46444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2" t="n">
        <v>46448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2" t="n">
        <v>46449</v>
      </c>
      <c r="B26" s="15" t="inlineStr">
        <is>
          <t>srijeda</t>
        </is>
      </c>
      <c r="C26" s="9" t="inlineStr">
        <is>
          <t>Plastika</t>
        </is>
      </c>
      <c r="D26" s="15" t="n"/>
    </row>
    <row r="27">
      <c r="A27" s="22" t="n">
        <v>46449</v>
      </c>
      <c r="B27" s="15" t="inlineStr">
        <is>
          <t>srijeda</t>
        </is>
      </c>
      <c r="C27" s="10" t="inlineStr">
        <is>
          <t>Papir i karton</t>
        </is>
      </c>
      <c r="D27" s="15" t="n"/>
    </row>
    <row r="28">
      <c r="A28" s="22" t="n">
        <v>46451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2" t="n">
        <v>46455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2" t="n">
        <v>46458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2" t="n">
        <v>46462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2" t="n">
        <v>46463</v>
      </c>
      <c r="B32" s="15" t="inlineStr">
        <is>
          <t>srijeda</t>
        </is>
      </c>
      <c r="C32" s="9" t="inlineStr">
        <is>
          <t>Plastika</t>
        </is>
      </c>
      <c r="D32" s="15" t="n"/>
    </row>
    <row r="33">
      <c r="A33" s="22" t="n">
        <v>46463</v>
      </c>
      <c r="B33" s="15" t="inlineStr">
        <is>
          <t>srijeda</t>
        </is>
      </c>
      <c r="C33" s="10" t="inlineStr">
        <is>
          <t>Papir i karton</t>
        </is>
      </c>
      <c r="D33" s="15" t="n"/>
    </row>
    <row r="34">
      <c r="A34" s="22" t="n">
        <v>46465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2" t="n">
        <v>46469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2" t="n">
        <v>46472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2" t="n">
        <v>46476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2" t="n">
        <v>46477</v>
      </c>
      <c r="B38" s="15" t="inlineStr">
        <is>
          <t>srijeda</t>
        </is>
      </c>
      <c r="C38" s="9" t="inlineStr">
        <is>
          <t>Plastika</t>
        </is>
      </c>
      <c r="D38" s="15" t="n"/>
    </row>
    <row r="39">
      <c r="A39" s="22" t="n">
        <v>46477</v>
      </c>
      <c r="B39" s="15" t="inlineStr">
        <is>
          <t>srijeda</t>
        </is>
      </c>
      <c r="C39" s="10" t="inlineStr">
        <is>
          <t>Papir i karton</t>
        </is>
      </c>
      <c r="D39" s="15" t="n"/>
    </row>
    <row r="40">
      <c r="A40" s="22" t="n">
        <v>46479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2" t="n">
        <v>46483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2" t="n">
        <v>46486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2" t="n">
        <v>46490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2" t="n">
        <v>46491</v>
      </c>
      <c r="B44" s="15" t="inlineStr">
        <is>
          <t>srijeda</t>
        </is>
      </c>
      <c r="C44" s="9" t="inlineStr">
        <is>
          <t>Plastika</t>
        </is>
      </c>
      <c r="D44" s="15" t="n"/>
    </row>
    <row r="45">
      <c r="A45" s="22" t="n">
        <v>46491</v>
      </c>
      <c r="B45" s="15" t="inlineStr">
        <is>
          <t>srijeda</t>
        </is>
      </c>
      <c r="C45" s="10" t="inlineStr">
        <is>
          <t>Papir i karton</t>
        </is>
      </c>
      <c r="D45" s="15" t="n"/>
    </row>
    <row r="46">
      <c r="A46" s="22" t="n">
        <v>46493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2" t="n">
        <v>46497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</sheetData>
  <autoFilter ref="A1:D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(Bibinje): ulice i naselja</t>
        </is>
      </c>
    </row>
    <row r="4">
      <c r="A4" s="4" t="inlineStr">
        <is>
          <t>Ulica / naselje</t>
        </is>
      </c>
    </row>
    <row r="5">
      <c r="A5" s="15" t="inlineStr">
        <is>
          <t>Bibinje – ispod pruge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2026-10-08T05:48:46Z</dcterms:created>
  <dcterms:modified xmlns:dcterms="http://purl.org/dc/terms/" xmlns:xsi="http://www.w3.org/2001/XMLSchema-instance" xsi:type="dcterms:W3CDTF">2026-10-08T05:48:46Z</dcterms:modified>
</cp:coreProperties>
</file>
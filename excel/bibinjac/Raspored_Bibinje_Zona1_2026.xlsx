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'Raspored'!$A$4:$G$37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IFERROR(1/(1/_xlfn.MINIFS(Raspored!$A$5:$A$37,Raspored!$D$5:$D$37,"x",Raspored!$A$5:$A$37,"&gt;="&amp;$B$3)),"nema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COUNTIF(Raspored!$D$5:$D$37,"x")</f>
        <v/>
      </c>
    </row>
    <row r="7">
      <c r="A7" s="9" t="inlineStr">
        <is>
          <t>Plastika</t>
        </is>
      </c>
      <c r="B7" s="6">
        <f>IFERROR(1/(1/_xlfn.MINIFS(Raspored!$A$5:$A$37,Raspored!$E$5:$E$37,"x",Raspored!$A$5:$A$37,"&gt;="&amp;$B$3)),"nema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COUNTIF(Raspored!$E$5:$E$37,"x")</f>
        <v/>
      </c>
    </row>
    <row r="8">
      <c r="A8" s="10" t="inlineStr">
        <is>
          <t>Papir i karton</t>
        </is>
      </c>
      <c r="B8" s="6">
        <f>IFERROR(1/(1/_xlfn.MINIFS(Raspored!$A$5:$A$37,Raspored!$F$5:$F$37,"x",Raspored!$A$5:$A$37,"&gt;="&amp;$B$3)),"nema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COUNTIFS(Raspored!$C$5:$C$37,$A12,Raspored!$D$5:$D$37,"x")</f>
        <v/>
      </c>
      <c r="C12" s="7">
        <f>COUNTIFS(Raspored!$C$5:$C$37,$A12,Raspored!$E$5:$E$37,"x")</f>
        <v/>
      </c>
      <c r="D12" s="7">
        <f>COUNTIFS(Raspored!$C$5:$C$37,$A12,Raspored!$F$5:$F$37,"x")</f>
        <v/>
      </c>
    </row>
    <row r="13">
      <c r="A13" s="15" t="inlineStr">
        <is>
          <t>veljača</t>
        </is>
      </c>
      <c r="B13" s="7">
        <f>COUNTIFS(Raspored!$C$5:$C$37,$A13,Raspored!$D$5:$D$37,"x")</f>
        <v/>
      </c>
      <c r="C13" s="7">
        <f>COUNTIFS(Raspored!$C$5:$C$37,$A13,Raspored!$E$5:$E$37,"x")</f>
        <v/>
      </c>
      <c r="D13" s="7">
        <f>COUNTIFS(Raspored!$C$5:$C$37,$A13,Raspored!$F$5:$F$37,"x")</f>
        <v/>
      </c>
    </row>
    <row r="14">
      <c r="A14" s="15" t="inlineStr">
        <is>
          <t>ožujak</t>
        </is>
      </c>
      <c r="B14" s="7">
        <f>COUNTIFS(Raspored!$C$5:$C$37,$A14,Raspored!$D$5:$D$37,"x")</f>
        <v/>
      </c>
      <c r="C14" s="7">
        <f>COUNTIFS(Raspored!$C$5:$C$37,$A14,Raspored!$E$5:$E$37,"x")</f>
        <v/>
      </c>
      <c r="D14" s="7">
        <f>COUNTIFS(Raspored!$C$5:$C$37,$A14,Raspored!$F$5:$F$37,"x")</f>
        <v/>
      </c>
    </row>
    <row r="15">
      <c r="A15" s="15" t="inlineStr">
        <is>
          <t>travanj</t>
        </is>
      </c>
      <c r="B15" s="7">
        <f>COUNTIFS(Raspored!$C$5:$C$37,$A15,Raspored!$D$5:$D$37,"x")</f>
        <v/>
      </c>
      <c r="C15" s="7">
        <f>COUNTIFS(Raspored!$C$5:$C$37,$A15,Raspored!$E$5:$E$37,"x")</f>
        <v/>
      </c>
      <c r="D15" s="7">
        <f>COUNTIFS(Raspored!$C$5:$C$37,$A15,Raspored!$F$5:$F$37,"x")</f>
        <v/>
      </c>
    </row>
    <row r="16">
      <c r="A16" s="15" t="inlineStr">
        <is>
          <t>svibanj</t>
        </is>
      </c>
      <c r="B16" s="7">
        <f>COUNTIFS(Raspored!$C$5:$C$37,$A16,Raspored!$D$5:$D$37,"x")</f>
        <v/>
      </c>
      <c r="C16" s="7">
        <f>COUNTIFS(Raspored!$C$5:$C$37,$A16,Raspored!$E$5:$E$37,"x")</f>
        <v/>
      </c>
      <c r="D16" s="7">
        <f>COUNTIFS(Raspored!$C$5:$C$37,$A16,Raspored!$F$5:$F$37,"x")</f>
        <v/>
      </c>
    </row>
    <row r="17">
      <c r="A17" s="15" t="inlineStr">
        <is>
          <t>lipanj</t>
        </is>
      </c>
      <c r="B17" s="7">
        <f>COUNTIFS(Raspored!$C$5:$C$37,$A17,Raspored!$D$5:$D$37,"x")</f>
        <v/>
      </c>
      <c r="C17" s="7">
        <f>COUNTIFS(Raspored!$C$5:$C$37,$A17,Raspored!$E$5:$E$37,"x")</f>
        <v/>
      </c>
      <c r="D17" s="7">
        <f>COUNTIFS(Raspored!$C$5:$C$37,$A17,Raspored!$F$5:$F$37,"x")</f>
        <v/>
      </c>
    </row>
    <row r="18">
      <c r="A18" s="15" t="inlineStr">
        <is>
          <t>srpanj</t>
        </is>
      </c>
      <c r="B18" s="7">
        <f>COUNTIFS(Raspored!$C$5:$C$37,$A18,Raspored!$D$5:$D$37,"x")</f>
        <v/>
      </c>
      <c r="C18" s="7">
        <f>COUNTIFS(Raspored!$C$5:$C$37,$A18,Raspored!$E$5:$E$37,"x")</f>
        <v/>
      </c>
      <c r="D18" s="7">
        <f>COUNTIFS(Raspored!$C$5:$C$37,$A18,Raspored!$F$5:$F$37,"x")</f>
        <v/>
      </c>
    </row>
    <row r="19">
      <c r="A19" s="15" t="inlineStr">
        <is>
          <t>kolovoz</t>
        </is>
      </c>
      <c r="B19" s="7">
        <f>COUNTIFS(Raspored!$C$5:$C$37,$A19,Raspored!$D$5:$D$37,"x")</f>
        <v/>
      </c>
      <c r="C19" s="7">
        <f>COUNTIFS(Raspored!$C$5:$C$37,$A19,Raspored!$E$5:$E$37,"x")</f>
        <v/>
      </c>
      <c r="D19" s="7">
        <f>COUNTIFS(Raspored!$C$5:$C$37,$A19,Raspored!$F$5:$F$37,"x")</f>
        <v/>
      </c>
    </row>
    <row r="20">
      <c r="A20" s="15" t="inlineStr">
        <is>
          <t>rujan</t>
        </is>
      </c>
      <c r="B20" s="7">
        <f>COUNTIFS(Raspored!$C$5:$C$37,$A20,Raspored!$D$5:$D$37,"x")</f>
        <v/>
      </c>
      <c r="C20" s="7">
        <f>COUNTIFS(Raspored!$C$5:$C$37,$A20,Raspored!$E$5:$E$37,"x")</f>
        <v/>
      </c>
      <c r="D20" s="7">
        <f>COUNTIFS(Raspored!$C$5:$C$37,$A20,Raspored!$F$5:$F$37,"x")</f>
        <v/>
      </c>
    </row>
    <row r="21">
      <c r="A21" s="15" t="inlineStr">
        <is>
          <t>listopad</t>
        </is>
      </c>
      <c r="B21" s="7">
        <f>COUNTIFS(Raspored!$C$5:$C$37,$A21,Raspored!$D$5:$D$37,"x")</f>
        <v/>
      </c>
      <c r="C21" s="7">
        <f>COUNTIFS(Raspored!$C$5:$C$37,$A21,Raspored!$E$5:$E$37,"x")</f>
        <v/>
      </c>
      <c r="D21" s="7">
        <f>COUNTIFS(Raspored!$C$5:$C$37,$A21,Raspored!$F$5:$F$37,"x")</f>
        <v/>
      </c>
    </row>
    <row r="22">
      <c r="A22" s="15" t="inlineStr">
        <is>
          <t>studeni</t>
        </is>
      </c>
      <c r="B22" s="7">
        <f>COUNTIFS(Raspored!$C$5:$C$37,$A22,Raspored!$D$5:$D$37,"x")</f>
        <v/>
      </c>
      <c r="C22" s="7">
        <f>COUNTIFS(Raspored!$C$5:$C$37,$A22,Raspored!$E$5:$E$37,"x")</f>
        <v/>
      </c>
      <c r="D22" s="7">
        <f>COUNTIFS(Raspored!$C$5:$C$37,$A22,Raspored!$F$5:$F$37,"x")</f>
        <v/>
      </c>
    </row>
    <row r="23">
      <c r="A23" s="15" t="inlineStr">
        <is>
          <t>prosinac</t>
        </is>
      </c>
      <c r="B23" s="7">
        <f>COUNTIFS(Raspored!$C$5:$C$37,$A23,Raspored!$D$5:$D$37,"x")</f>
        <v/>
      </c>
      <c r="C23" s="7">
        <f>COUNTIFS(Raspored!$C$5:$C$37,$A23,Raspored!$E$5:$E$37,"x")</f>
        <v/>
      </c>
      <c r="D23" s="7">
        <f>COUNTIFS(Raspored!$C$5:$C$37,$A23,Raspored!$F$5:$F$37,"x")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Na webu je objavljen samo raspored od 30.09.2026. do 21.04.2027. (widget na naslovnici); raniji raspored za listopad 2025. - rujan 2026. više nije objavljen.</t>
        </is>
      </c>
    </row>
    <row r="28">
      <c r="A28" s="19" t="inlineStr">
        <is>
          <t>• Bibinjac ne objavljuje popis ulica iznad i ispod pruge.</t>
        </is>
      </c>
    </row>
    <row r="29">
      <c r="A29" s="19" t="inlineStr">
        <is>
          <t>• Papir i plastika odvoze se istoga dana (svaka druga srijeda prema datumima).</t>
        </is>
      </c>
    </row>
    <row r="30">
      <c r="A30" s="19" t="inlineStr">
        <is>
          <t>• Spremnike iznijeti večer prije odvoza ili najkasnije rano ujutro na dan odvoza.</t>
        </is>
      </c>
    </row>
    <row r="31">
      <c r="A31" s="19" t="inlineStr">
        <is>
          <t>• Općina navodi da se miješani otpad ljeti odvozi tri puta tjedno, ali ljetni raspored nije objavljen.</t>
        </is>
      </c>
    </row>
    <row r="32">
      <c r="A32" s="19" t="inlineStr">
        <is>
          <t>• Glomazni otpad: prema obavijesti od 07.10.2026. odvozi se utorkom i četvrtkom (na blagdan idući utvrđeni dan).</t>
        </is>
      </c>
    </row>
    <row r="33">
      <c r="A33" s="19" t="inlineStr">
        <is>
          <t>• Kontakt: 023/261-201, tdbibinjac@gmail.com.</t>
        </is>
      </c>
    </row>
    <row r="34">
      <c r="A34" s="19" t="inlineStr">
        <is>
          <t>• Pomaci odvoza miješanog otpada zbog blagdana nisu objavljeni; upisani su dani po rasporedu i za blagdane: 29.03.2027. (iznad pruge), 25.12.2026. (ispod pruge), 01.01.2027. (ispod pruge).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(Bibinje)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46300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46302</v>
      </c>
      <c r="B7" s="7" t="inlineStr">
        <is>
          <t>srijeda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46303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46307</v>
      </c>
      <c r="B9" s="7" t="inlineStr">
        <is>
          <t>ponedjeljak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46310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46314</v>
      </c>
      <c r="B11" s="7" t="inlineStr">
        <is>
          <t>ponedjeljak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46316</v>
      </c>
      <c r="B12" s="7" t="inlineStr">
        <is>
          <t>srijeda</t>
        </is>
      </c>
      <c r="C12" s="7" t="inlineStr">
        <is>
          <t>listopad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46317</v>
      </c>
      <c r="B13" s="7" t="inlineStr">
        <is>
          <t>četvrtak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46321</v>
      </c>
      <c r="B14" s="7" t="inlineStr">
        <is>
          <t>ponedjeljak</t>
        </is>
      </c>
      <c r="C14" s="7" t="inlineStr">
        <is>
          <t>listopad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46324</v>
      </c>
      <c r="B15" s="7" t="inlineStr">
        <is>
          <t>četvrtak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46328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46330</v>
      </c>
      <c r="B17" s="7" t="inlineStr">
        <is>
          <t>srijeda</t>
        </is>
      </c>
      <c r="C17" s="7" t="inlineStr">
        <is>
          <t>studeni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46331</v>
      </c>
      <c r="B18" s="7" t="inlineStr">
        <is>
          <t>četvrtak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46335</v>
      </c>
      <c r="B19" s="7" t="inlineStr">
        <is>
          <t>ponedjeljak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46338</v>
      </c>
      <c r="B20" s="7" t="inlineStr">
        <is>
          <t>četvrtak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46342</v>
      </c>
      <c r="B21" s="7" t="inlineStr">
        <is>
          <t>ponedjeljak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46345</v>
      </c>
      <c r="B22" s="7" t="inlineStr">
        <is>
          <t>četvrtak</t>
        </is>
      </c>
      <c r="C22" s="7" t="inlineStr">
        <is>
          <t>studeni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46349</v>
      </c>
      <c r="B23" s="7" t="inlineStr">
        <is>
          <t>ponedjeljak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46351</v>
      </c>
      <c r="B24" s="7" t="inlineStr">
        <is>
          <t>srijeda</t>
        </is>
      </c>
      <c r="C24" s="7" t="inlineStr">
        <is>
          <t>studeni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46352</v>
      </c>
      <c r="B25" s="7" t="inlineStr">
        <is>
          <t>četvrtak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46356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46359</v>
      </c>
      <c r="B27" s="7" t="inlineStr">
        <is>
          <t>četvrtak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46363</v>
      </c>
      <c r="B28" s="7" t="inlineStr">
        <is>
          <t>ponedjeljak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46365</v>
      </c>
      <c r="B29" s="7" t="inlineStr">
        <is>
          <t>srijeda</t>
        </is>
      </c>
      <c r="C29" s="7" t="inlineStr">
        <is>
          <t>prosinac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46366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46370</v>
      </c>
      <c r="B31" s="7" t="inlineStr">
        <is>
          <t>ponedjeljak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46373</v>
      </c>
      <c r="B32" s="7" t="inlineStr">
        <is>
          <t>četvrtak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46377</v>
      </c>
      <c r="B33" s="7" t="inlineStr">
        <is>
          <t>ponedjeljak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46379</v>
      </c>
      <c r="B34" s="7" t="inlineStr">
        <is>
          <t>srijeda</t>
        </is>
      </c>
      <c r="C34" s="7" t="inlineStr">
        <is>
          <t>prosinac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46380</v>
      </c>
      <c r="B35" s="7" t="inlineStr">
        <is>
          <t>četvrtak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46384</v>
      </c>
      <c r="B36" s="7" t="inlineStr">
        <is>
          <t>ponedjeljak</t>
        </is>
      </c>
      <c r="C36" s="7" t="inlineStr">
        <is>
          <t>prosinac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46387</v>
      </c>
      <c r="B37" s="7" t="inlineStr">
        <is>
          <t>četvrtak</t>
        </is>
      </c>
      <c r="C37" s="7" t="inlineStr">
        <is>
          <t>prosinac</t>
        </is>
      </c>
      <c r="D37" s="7" t="inlineStr">
        <is>
          <t>x</t>
        </is>
      </c>
      <c r="E37" s="7" t="n"/>
      <c r="F37" s="7" t="n"/>
      <c r="G37" s="21" t="n"/>
    </row>
  </sheetData>
  <autoFilter ref="A4:G37"/>
  <conditionalFormatting sqref="D5:D37">
    <cfRule type="expression" priority="1" dxfId="0">
      <formula>D5="x"</formula>
    </cfRule>
  </conditionalFormatting>
  <conditionalFormatting sqref="E5:E37">
    <cfRule type="expression" priority="2" dxfId="1">
      <formula>E5="x"</formula>
    </cfRule>
  </conditionalFormatting>
  <conditionalFormatting sqref="F5:F37">
    <cfRule type="expression" priority="3" dxfId="2">
      <formula>F5="x"</formula>
    </cfRule>
  </conditionalFormatting>
  <conditionalFormatting sqref="A5:G3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46296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46300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46302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46302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46303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46307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46310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46314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46316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46316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46317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46321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46324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46328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46330</v>
      </c>
      <c r="B16" s="15" t="inlineStr">
        <is>
          <t>srijeda</t>
        </is>
      </c>
      <c r="C16" s="9" t="inlineStr">
        <is>
          <t>Plastika</t>
        </is>
      </c>
      <c r="D16" s="15" t="n"/>
    </row>
    <row r="17">
      <c r="A17" s="22" t="n">
        <v>46330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46331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46335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46338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46342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46345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46349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46351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46351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46352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46356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46359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46363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46365</v>
      </c>
      <c r="B30" s="15" t="inlineStr">
        <is>
          <t>srijeda</t>
        </is>
      </c>
      <c r="C30" s="9" t="inlineStr">
        <is>
          <t>Plastika</t>
        </is>
      </c>
      <c r="D30" s="15" t="n"/>
    </row>
    <row r="31">
      <c r="A31" s="22" t="n">
        <v>46365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46366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46370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46373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46377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46379</v>
      </c>
      <c r="B36" s="15" t="inlineStr">
        <is>
          <t>srijeda</t>
        </is>
      </c>
      <c r="C36" s="9" t="inlineStr">
        <is>
          <t>Plastika</t>
        </is>
      </c>
      <c r="D36" s="15" t="n"/>
    </row>
    <row r="37">
      <c r="A37" s="22" t="n">
        <v>46379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46380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46384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46387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(Bibinje): ulice i naselja</t>
        </is>
      </c>
    </row>
    <row r="4">
      <c r="A4" s="4" t="inlineStr">
        <is>
          <t>Ulica / naselje</t>
        </is>
      </c>
    </row>
    <row r="5">
      <c r="A5" s="15" t="inlineStr">
        <is>
          <t>Bibinje – iznad pruge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2026-10-08T05:48:46Z</dcterms:created>
  <dcterms:modified xmlns:dcterms="http://purl.org/dc/terms/" xmlns:xsi="http://www.w3.org/2001/XMLSchema-instance" xsi:type="dcterms:W3CDTF">2026-10-08T05:48:46Z</dcterms:modified>
</cp:coreProperties>
</file>
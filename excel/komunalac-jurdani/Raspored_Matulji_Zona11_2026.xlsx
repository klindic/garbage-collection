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'Raspored'!$A$4:$H$77</definedName>
    <definedName name="_xlnm._FilterDatabase" localSheetId="2" hidden="1">'Po vrsti'!$A$1:$D$164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IFERROR(1/(1/_xlfn.MINIFS(Raspored!$A$5:$A$77,Raspored!$D$5:$D$77,"x",Raspored!$A$5:$A$77,"&gt;="&amp;$B$3)),"nema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COUNTIF(Raspored!$D$5:$D$77,"x")</f>
        <v/>
      </c>
    </row>
    <row r="7">
      <c r="A7" s="9" t="inlineStr">
        <is>
          <t>Biootpad</t>
        </is>
      </c>
      <c r="B7" s="6">
        <f>IFERROR(1/(1/_xlfn.MINIFS(Raspored!$A$5:$A$77,Raspored!$E$5:$E$77,"x",Raspored!$A$5:$A$77,"&gt;="&amp;$B$3)),"nema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COUNTIF(Raspored!$E$5:$E$77,"x")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IFERROR(1/(1/_xlfn.MINIFS(Raspored!$A$5:$A$77,Raspored!$F$5:$F$77,"x",Raspored!$A$5:$A$77,"&gt;="&amp;$B$3)),"nema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COUNTIF(Raspored!$F$5:$F$77,"x")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IFERROR(1/(1/_xlfn.MINIFS(Raspored!$A$5:$A$77,Raspored!$G$5:$G$77,"x",Raspored!$A$5:$A$77,"&gt;="&amp;$B$3)),"nema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COUNTIFS(Raspored!$C$5:$C$77,$A13,Raspored!$D$5:$D$77,"x")</f>
        <v/>
      </c>
      <c r="C13" s="7">
        <f>COUNTIFS(Raspored!$C$5:$C$77,$A13,Raspored!$E$5:$E$77,"x")</f>
        <v/>
      </c>
      <c r="D13" s="7">
        <f>COUNTIFS(Raspored!$C$5:$C$77,$A13,Raspored!$F$5:$F$77,"x")</f>
        <v/>
      </c>
      <c r="E13" s="7">
        <f>COUNTIFS(Raspored!$C$5:$C$77,$A13,Raspored!$G$5:$G$77,"x")</f>
        <v/>
      </c>
    </row>
    <row r="14">
      <c r="A14" s="17" t="inlineStr">
        <is>
          <t>veljača</t>
        </is>
      </c>
      <c r="B14" s="7">
        <f>COUNTIFS(Raspored!$C$5:$C$77,$A14,Raspored!$D$5:$D$77,"x")</f>
        <v/>
      </c>
      <c r="C14" s="7">
        <f>COUNTIFS(Raspored!$C$5:$C$77,$A14,Raspored!$E$5:$E$77,"x")</f>
        <v/>
      </c>
      <c r="D14" s="7">
        <f>COUNTIFS(Raspored!$C$5:$C$77,$A14,Raspored!$F$5:$F$77,"x")</f>
        <v/>
      </c>
      <c r="E14" s="7">
        <f>COUNTIFS(Raspored!$C$5:$C$77,$A14,Raspored!$G$5:$G$77,"x")</f>
        <v/>
      </c>
    </row>
    <row r="15">
      <c r="A15" s="17" t="inlineStr">
        <is>
          <t>ožujak</t>
        </is>
      </c>
      <c r="B15" s="7">
        <f>COUNTIFS(Raspored!$C$5:$C$77,$A15,Raspored!$D$5:$D$77,"x")</f>
        <v/>
      </c>
      <c r="C15" s="7">
        <f>COUNTIFS(Raspored!$C$5:$C$77,$A15,Raspored!$E$5:$E$77,"x")</f>
        <v/>
      </c>
      <c r="D15" s="7">
        <f>COUNTIFS(Raspored!$C$5:$C$77,$A15,Raspored!$F$5:$F$77,"x")</f>
        <v/>
      </c>
      <c r="E15" s="7">
        <f>COUNTIFS(Raspored!$C$5:$C$77,$A15,Raspored!$G$5:$G$77,"x")</f>
        <v/>
      </c>
    </row>
    <row r="16">
      <c r="A16" s="17" t="inlineStr">
        <is>
          <t>travanj</t>
        </is>
      </c>
      <c r="B16" s="7">
        <f>COUNTIFS(Raspored!$C$5:$C$77,$A16,Raspored!$D$5:$D$77,"x")</f>
        <v/>
      </c>
      <c r="C16" s="7">
        <f>COUNTIFS(Raspored!$C$5:$C$77,$A16,Raspored!$E$5:$E$77,"x")</f>
        <v/>
      </c>
      <c r="D16" s="7">
        <f>COUNTIFS(Raspored!$C$5:$C$77,$A16,Raspored!$F$5:$F$77,"x")</f>
        <v/>
      </c>
      <c r="E16" s="7">
        <f>COUNTIFS(Raspored!$C$5:$C$77,$A16,Raspored!$G$5:$G$77,"x")</f>
        <v/>
      </c>
    </row>
    <row r="17">
      <c r="A17" s="17" t="inlineStr">
        <is>
          <t>svibanj</t>
        </is>
      </c>
      <c r="B17" s="7">
        <f>COUNTIFS(Raspored!$C$5:$C$77,$A17,Raspored!$D$5:$D$77,"x")</f>
        <v/>
      </c>
      <c r="C17" s="7">
        <f>COUNTIFS(Raspored!$C$5:$C$77,$A17,Raspored!$E$5:$E$77,"x")</f>
        <v/>
      </c>
      <c r="D17" s="7">
        <f>COUNTIFS(Raspored!$C$5:$C$77,$A17,Raspored!$F$5:$F$77,"x")</f>
        <v/>
      </c>
      <c r="E17" s="7">
        <f>COUNTIFS(Raspored!$C$5:$C$77,$A17,Raspored!$G$5:$G$77,"x")</f>
        <v/>
      </c>
    </row>
    <row r="18">
      <c r="A18" s="17" t="inlineStr">
        <is>
          <t>lipanj</t>
        </is>
      </c>
      <c r="B18" s="7">
        <f>COUNTIFS(Raspored!$C$5:$C$77,$A18,Raspored!$D$5:$D$77,"x")</f>
        <v/>
      </c>
      <c r="C18" s="7">
        <f>COUNTIFS(Raspored!$C$5:$C$77,$A18,Raspored!$E$5:$E$77,"x")</f>
        <v/>
      </c>
      <c r="D18" s="7">
        <f>COUNTIFS(Raspored!$C$5:$C$77,$A18,Raspored!$F$5:$F$77,"x")</f>
        <v/>
      </c>
      <c r="E18" s="7">
        <f>COUNTIFS(Raspored!$C$5:$C$77,$A18,Raspored!$G$5:$G$77,"x")</f>
        <v/>
      </c>
    </row>
    <row r="19">
      <c r="A19" s="17" t="inlineStr">
        <is>
          <t>srpanj</t>
        </is>
      </c>
      <c r="B19" s="7">
        <f>COUNTIFS(Raspored!$C$5:$C$77,$A19,Raspored!$D$5:$D$77,"x")</f>
        <v/>
      </c>
      <c r="C19" s="7">
        <f>COUNTIFS(Raspored!$C$5:$C$77,$A19,Raspored!$E$5:$E$77,"x")</f>
        <v/>
      </c>
      <c r="D19" s="7">
        <f>COUNTIFS(Raspored!$C$5:$C$77,$A19,Raspored!$F$5:$F$77,"x")</f>
        <v/>
      </c>
      <c r="E19" s="7">
        <f>COUNTIFS(Raspored!$C$5:$C$77,$A19,Raspored!$G$5:$G$77,"x")</f>
        <v/>
      </c>
    </row>
    <row r="20">
      <c r="A20" s="17" t="inlineStr">
        <is>
          <t>kolovoz</t>
        </is>
      </c>
      <c r="B20" s="7">
        <f>COUNTIFS(Raspored!$C$5:$C$77,$A20,Raspored!$D$5:$D$77,"x")</f>
        <v/>
      </c>
      <c r="C20" s="7">
        <f>COUNTIFS(Raspored!$C$5:$C$77,$A20,Raspored!$E$5:$E$77,"x")</f>
        <v/>
      </c>
      <c r="D20" s="7">
        <f>COUNTIFS(Raspored!$C$5:$C$77,$A20,Raspored!$F$5:$F$77,"x")</f>
        <v/>
      </c>
      <c r="E20" s="7">
        <f>COUNTIFS(Raspored!$C$5:$C$77,$A20,Raspored!$G$5:$G$77,"x")</f>
        <v/>
      </c>
    </row>
    <row r="21">
      <c r="A21" s="17" t="inlineStr">
        <is>
          <t>rujan</t>
        </is>
      </c>
      <c r="B21" s="7">
        <f>COUNTIFS(Raspored!$C$5:$C$77,$A21,Raspored!$D$5:$D$77,"x")</f>
        <v/>
      </c>
      <c r="C21" s="7">
        <f>COUNTIFS(Raspored!$C$5:$C$77,$A21,Raspored!$E$5:$E$77,"x")</f>
        <v/>
      </c>
      <c r="D21" s="7">
        <f>COUNTIFS(Raspored!$C$5:$C$77,$A21,Raspored!$F$5:$F$77,"x")</f>
        <v/>
      </c>
      <c r="E21" s="7">
        <f>COUNTIFS(Raspored!$C$5:$C$77,$A21,Raspored!$G$5:$G$77,"x")</f>
        <v/>
      </c>
    </row>
    <row r="22">
      <c r="A22" s="17" t="inlineStr">
        <is>
          <t>listopad</t>
        </is>
      </c>
      <c r="B22" s="7">
        <f>COUNTIFS(Raspored!$C$5:$C$77,$A22,Raspored!$D$5:$D$77,"x")</f>
        <v/>
      </c>
      <c r="C22" s="7">
        <f>COUNTIFS(Raspored!$C$5:$C$77,$A22,Raspored!$E$5:$E$77,"x")</f>
        <v/>
      </c>
      <c r="D22" s="7">
        <f>COUNTIFS(Raspored!$C$5:$C$77,$A22,Raspored!$F$5:$F$77,"x")</f>
        <v/>
      </c>
      <c r="E22" s="7">
        <f>COUNTIFS(Raspored!$C$5:$C$77,$A22,Raspored!$G$5:$G$77,"x")</f>
        <v/>
      </c>
    </row>
    <row r="23">
      <c r="A23" s="17" t="inlineStr">
        <is>
          <t>studeni</t>
        </is>
      </c>
      <c r="B23" s="7">
        <f>COUNTIFS(Raspored!$C$5:$C$77,$A23,Raspored!$D$5:$D$77,"x")</f>
        <v/>
      </c>
      <c r="C23" s="7">
        <f>COUNTIFS(Raspored!$C$5:$C$77,$A23,Raspored!$E$5:$E$77,"x")</f>
        <v/>
      </c>
      <c r="D23" s="7">
        <f>COUNTIFS(Raspored!$C$5:$C$77,$A23,Raspored!$F$5:$F$77,"x")</f>
        <v/>
      </c>
      <c r="E23" s="7">
        <f>COUNTIFS(Raspored!$C$5:$C$77,$A23,Raspored!$G$5:$G$77,"x")</f>
        <v/>
      </c>
    </row>
    <row r="24">
      <c r="A24" s="17" t="inlineStr">
        <is>
          <t>prosinac</t>
        </is>
      </c>
      <c r="B24" s="7">
        <f>COUNTIFS(Raspored!$C$5:$C$77,$A24,Raspored!$D$5:$D$77,"x")</f>
        <v/>
      </c>
      <c r="C24" s="7">
        <f>COUNTIFS(Raspored!$C$5:$C$77,$A24,Raspored!$E$5:$E$77,"x")</f>
        <v/>
      </c>
      <c r="D24" s="7">
        <f>COUNTIFS(Raspored!$C$5:$C$77,$A24,Raspored!$F$5:$F$77,"x")</f>
        <v/>
      </c>
      <c r="E24" s="7">
        <f>COUNTIFS(Raspored!$C$5:$C$77,$A24,Raspored!$G$5:$G$77,"x")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i reciklabilni otpad ponedjeljkom. Biootpad: od 1.10. do 30.4. ponedjeljkom, od 1.5. do 30.9. ponedjeljkom i četvrtkom.</t>
        </is>
      </c>
    </row>
    <row r="29">
      <c r="A29" s="21" t="inlineStr">
        <is>
          <t>• Biootpad se od 1.10. do 30.4. odvozi jednom, a od 1.5. do 30.9. dvaput tjedno.</t>
        </is>
      </c>
    </row>
    <row r="30">
      <c r="A30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21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21" t="inlineStr">
        <is>
          <t>• Upiti: info@komunalac-opatija.hr, 051 505 201 (interno 2).</t>
        </is>
      </c>
    </row>
    <row r="35">
      <c r="A35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11 (Matulji)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46177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46195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46202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46205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46212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46216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46219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46223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46230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46233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46293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46300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46363</v>
      </c>
      <c r="B74" s="7" t="inlineStr">
        <is>
          <t>ponedjeljak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46370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46377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46384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</sheetData>
  <autoFilter ref="A4:H77"/>
  <conditionalFormatting sqref="D5:D77">
    <cfRule type="expression" priority="1" dxfId="0">
      <formula>D5="x"</formula>
    </cfRule>
  </conditionalFormatting>
  <conditionalFormatting sqref="E5:E77">
    <cfRule type="expression" priority="2" dxfId="1">
      <formula>E5="x"</formula>
    </cfRule>
  </conditionalFormatting>
  <conditionalFormatting sqref="F5:F77">
    <cfRule type="expression" priority="3" dxfId="2">
      <formula>F5="x"</formula>
    </cfRule>
  </conditionalFormatting>
  <conditionalFormatting sqref="G5:G77">
    <cfRule type="expression" priority="4" dxfId="3">
      <formula>G5="x"</formula>
    </cfRule>
  </conditionalFormatting>
  <conditionalFormatting sqref="A5:H7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0" t="inlineStr">
        <is>
          <t>Reciklabilni otpad (papir, karton, plastika, metal)</t>
        </is>
      </c>
      <c r="D4" s="17" t="n"/>
    </row>
    <row r="5">
      <c r="A5" s="24" t="n">
        <v>46027</v>
      </c>
      <c r="B5" s="17" t="inlineStr">
        <is>
          <t>ponedjeljak</t>
        </is>
      </c>
      <c r="C5" s="11" t="inlineStr">
        <is>
          <t>Staklena ambalaža (prozirne vrećice pored spremnika)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0" t="inlineStr">
        <is>
          <t>Reciklabilni otpad (papir, karton, plastika, metal)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0" t="inlineStr">
        <is>
          <t>Reciklabilni otpad (papir, karton, plastika, metal)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Staklena ambalaža (prozirne vrećice pored spremnika)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46069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0" t="inlineStr">
        <is>
          <t>Reciklabilni otpad (papir, karton, plastika, metal)</t>
        </is>
      </c>
      <c r="D21" s="17" t="n"/>
    </row>
    <row r="22">
      <c r="A22" s="24" t="n">
        <v>46076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46083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46083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0" t="inlineStr">
        <is>
          <t>Reciklabilni otpad (papir, karton, plastika, metal)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Staklena ambalaža (prozirne vrećice pored spremnika)</t>
        </is>
      </c>
      <c r="D27" s="17" t="n"/>
    </row>
    <row r="28">
      <c r="A28" s="24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46097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46097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0" t="inlineStr">
        <is>
          <t>Reciklabilni otpad (papir, karton, plastika, metal)</t>
        </is>
      </c>
      <c r="D32" s="17" t="n"/>
    </row>
    <row r="33">
      <c r="A33" s="24" t="n">
        <v>46104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46111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46111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46111</v>
      </c>
      <c r="B37" s="17" t="inlineStr">
        <is>
          <t>ponedjeljak</t>
        </is>
      </c>
      <c r="C37" s="10" t="inlineStr">
        <is>
          <t>Reciklabilni otpad (papir, karton, plastika, metal)</t>
        </is>
      </c>
      <c r="D37" s="17" t="n"/>
    </row>
    <row r="38">
      <c r="A38" s="24" t="n">
        <v>46118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46118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46125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46125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46125</v>
      </c>
      <c r="B42" s="17" t="inlineStr">
        <is>
          <t>ponedjeljak</t>
        </is>
      </c>
      <c r="C42" s="10" t="inlineStr">
        <is>
          <t>Reciklabilni otpad (papir, karton, plastika, metal)</t>
        </is>
      </c>
      <c r="D42" s="17" t="n"/>
    </row>
    <row r="43">
      <c r="A43" s="24" t="n">
        <v>46125</v>
      </c>
      <c r="B43" s="17" t="inlineStr">
        <is>
          <t>ponedjeljak</t>
        </is>
      </c>
      <c r="C43" s="11" t="inlineStr">
        <is>
          <t>Staklena ambalaža (prozirne vrećice pored spremnika)</t>
        </is>
      </c>
      <c r="D43" s="17" t="n"/>
    </row>
    <row r="44">
      <c r="A44" s="24" t="n">
        <v>46132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46132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46139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46139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46139</v>
      </c>
      <c r="B48" s="17" t="inlineStr">
        <is>
          <t>ponedjeljak</t>
        </is>
      </c>
      <c r="C48" s="10" t="inlineStr">
        <is>
          <t>Reciklabilni otpad (papir, karton, plastika, metal)</t>
        </is>
      </c>
      <c r="D48" s="17" t="n"/>
    </row>
    <row r="49">
      <c r="A49" s="24" t="n">
        <v>46146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46146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46149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46153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46153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10" t="inlineStr">
        <is>
          <t>Reciklabilni otpad (papir, karton, plastika, metal)</t>
        </is>
      </c>
      <c r="D54" s="17" t="n"/>
    </row>
    <row r="55">
      <c r="A55" s="24" t="n">
        <v>46153</v>
      </c>
      <c r="B55" s="17" t="inlineStr">
        <is>
          <t>ponedjeljak</t>
        </is>
      </c>
      <c r="C55" s="11" t="inlineStr">
        <is>
          <t>Staklena ambalaža (prozirne vrećice pored spremnika)</t>
        </is>
      </c>
      <c r="D55" s="17" t="n"/>
    </row>
    <row r="56">
      <c r="A56" s="24" t="n">
        <v>46156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46160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46160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4" t="n">
        <v>46163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46167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0" t="inlineStr">
        <is>
          <t>Reciklabilni otpad (papir, karton, plastika, metal)</t>
        </is>
      </c>
      <c r="D62" s="17" t="n"/>
    </row>
    <row r="63">
      <c r="A63" s="24" t="n">
        <v>46170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0" t="inlineStr">
        <is>
          <t>Reciklabilni otpad (papir, karton, plastika, metal)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Staklena ambalaža (prozirne vrećice pored spremnika)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46195</v>
      </c>
      <c r="B77" s="17" t="inlineStr">
        <is>
          <t>ponedjeljak</t>
        </is>
      </c>
      <c r="C77" s="10" t="inlineStr">
        <is>
          <t>Reciklabilni otpad (papir, karton, plastika, metal)</t>
        </is>
      </c>
      <c r="D77" s="17" t="n"/>
    </row>
    <row r="78">
      <c r="A78" s="24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46202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46209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46209</v>
      </c>
      <c r="B84" s="17" t="inlineStr">
        <is>
          <t>ponedjeljak</t>
        </is>
      </c>
      <c r="C84" s="10" t="inlineStr">
        <is>
          <t>Reciklabilni otpad (papir, karton, plastika, metal)</t>
        </is>
      </c>
      <c r="D84" s="17" t="n"/>
    </row>
    <row r="85">
      <c r="A85" s="24" t="n">
        <v>46209</v>
      </c>
      <c r="B85" s="17" t="inlineStr">
        <is>
          <t>ponedjeljak</t>
        </is>
      </c>
      <c r="C85" s="11" t="inlineStr">
        <is>
          <t>Staklena ambalaža (prozirne vrećice pored spremnika)</t>
        </is>
      </c>
      <c r="D85" s="17" t="n"/>
    </row>
    <row r="86">
      <c r="A86" s="24" t="n">
        <v>46212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46216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46216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46219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46223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46223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46223</v>
      </c>
      <c r="B92" s="17" t="inlineStr">
        <is>
          <t>ponedjeljak</t>
        </is>
      </c>
      <c r="C92" s="10" t="inlineStr">
        <is>
          <t>Reciklabilni otpad (papir, karton, plastika, metal)</t>
        </is>
      </c>
      <c r="D92" s="17" t="n"/>
    </row>
    <row r="93">
      <c r="A93" s="24" t="n">
        <v>46226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46230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46230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46233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46237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46237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46237</v>
      </c>
      <c r="B99" s="17" t="inlineStr">
        <is>
          <t>ponedjeljak</t>
        </is>
      </c>
      <c r="C99" s="10" t="inlineStr">
        <is>
          <t>Reciklabilni otpad (papir, karton, plastika, metal)</t>
        </is>
      </c>
      <c r="D99" s="17" t="n"/>
    </row>
    <row r="100">
      <c r="A100" s="24" t="n">
        <v>46237</v>
      </c>
      <c r="B100" s="17" t="inlineStr">
        <is>
          <t>ponedjeljak</t>
        </is>
      </c>
      <c r="C100" s="11" t="inlineStr">
        <is>
          <t>Staklena ambalaža (prozirne vrećice pored spremnika)</t>
        </is>
      </c>
      <c r="D100" s="17" t="n"/>
    </row>
    <row r="101">
      <c r="A101" s="24" t="n">
        <v>46240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46244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46244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46247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46251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46251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4" t="n">
        <v>46251</v>
      </c>
      <c r="B107" s="17" t="inlineStr">
        <is>
          <t>ponedjeljak</t>
        </is>
      </c>
      <c r="C107" s="10" t="inlineStr">
        <is>
          <t>Reciklabilni otpad (papir, karton, plastika, metal)</t>
        </is>
      </c>
      <c r="D107" s="17" t="n"/>
    </row>
    <row r="108">
      <c r="A108" s="24" t="n">
        <v>46254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46258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46258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46261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46265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46265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46265</v>
      </c>
      <c r="B114" s="17" t="inlineStr">
        <is>
          <t>ponedjeljak</t>
        </is>
      </c>
      <c r="C114" s="10" t="inlineStr">
        <is>
          <t>Reciklabilni otpad (papir, karton, plastika, metal)</t>
        </is>
      </c>
      <c r="D114" s="17" t="n"/>
    </row>
    <row r="115">
      <c r="A115" s="24" t="n">
        <v>46268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4" t="n">
        <v>46272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46272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46275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46279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46279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46279</v>
      </c>
      <c r="B121" s="17" t="inlineStr">
        <is>
          <t>ponedjeljak</t>
        </is>
      </c>
      <c r="C121" s="10" t="inlineStr">
        <is>
          <t>Reciklabilni otpad (papir, karton, plastika, metal)</t>
        </is>
      </c>
      <c r="D121" s="17" t="n"/>
    </row>
    <row r="122">
      <c r="A122" s="24" t="n">
        <v>46279</v>
      </c>
      <c r="B122" s="17" t="inlineStr">
        <is>
          <t>ponedjeljak</t>
        </is>
      </c>
      <c r="C122" s="11" t="inlineStr">
        <is>
          <t>Staklena ambalaža (prozirne vrećice pored spremnika)</t>
        </is>
      </c>
      <c r="D122" s="17" t="n"/>
    </row>
    <row r="123">
      <c r="A123" s="24" t="n">
        <v>46282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46286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46286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46289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46293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46293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46293</v>
      </c>
      <c r="B129" s="17" t="inlineStr">
        <is>
          <t>ponedjeljak</t>
        </is>
      </c>
      <c r="C129" s="10" t="inlineStr">
        <is>
          <t>Reciklabilni otpad (papir, karton, plastika, metal)</t>
        </is>
      </c>
      <c r="D129" s="17" t="n"/>
    </row>
    <row r="130">
      <c r="A130" s="24" t="n">
        <v>46300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46300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46307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46307</v>
      </c>
      <c r="B133" s="17" t="inlineStr">
        <is>
          <t>ponedjeljak</t>
        </is>
      </c>
      <c r="C133" s="9" t="inlineStr">
        <is>
          <t>Biootpad</t>
        </is>
      </c>
      <c r="D133" s="17" t="n"/>
    </row>
    <row r="134">
      <c r="A134" s="24" t="n">
        <v>46307</v>
      </c>
      <c r="B134" s="17" t="inlineStr">
        <is>
          <t>ponedjeljak</t>
        </is>
      </c>
      <c r="C134" s="10" t="inlineStr">
        <is>
          <t>Reciklabilni otpad (papir, karton, plastika, metal)</t>
        </is>
      </c>
      <c r="D134" s="17" t="n"/>
    </row>
    <row r="135">
      <c r="A135" s="24" t="n">
        <v>46307</v>
      </c>
      <c r="B135" s="17" t="inlineStr">
        <is>
          <t>ponedjeljak</t>
        </is>
      </c>
      <c r="C135" s="11" t="inlineStr">
        <is>
          <t>Staklena ambalaža (prozirne vrećice pored spremnika)</t>
        </is>
      </c>
      <c r="D135" s="17" t="n"/>
    </row>
    <row r="136">
      <c r="A136" s="24" t="n">
        <v>46314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46314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46321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46321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46321</v>
      </c>
      <c r="B140" s="17" t="inlineStr">
        <is>
          <t>ponedjeljak</t>
        </is>
      </c>
      <c r="C140" s="10" t="inlineStr">
        <is>
          <t>Reciklabilni otpad (papir, karton, plastika, metal)</t>
        </is>
      </c>
      <c r="D140" s="17" t="n"/>
    </row>
    <row r="141">
      <c r="A141" s="24" t="n">
        <v>46328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46328</v>
      </c>
      <c r="B142" s="17" t="inlineStr">
        <is>
          <t>ponedjeljak</t>
        </is>
      </c>
      <c r="C142" s="9" t="inlineStr">
        <is>
          <t>Biootpad</t>
        </is>
      </c>
      <c r="D142" s="17" t="n"/>
    </row>
    <row r="143">
      <c r="A143" s="24" t="n">
        <v>46335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46335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46335</v>
      </c>
      <c r="B145" s="17" t="inlineStr">
        <is>
          <t>ponedjeljak</t>
        </is>
      </c>
      <c r="C145" s="10" t="inlineStr">
        <is>
          <t>Reciklabilni otpad (papir, karton, plastika, metal)</t>
        </is>
      </c>
      <c r="D145" s="17" t="n"/>
    </row>
    <row r="146">
      <c r="A146" s="24" t="n">
        <v>46335</v>
      </c>
      <c r="B146" s="17" t="inlineStr">
        <is>
          <t>ponedjeljak</t>
        </is>
      </c>
      <c r="C146" s="11" t="inlineStr">
        <is>
          <t>Staklena ambalaža (prozirne vrećice pored spremnika)</t>
        </is>
      </c>
      <c r="D146" s="17" t="n"/>
    </row>
    <row r="147">
      <c r="A147" s="24" t="n">
        <v>46342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46342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46349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46349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46349</v>
      </c>
      <c r="B151" s="17" t="inlineStr">
        <is>
          <t>ponedjeljak</t>
        </is>
      </c>
      <c r="C151" s="10" t="inlineStr">
        <is>
          <t>Reciklabilni otpad (papir, karton, plastika, metal)</t>
        </is>
      </c>
      <c r="D151" s="17" t="n"/>
    </row>
    <row r="152">
      <c r="A152" s="24" t="n">
        <v>46356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46356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46363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46363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46363</v>
      </c>
      <c r="B156" s="17" t="inlineStr">
        <is>
          <t>ponedjeljak</t>
        </is>
      </c>
      <c r="C156" s="10" t="inlineStr">
        <is>
          <t>Reciklabilni otpad (papir, karton, plastika, metal)</t>
        </is>
      </c>
      <c r="D156" s="17" t="n"/>
    </row>
    <row r="157">
      <c r="A157" s="24" t="n">
        <v>46363</v>
      </c>
      <c r="B157" s="17" t="inlineStr">
        <is>
          <t>ponedjeljak</t>
        </is>
      </c>
      <c r="C157" s="11" t="inlineStr">
        <is>
          <t>Staklena ambalaža (prozirne vrećice pored spremnika)</t>
        </is>
      </c>
      <c r="D157" s="17" t="n"/>
    </row>
    <row r="158">
      <c r="A158" s="24" t="n">
        <v>46370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46370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4" t="n">
        <v>46377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46377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46377</v>
      </c>
      <c r="B162" s="17" t="inlineStr">
        <is>
          <t>ponedjeljak</t>
        </is>
      </c>
      <c r="C162" s="10" t="inlineStr">
        <is>
          <t>Reciklabilni otpad (papir, karton, plastika, metal)</t>
        </is>
      </c>
      <c r="D162" s="17" t="n"/>
    </row>
    <row r="163">
      <c r="A163" s="24" t="n">
        <v>46384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46384</v>
      </c>
      <c r="B164" s="17" t="inlineStr">
        <is>
          <t>ponedjeljak</t>
        </is>
      </c>
      <c r="C164" s="9" t="inlineStr">
        <is>
          <t>Biootpad</t>
        </is>
      </c>
      <c r="D164" s="17" t="n"/>
    </row>
  </sheetData>
  <autoFilter ref="A1:D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(Matulji): ulice i naselja</t>
        </is>
      </c>
    </row>
    <row r="2">
      <c r="A2" s="22" t="inlineStr">
        <is>
          <t>Centar Matulja, Kvarnerska cesta, Frlanija, Popovići, Šmogorska cesta, Osojnaki, Trtni</t>
        </is>
      </c>
    </row>
    <row r="4">
      <c r="A4" s="4" t="inlineStr">
        <is>
          <t>Ulica / naselje</t>
        </is>
      </c>
    </row>
    <row r="5">
      <c r="A5" s="17" t="inlineStr">
        <is>
          <t>Centar Matulja</t>
        </is>
      </c>
    </row>
    <row r="6">
      <c r="A6" s="17" t="inlineStr">
        <is>
          <t>Kvarnerska cesta</t>
        </is>
      </c>
    </row>
    <row r="7">
      <c r="A7" s="17" t="inlineStr">
        <is>
          <t>Frlanija</t>
        </is>
      </c>
    </row>
    <row r="8">
      <c r="A8" s="17" t="inlineStr">
        <is>
          <t>Popovići</t>
        </is>
      </c>
    </row>
    <row r="9">
      <c r="A9" s="17" t="inlineStr">
        <is>
          <t>Šmogorska cesta</t>
        </is>
      </c>
    </row>
    <row r="10">
      <c r="A10" s="17" t="inlineStr">
        <is>
          <t>Osojnaki</t>
        </is>
      </c>
    </row>
    <row r="11">
      <c r="A11" s="17" t="inlineStr">
        <is>
          <t>Trtni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
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'Raspored'!$A$4:$H$121</definedName>
    <definedName name="_xlnm._FilterDatabase" localSheetId="2" hidden="1">'Po vrsti'!$A$1:$D$159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IFERROR(1/(1/_xlfn.MINIFS(Raspored!$A$5:$A$121,Raspored!$D$5:$D$121,"x",Raspored!$A$5:$A$121,"&gt;="&amp;$B$3)),"nema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COUNTIF(Raspored!$D$5:$D$121,"x")</f>
        <v/>
      </c>
    </row>
    <row r="7">
      <c r="A7" s="9" t="inlineStr">
        <is>
          <t>Plastika i metal</t>
        </is>
      </c>
      <c r="B7" s="6">
        <f>IFERROR(1/(1/_xlfn.MINIFS(Raspored!$A$5:$A$121,Raspored!$E$5:$E$121,"x",Raspored!$A$5:$A$121,"&gt;="&amp;$B$3)),"nema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COUNTIF(Raspored!$E$5:$E$121,"x")</f>
        <v/>
      </c>
    </row>
    <row r="8">
      <c r="A8" s="10" t="inlineStr">
        <is>
          <t>Papir i karton</t>
        </is>
      </c>
      <c r="B8" s="6">
        <f>IFERROR(1/(1/_xlfn.MINIFS(Raspored!$A$5:$A$121,Raspored!$F$5:$F$121,"x",Raspored!$A$5:$A$121,"&gt;="&amp;$B$3)),"nema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COUNTIF(Raspored!$F$5:$F$121,"x")</f>
        <v/>
      </c>
    </row>
    <row r="9">
      <c r="A9" s="11" t="inlineStr">
        <is>
          <t>Staklo</t>
        </is>
      </c>
      <c r="B9" s="6">
        <f>IFERROR(1/(1/_xlfn.MINIFS(Raspored!$A$5:$A$121,Raspored!$G$5:$G$121,"x",Raspored!$A$5:$A$121,"&gt;="&amp;$B$3)),"nema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COUNTIFS(Raspored!$C$5:$C$121,$A13,Raspored!$D$5:$D$121,"x")</f>
        <v/>
      </c>
      <c r="C13" s="7">
        <f>COUNTIFS(Raspored!$C$5:$C$121,$A13,Raspored!$E$5:$E$121,"x")</f>
        <v/>
      </c>
      <c r="D13" s="7">
        <f>COUNTIFS(Raspored!$C$5:$C$121,$A13,Raspored!$F$5:$F$121,"x")</f>
        <v/>
      </c>
      <c r="E13" s="7">
        <f>COUNTIFS(Raspored!$C$5:$C$121,$A13,Raspored!$G$5:$G$121,"x")</f>
        <v/>
      </c>
    </row>
    <row r="14">
      <c r="A14" s="17" t="inlineStr">
        <is>
          <t>veljača</t>
        </is>
      </c>
      <c r="B14" s="7">
        <f>COUNTIFS(Raspored!$C$5:$C$121,$A14,Raspored!$D$5:$D$121,"x")</f>
        <v/>
      </c>
      <c r="C14" s="7">
        <f>COUNTIFS(Raspored!$C$5:$C$121,$A14,Raspored!$E$5:$E$121,"x")</f>
        <v/>
      </c>
      <c r="D14" s="7">
        <f>COUNTIFS(Raspored!$C$5:$C$121,$A14,Raspored!$F$5:$F$121,"x")</f>
        <v/>
      </c>
      <c r="E14" s="7">
        <f>COUNTIFS(Raspored!$C$5:$C$121,$A14,Raspored!$G$5:$G$121,"x")</f>
        <v/>
      </c>
    </row>
    <row r="15">
      <c r="A15" s="17" t="inlineStr">
        <is>
          <t>ožujak</t>
        </is>
      </c>
      <c r="B15" s="7">
        <f>COUNTIFS(Raspored!$C$5:$C$121,$A15,Raspored!$D$5:$D$121,"x")</f>
        <v/>
      </c>
      <c r="C15" s="7">
        <f>COUNTIFS(Raspored!$C$5:$C$121,$A15,Raspored!$E$5:$E$121,"x")</f>
        <v/>
      </c>
      <c r="D15" s="7">
        <f>COUNTIFS(Raspored!$C$5:$C$121,$A15,Raspored!$F$5:$F$121,"x")</f>
        <v/>
      </c>
      <c r="E15" s="7">
        <f>COUNTIFS(Raspored!$C$5:$C$121,$A15,Raspored!$G$5:$G$121,"x")</f>
        <v/>
      </c>
    </row>
    <row r="16">
      <c r="A16" s="17" t="inlineStr">
        <is>
          <t>travanj</t>
        </is>
      </c>
      <c r="B16" s="7">
        <f>COUNTIFS(Raspored!$C$5:$C$121,$A16,Raspored!$D$5:$D$121,"x")</f>
        <v/>
      </c>
      <c r="C16" s="7">
        <f>COUNTIFS(Raspored!$C$5:$C$121,$A16,Raspored!$E$5:$E$121,"x")</f>
        <v/>
      </c>
      <c r="D16" s="7">
        <f>COUNTIFS(Raspored!$C$5:$C$121,$A16,Raspored!$F$5:$F$121,"x")</f>
        <v/>
      </c>
      <c r="E16" s="7">
        <f>COUNTIFS(Raspored!$C$5:$C$121,$A16,Raspored!$G$5:$G$121,"x")</f>
        <v/>
      </c>
    </row>
    <row r="17">
      <c r="A17" s="17" t="inlineStr">
        <is>
          <t>svibanj</t>
        </is>
      </c>
      <c r="B17" s="7">
        <f>COUNTIFS(Raspored!$C$5:$C$121,$A17,Raspored!$D$5:$D$121,"x")</f>
        <v/>
      </c>
      <c r="C17" s="7">
        <f>COUNTIFS(Raspored!$C$5:$C$121,$A17,Raspored!$E$5:$E$121,"x")</f>
        <v/>
      </c>
      <c r="D17" s="7">
        <f>COUNTIFS(Raspored!$C$5:$C$121,$A17,Raspored!$F$5:$F$121,"x")</f>
        <v/>
      </c>
      <c r="E17" s="7">
        <f>COUNTIFS(Raspored!$C$5:$C$121,$A17,Raspored!$G$5:$G$121,"x")</f>
        <v/>
      </c>
    </row>
    <row r="18">
      <c r="A18" s="17" t="inlineStr">
        <is>
          <t>lipanj</t>
        </is>
      </c>
      <c r="B18" s="7">
        <f>COUNTIFS(Raspored!$C$5:$C$121,$A18,Raspored!$D$5:$D$121,"x")</f>
        <v/>
      </c>
      <c r="C18" s="7">
        <f>COUNTIFS(Raspored!$C$5:$C$121,$A18,Raspored!$E$5:$E$121,"x")</f>
        <v/>
      </c>
      <c r="D18" s="7">
        <f>COUNTIFS(Raspored!$C$5:$C$121,$A18,Raspored!$F$5:$F$121,"x")</f>
        <v/>
      </c>
      <c r="E18" s="7">
        <f>COUNTIFS(Raspored!$C$5:$C$121,$A18,Raspored!$G$5:$G$121,"x")</f>
        <v/>
      </c>
    </row>
    <row r="19">
      <c r="A19" s="17" t="inlineStr">
        <is>
          <t>srpanj</t>
        </is>
      </c>
      <c r="B19" s="7">
        <f>COUNTIFS(Raspored!$C$5:$C$121,$A19,Raspored!$D$5:$D$121,"x")</f>
        <v/>
      </c>
      <c r="C19" s="7">
        <f>COUNTIFS(Raspored!$C$5:$C$121,$A19,Raspored!$E$5:$E$121,"x")</f>
        <v/>
      </c>
      <c r="D19" s="7">
        <f>COUNTIFS(Raspored!$C$5:$C$121,$A19,Raspored!$F$5:$F$121,"x")</f>
        <v/>
      </c>
      <c r="E19" s="7">
        <f>COUNTIFS(Raspored!$C$5:$C$121,$A19,Raspored!$G$5:$G$121,"x")</f>
        <v/>
      </c>
    </row>
    <row r="20">
      <c r="A20" s="17" t="inlineStr">
        <is>
          <t>kolovoz</t>
        </is>
      </c>
      <c r="B20" s="7">
        <f>COUNTIFS(Raspored!$C$5:$C$121,$A20,Raspored!$D$5:$D$121,"x")</f>
        <v/>
      </c>
      <c r="C20" s="7">
        <f>COUNTIFS(Raspored!$C$5:$C$121,$A20,Raspored!$E$5:$E$121,"x")</f>
        <v/>
      </c>
      <c r="D20" s="7">
        <f>COUNTIFS(Raspored!$C$5:$C$121,$A20,Raspored!$F$5:$F$121,"x")</f>
        <v/>
      </c>
      <c r="E20" s="7">
        <f>COUNTIFS(Raspored!$C$5:$C$121,$A20,Raspored!$G$5:$G$121,"x")</f>
        <v/>
      </c>
    </row>
    <row r="21">
      <c r="A21" s="17" t="inlineStr">
        <is>
          <t>rujan</t>
        </is>
      </c>
      <c r="B21" s="7">
        <f>COUNTIFS(Raspored!$C$5:$C$121,$A21,Raspored!$D$5:$D$121,"x")</f>
        <v/>
      </c>
      <c r="C21" s="7">
        <f>COUNTIFS(Raspored!$C$5:$C$121,$A21,Raspored!$E$5:$E$121,"x")</f>
        <v/>
      </c>
      <c r="D21" s="7">
        <f>COUNTIFS(Raspored!$C$5:$C$121,$A21,Raspored!$F$5:$F$121,"x")</f>
        <v/>
      </c>
      <c r="E21" s="7">
        <f>COUNTIFS(Raspored!$C$5:$C$121,$A21,Raspored!$G$5:$G$121,"x")</f>
        <v/>
      </c>
    </row>
    <row r="22">
      <c r="A22" s="17" t="inlineStr">
        <is>
          <t>listopad</t>
        </is>
      </c>
      <c r="B22" s="7">
        <f>COUNTIFS(Raspored!$C$5:$C$121,$A22,Raspored!$D$5:$D$121,"x")</f>
        <v/>
      </c>
      <c r="C22" s="7">
        <f>COUNTIFS(Raspored!$C$5:$C$121,$A22,Raspored!$E$5:$E$121,"x")</f>
        <v/>
      </c>
      <c r="D22" s="7">
        <f>COUNTIFS(Raspored!$C$5:$C$121,$A22,Raspored!$F$5:$F$121,"x")</f>
        <v/>
      </c>
      <c r="E22" s="7">
        <f>COUNTIFS(Raspored!$C$5:$C$121,$A22,Raspored!$G$5:$G$121,"x")</f>
        <v/>
      </c>
    </row>
    <row r="23">
      <c r="A23" s="17" t="inlineStr">
        <is>
          <t>studeni</t>
        </is>
      </c>
      <c r="B23" s="7">
        <f>COUNTIFS(Raspored!$C$5:$C$121,$A23,Raspored!$D$5:$D$121,"x")</f>
        <v/>
      </c>
      <c r="C23" s="7">
        <f>COUNTIFS(Raspored!$C$5:$C$121,$A23,Raspored!$E$5:$E$121,"x")</f>
        <v/>
      </c>
      <c r="D23" s="7">
        <f>COUNTIFS(Raspored!$C$5:$C$121,$A23,Raspored!$F$5:$F$121,"x")</f>
        <v/>
      </c>
      <c r="E23" s="7">
        <f>COUNTIFS(Raspored!$C$5:$C$121,$A23,Raspored!$G$5:$G$121,"x")</f>
        <v/>
      </c>
    </row>
    <row r="24">
      <c r="A24" s="17" t="inlineStr">
        <is>
          <t>prosinac</t>
        </is>
      </c>
      <c r="B24" s="7">
        <f>COUNTIFS(Raspored!$C$5:$C$121,$A24,Raspored!$D$5:$D$121,"x")</f>
        <v/>
      </c>
      <c r="C24" s="7">
        <f>COUNTIFS(Raspored!$C$5:$C$121,$A24,Raspored!$E$5:$E$121,"x")</f>
        <v/>
      </c>
      <c r="D24" s="7">
        <f>COUNTIFS(Raspored!$C$5:$C$121,$A24,Raspored!$F$5:$F$121,"x")</f>
        <v/>
      </c>
      <c r="E24" s="7">
        <f>COUNTIFS(Raspored!$C$5:$C$121,$A24,Raspored!$G$5:$G$121,"x")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Općina Marina: plastika, papir i staklo odvoze se odvojeno prema datumima iz rasporeda; miješani otpad prema danima u tjednu.</t>
        </is>
      </c>
    </row>
    <row r="30">
      <c r="A30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1">
      <c r="A31" s="21" t="inlineStr">
        <is>
          <t>• Pomaci zbog blagdana ugrađeni su u objavljene datume. Za tjedni odvoz miješanog otpada u Općini Marina pomaci zbog blagdana nisu objavljeni.</t>
        </is>
      </c>
    </row>
    <row r="32">
      <c r="A32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3">
      <c r="A33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7 (Marina)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24" t="n">
        <v>46027</v>
      </c>
      <c r="B6" s="25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46077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46080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46087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46091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46098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46105</v>
      </c>
      <c r="B32" s="7" t="inlineStr">
        <is>
          <t>utorak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46108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46112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46115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46119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24" t="n">
        <v>46122</v>
      </c>
      <c r="B37" s="25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inlineStr">
        <is>
          <t>Pomaknuto zbog neradnog dana u tjednu</t>
        </is>
      </c>
    </row>
    <row r="38">
      <c r="A38" s="6" t="n">
        <v>46126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46129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46133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46140</v>
      </c>
      <c r="B43" s="7" t="inlineStr">
        <is>
          <t>utorak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46143</v>
      </c>
      <c r="B44" s="7" t="inlineStr">
        <is>
          <t>petak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46147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46150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46154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46161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46167</v>
      </c>
      <c r="B51" s="7" t="inlineStr">
        <is>
          <t>ponedjeljak</t>
        </is>
      </c>
      <c r="C51" s="7" t="inlineStr">
        <is>
          <t>svibanj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46168</v>
      </c>
      <c r="B52" s="7" t="inlineStr">
        <is>
          <t>utorak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46171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46175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46178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46182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46185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46189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46192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46196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46202</v>
      </c>
      <c r="B62" s="7" t="inlineStr">
        <is>
          <t>ponedjeljak</t>
        </is>
      </c>
      <c r="C62" s="7" t="inlineStr">
        <is>
          <t>lipanj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46203</v>
      </c>
      <c r="B63" s="7" t="inlineStr">
        <is>
          <t>utorak</t>
        </is>
      </c>
      <c r="C63" s="7" t="inlineStr">
        <is>
          <t>lipanj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46206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46210</v>
      </c>
      <c r="B65" s="7" t="inlineStr">
        <is>
          <t>utorak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  <row r="66">
      <c r="A66" s="6" t="n">
        <v>46213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46217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46220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46224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3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46231</v>
      </c>
      <c r="B72" s="7" t="inlineStr">
        <is>
          <t>utorak</t>
        </is>
      </c>
      <c r="C72" s="7" t="inlineStr">
        <is>
          <t>srpanj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46234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46238</v>
      </c>
      <c r="B74" s="7" t="inlineStr">
        <is>
          <t>utorak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23" t="n"/>
    </row>
    <row r="75">
      <c r="A75" s="6" t="n">
        <v>46241</v>
      </c>
      <c r="B75" s="7" t="inlineStr">
        <is>
          <t>petak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46245</v>
      </c>
      <c r="B76" s="7" t="inlineStr">
        <is>
          <t>utorak</t>
        </is>
      </c>
      <c r="C76" s="7" t="inlineStr">
        <is>
          <t>kolovoz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46248</v>
      </c>
      <c r="B77" s="7" t="inlineStr">
        <is>
          <t>petak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46252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23" t="n"/>
    </row>
    <row r="79">
      <c r="A79" s="6" t="n">
        <v>46255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46258</v>
      </c>
      <c r="B80" s="7" t="inlineStr">
        <is>
          <t>ponedjeljak</t>
        </is>
      </c>
      <c r="C80" s="7" t="inlineStr">
        <is>
          <t>kolovoz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46259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46262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46266</v>
      </c>
      <c r="B83" s="7" t="inlineStr">
        <is>
          <t>utorak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inlineStr">
        <is>
          <t>x</t>
        </is>
      </c>
      <c r="G83" s="7" t="n"/>
      <c r="H83" s="23" t="n"/>
    </row>
    <row r="84">
      <c r="A84" s="6" t="n">
        <v>46269</v>
      </c>
      <c r="B84" s="7" t="inlineStr">
        <is>
          <t>petak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46273</v>
      </c>
      <c r="B85" s="7" t="inlineStr">
        <is>
          <t>utorak</t>
        </is>
      </c>
      <c r="C85" s="7" t="inlineStr">
        <is>
          <t>rujan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46276</v>
      </c>
      <c r="B86" s="7" t="inlineStr">
        <is>
          <t>petak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46280</v>
      </c>
      <c r="B87" s="7" t="inlineStr">
        <is>
          <t>utorak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3" t="n"/>
    </row>
    <row r="88">
      <c r="A88" s="6" t="n">
        <v>46283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46287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46290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46293</v>
      </c>
      <c r="B91" s="7" t="inlineStr">
        <is>
          <t>ponedjeljak</t>
        </is>
      </c>
      <c r="C91" s="7" t="inlineStr">
        <is>
          <t>rujan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46294</v>
      </c>
      <c r="B92" s="7" t="inlineStr">
        <is>
          <t>utorak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46297</v>
      </c>
      <c r="B93" s="7" t="inlineStr">
        <is>
          <t>petak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46301</v>
      </c>
      <c r="B94" s="7" t="inlineStr">
        <is>
          <t>utorak</t>
        </is>
      </c>
      <c r="C94" s="7" t="inlineStr">
        <is>
          <t>listopad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46304</v>
      </c>
      <c r="B95" s="7" t="inlineStr">
        <is>
          <t>petak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46308</v>
      </c>
      <c r="B96" s="7" t="inlineStr">
        <is>
          <t>utorak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46311</v>
      </c>
      <c r="B97" s="7" t="inlineStr">
        <is>
          <t>petak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46315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46318</v>
      </c>
      <c r="B99" s="7" t="inlineStr">
        <is>
          <t>petak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46321</v>
      </c>
      <c r="B100" s="7" t="inlineStr">
        <is>
          <t>ponedjeljak</t>
        </is>
      </c>
      <c r="C100" s="7" t="inlineStr">
        <is>
          <t>listopad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46322</v>
      </c>
      <c r="B101" s="7" t="inlineStr">
        <is>
          <t>utorak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46325</v>
      </c>
      <c r="B102" s="7" t="inlineStr">
        <is>
          <t>petak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46329</v>
      </c>
      <c r="B103" s="7" t="inlineStr">
        <is>
          <t>utorak</t>
        </is>
      </c>
      <c r="C103" s="7" t="inlineStr">
        <is>
          <t>studeni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46332</v>
      </c>
      <c r="B104" s="7" t="inlineStr">
        <is>
          <t>petak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46336</v>
      </c>
      <c r="B105" s="7" t="inlineStr">
        <is>
          <t>utorak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23" t="n"/>
    </row>
    <row r="106">
      <c r="A106" s="6" t="n">
        <v>46339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46343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46346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46349</v>
      </c>
      <c r="B109" s="7" t="inlineStr">
        <is>
          <t>ponedjeljak</t>
        </is>
      </c>
      <c r="C109" s="7" t="inlineStr">
        <is>
          <t>studeni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46350</v>
      </c>
      <c r="B110" s="7" t="inlineStr">
        <is>
          <t>utorak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46353</v>
      </c>
      <c r="B111" s="7" t="inlineStr">
        <is>
          <t>petak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46357</v>
      </c>
      <c r="B112" s="7" t="inlineStr">
        <is>
          <t>utorak</t>
        </is>
      </c>
      <c r="C112" s="7" t="inlineStr">
        <is>
          <t>prosinac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46360</v>
      </c>
      <c r="B113" s="7" t="inlineStr">
        <is>
          <t>petak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46364</v>
      </c>
      <c r="B114" s="7" t="inlineStr">
        <is>
          <t>utorak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inlineStr">
        <is>
          <t>x</t>
        </is>
      </c>
      <c r="G114" s="7" t="n"/>
      <c r="H114" s="23" t="n"/>
    </row>
    <row r="115">
      <c r="A115" s="6" t="n">
        <v>46367</v>
      </c>
      <c r="B115" s="7" t="inlineStr">
        <is>
          <t>petak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46371</v>
      </c>
      <c r="B116" s="7" t="inlineStr">
        <is>
          <t>utorak</t>
        </is>
      </c>
      <c r="C116" s="7" t="inlineStr">
        <is>
          <t>prosinac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46374</v>
      </c>
      <c r="B117" s="7" t="inlineStr">
        <is>
          <t>petak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46378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46381</v>
      </c>
      <c r="B119" s="7" t="inlineStr">
        <is>
          <t>petak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46384</v>
      </c>
      <c r="B120" s="7" t="inlineStr">
        <is>
          <t>ponedjeljak</t>
        </is>
      </c>
      <c r="C120" s="7" t="inlineStr">
        <is>
          <t>prosinac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46385</v>
      </c>
      <c r="B121" s="7" t="inlineStr">
        <is>
          <t>utorak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7" t="n"/>
      <c r="H121" s="23" t="n"/>
    </row>
  </sheetData>
  <autoFilter ref="A4:H121"/>
  <conditionalFormatting sqref="D5:D121">
    <cfRule type="expression" priority="1" dxfId="0">
      <formula>D5="x"</formula>
    </cfRule>
  </conditionalFormatting>
  <conditionalFormatting sqref="E5:E121">
    <cfRule type="expression" priority="2" dxfId="1">
      <formula>E5="x"</formula>
    </cfRule>
  </conditionalFormatting>
  <conditionalFormatting sqref="F5:F121">
    <cfRule type="expression" priority="3" dxfId="2">
      <formula>F5="x"</formula>
    </cfRule>
  </conditionalFormatting>
  <conditionalFormatting sqref="G5:G121">
    <cfRule type="expression" priority="4" dxfId="3">
      <formula>G5="x"</formula>
    </cfRule>
  </conditionalFormatting>
  <conditionalFormatting sqref="A5:H12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9" t="inlineStr">
        <is>
          <t>Plastika i metal</t>
        </is>
      </c>
      <c r="D3" s="17" t="inlineStr">
        <is>
          <t>Pomaknuto zbog neradnog dana u tjednu</t>
        </is>
      </c>
    </row>
    <row r="4">
      <c r="A4" s="26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46035</v>
      </c>
      <c r="B7" s="17" t="inlineStr">
        <is>
          <t>utorak</t>
        </is>
      </c>
      <c r="C7" s="10" t="inlineStr">
        <is>
          <t>Papir i karton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46042</v>
      </c>
      <c r="B10" s="17" t="inlineStr">
        <is>
          <t>utorak</t>
        </is>
      </c>
      <c r="C10" s="9" t="inlineStr">
        <is>
          <t>Plastika i metal</t>
        </is>
      </c>
      <c r="D10" s="17" t="n"/>
    </row>
    <row r="11">
      <c r="A11" s="26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46048</v>
      </c>
      <c r="B12" s="17" t="inlineStr">
        <is>
          <t>ponedjeljak</t>
        </is>
      </c>
      <c r="C12" s="11" t="inlineStr">
        <is>
          <t>Staklo</t>
        </is>
      </c>
      <c r="D12" s="17" t="n"/>
    </row>
    <row r="13">
      <c r="A13" s="26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46056</v>
      </c>
      <c r="B16" s="17" t="inlineStr">
        <is>
          <t>utorak</t>
        </is>
      </c>
      <c r="C16" s="9" t="inlineStr">
        <is>
          <t>Plastika i metal</t>
        </is>
      </c>
      <c r="D16" s="17" t="n"/>
    </row>
    <row r="17">
      <c r="A17" s="26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46063</v>
      </c>
      <c r="B19" s="17" t="inlineStr">
        <is>
          <t>utorak</t>
        </is>
      </c>
      <c r="C19" s="10" t="inlineStr">
        <is>
          <t>Papir i karton</t>
        </is>
      </c>
      <c r="D19" s="17" t="n"/>
    </row>
    <row r="20">
      <c r="A20" s="26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46070</v>
      </c>
      <c r="B22" s="17" t="inlineStr">
        <is>
          <t>utorak</t>
        </is>
      </c>
      <c r="C22" s="9" t="inlineStr">
        <is>
          <t>Plastika i metal</t>
        </is>
      </c>
      <c r="D22" s="17" t="n"/>
    </row>
    <row r="23">
      <c r="A23" s="26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46076</v>
      </c>
      <c r="B24" s="17" t="inlineStr">
        <is>
          <t>ponedjeljak</t>
        </is>
      </c>
      <c r="C24" s="11" t="inlineStr">
        <is>
          <t>Staklo</t>
        </is>
      </c>
      <c r="D24" s="17" t="n"/>
    </row>
    <row r="25">
      <c r="A25" s="26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46084</v>
      </c>
      <c r="B28" s="17" t="inlineStr">
        <is>
          <t>utorak</t>
        </is>
      </c>
      <c r="C28" s="9" t="inlineStr">
        <is>
          <t>Plastika i metal</t>
        </is>
      </c>
      <c r="D28" s="17" t="n"/>
    </row>
    <row r="29">
      <c r="A29" s="26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46091</v>
      </c>
      <c r="B31" s="17" t="inlineStr">
        <is>
          <t>utorak</t>
        </is>
      </c>
      <c r="C31" s="10" t="inlineStr">
        <is>
          <t>Papir i karton</t>
        </is>
      </c>
      <c r="D31" s="17" t="n"/>
    </row>
    <row r="32">
      <c r="A32" s="26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46098</v>
      </c>
      <c r="B34" s="17" t="inlineStr">
        <is>
          <t>utorak</t>
        </is>
      </c>
      <c r="C34" s="9" t="inlineStr">
        <is>
          <t>Plastika i metal</t>
        </is>
      </c>
      <c r="D34" s="17" t="n"/>
    </row>
    <row r="35">
      <c r="A35" s="26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46104</v>
      </c>
      <c r="B36" s="17" t="inlineStr">
        <is>
          <t>ponedjeljak</t>
        </is>
      </c>
      <c r="C36" s="11" t="inlineStr">
        <is>
          <t>Staklo</t>
        </is>
      </c>
      <c r="D36" s="17" t="n"/>
    </row>
    <row r="37">
      <c r="A37" s="26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46112</v>
      </c>
      <c r="B40" s="17" t="inlineStr">
        <is>
          <t>utorak</t>
        </is>
      </c>
      <c r="C40" s="9" t="inlineStr">
        <is>
          <t>Plastika i metal</t>
        </is>
      </c>
      <c r="D40" s="17" t="n"/>
    </row>
    <row r="41">
      <c r="A41" s="26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46122</v>
      </c>
      <c r="B43" s="17" t="inlineStr">
        <is>
          <t>petak</t>
        </is>
      </c>
      <c r="C43" s="5" t="inlineStr">
        <is>
          <t>Miješani komunalni otpad</t>
        </is>
      </c>
      <c r="D43" s="17" t="inlineStr">
        <is>
          <t>Pomaknuto zbog neradnog dana u tjednu</t>
        </is>
      </c>
    </row>
    <row r="44">
      <c r="A44" s="26" t="n">
        <v>46122</v>
      </c>
      <c r="B44" s="17" t="inlineStr">
        <is>
          <t>petak</t>
        </is>
      </c>
      <c r="C44" s="10" t="inlineStr">
        <is>
          <t>Papir i karton</t>
        </is>
      </c>
      <c r="D44" s="17" t="inlineStr">
        <is>
          <t>Pomaknuto zbog neradnog dana u tjednu</t>
        </is>
      </c>
    </row>
    <row r="45">
      <c r="A45" s="26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46126</v>
      </c>
      <c r="B46" s="17" t="inlineStr">
        <is>
          <t>utorak</t>
        </is>
      </c>
      <c r="C46" s="9" t="inlineStr">
        <is>
          <t>Plastika i metal</t>
        </is>
      </c>
      <c r="D46" s="17" t="n"/>
    </row>
    <row r="47">
      <c r="A47" s="26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46136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46139</v>
      </c>
      <c r="B50" s="17" t="inlineStr">
        <is>
          <t>ponedjeljak</t>
        </is>
      </c>
      <c r="C50" s="11" t="inlineStr">
        <is>
          <t>Staklo</t>
        </is>
      </c>
      <c r="D50" s="17" t="n"/>
    </row>
    <row r="51">
      <c r="A51" s="26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46147</v>
      </c>
      <c r="B54" s="17" t="inlineStr">
        <is>
          <t>utorak</t>
        </is>
      </c>
      <c r="C54" s="9" t="inlineStr">
        <is>
          <t>Plastika i metal</t>
        </is>
      </c>
      <c r="D54" s="17" t="n"/>
    </row>
    <row r="55">
      <c r="A55" s="26" t="n">
        <v>46150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46154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46154</v>
      </c>
      <c r="B57" s="17" t="inlineStr">
        <is>
          <t>utorak</t>
        </is>
      </c>
      <c r="C57" s="10" t="inlineStr">
        <is>
          <t>Papir i karton</t>
        </is>
      </c>
      <c r="D57" s="17" t="n"/>
    </row>
    <row r="58">
      <c r="A58" s="26" t="n">
        <v>46157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46161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46161</v>
      </c>
      <c r="B60" s="17" t="inlineStr">
        <is>
          <t>utorak</t>
        </is>
      </c>
      <c r="C60" s="9" t="inlineStr">
        <is>
          <t>Plastika i metal</t>
        </is>
      </c>
      <c r="D60" s="17" t="n"/>
    </row>
    <row r="61">
      <c r="A61" s="26" t="n">
        <v>46164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46167</v>
      </c>
      <c r="B62" s="17" t="inlineStr">
        <is>
          <t>ponedjeljak</t>
        </is>
      </c>
      <c r="C62" s="11" t="inlineStr">
        <is>
          <t>Staklo</t>
        </is>
      </c>
      <c r="D62" s="17" t="n"/>
    </row>
    <row r="63">
      <c r="A63" s="26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46175</v>
      </c>
      <c r="B66" s="17" t="inlineStr">
        <is>
          <t>utorak</t>
        </is>
      </c>
      <c r="C66" s="9" t="inlineStr">
        <is>
          <t>Plastika i metal</t>
        </is>
      </c>
      <c r="D66" s="17" t="n"/>
    </row>
    <row r="67">
      <c r="A67" s="26" t="n">
        <v>46178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46182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46182</v>
      </c>
      <c r="B69" s="17" t="inlineStr">
        <is>
          <t>utorak</t>
        </is>
      </c>
      <c r="C69" s="10" t="inlineStr">
        <is>
          <t>Papir i karton</t>
        </is>
      </c>
      <c r="D69" s="17" t="n"/>
    </row>
    <row r="70">
      <c r="A70" s="26" t="n">
        <v>46185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46189</v>
      </c>
      <c r="B72" s="17" t="inlineStr">
        <is>
          <t>utorak</t>
        </is>
      </c>
      <c r="C72" s="9" t="inlineStr">
        <is>
          <t>Plastika i metal</t>
        </is>
      </c>
      <c r="D72" s="17" t="n"/>
    </row>
    <row r="73">
      <c r="A73" s="26" t="n">
        <v>46192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46196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6" t="n">
        <v>46196</v>
      </c>
      <c r="B75" s="17" t="inlineStr">
        <is>
          <t>utorak</t>
        </is>
      </c>
      <c r="C75" s="10" t="inlineStr">
        <is>
          <t>Papir i karton</t>
        </is>
      </c>
      <c r="D75" s="17" t="n"/>
    </row>
    <row r="76">
      <c r="A76" s="26" t="n">
        <v>46199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46202</v>
      </c>
      <c r="B77" s="17" t="inlineStr">
        <is>
          <t>ponedjeljak</t>
        </is>
      </c>
      <c r="C77" s="11" t="inlineStr">
        <is>
          <t>Staklo</t>
        </is>
      </c>
      <c r="D77" s="17" t="n"/>
    </row>
    <row r="78">
      <c r="A78" s="26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6" t="n">
        <v>46203</v>
      </c>
      <c r="B79" s="17" t="inlineStr">
        <is>
          <t>utorak</t>
        </is>
      </c>
      <c r="C79" s="9" t="inlineStr">
        <is>
          <t>Plastika i metal</t>
        </is>
      </c>
      <c r="D79" s="17" t="n"/>
    </row>
    <row r="80">
      <c r="A80" s="26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46210</v>
      </c>
      <c r="B82" s="17" t="inlineStr">
        <is>
          <t>utorak</t>
        </is>
      </c>
      <c r="C82" s="10" t="inlineStr">
        <is>
          <t>Papir i karton</t>
        </is>
      </c>
      <c r="D82" s="17" t="n"/>
    </row>
    <row r="83">
      <c r="A83" s="26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46217</v>
      </c>
      <c r="B85" s="17" t="inlineStr">
        <is>
          <t>utorak</t>
        </is>
      </c>
      <c r="C85" s="9" t="inlineStr">
        <is>
          <t>Plastika i metal</t>
        </is>
      </c>
      <c r="D85" s="17" t="n"/>
    </row>
    <row r="86">
      <c r="A86" s="26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46224</v>
      </c>
      <c r="B88" s="17" t="inlineStr">
        <is>
          <t>utorak</t>
        </is>
      </c>
      <c r="C88" s="10" t="inlineStr">
        <is>
          <t>Papir i karton</t>
        </is>
      </c>
      <c r="D88" s="17" t="n"/>
    </row>
    <row r="89">
      <c r="A89" s="26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6" t="n">
        <v>46230</v>
      </c>
      <c r="B90" s="17" t="inlineStr">
        <is>
          <t>ponedjeljak</t>
        </is>
      </c>
      <c r="C90" s="11" t="inlineStr">
        <is>
          <t>Staklo</t>
        </is>
      </c>
      <c r="D90" s="17" t="n"/>
    </row>
    <row r="91">
      <c r="A91" s="26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46231</v>
      </c>
      <c r="B92" s="17" t="inlineStr">
        <is>
          <t>utorak</t>
        </is>
      </c>
      <c r="C92" s="9" t="inlineStr">
        <is>
          <t>Plastika i metal</t>
        </is>
      </c>
      <c r="D92" s="17" t="n"/>
    </row>
    <row r="93">
      <c r="A93" s="26" t="n">
        <v>46234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6" t="n">
        <v>46238</v>
      </c>
      <c r="B95" s="17" t="inlineStr">
        <is>
          <t>utorak</t>
        </is>
      </c>
      <c r="C95" s="10" t="inlineStr">
        <is>
          <t>Papir i karton</t>
        </is>
      </c>
      <c r="D95" s="17" t="n"/>
    </row>
    <row r="96">
      <c r="A96" s="26" t="n">
        <v>46241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46245</v>
      </c>
      <c r="B98" s="17" t="inlineStr">
        <is>
          <t>utorak</t>
        </is>
      </c>
      <c r="C98" s="9" t="inlineStr">
        <is>
          <t>Plastika i metal</t>
        </is>
      </c>
      <c r="D98" s="17" t="n"/>
    </row>
    <row r="99">
      <c r="A99" s="26" t="n">
        <v>46248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6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6" t="n">
        <v>46252</v>
      </c>
      <c r="B101" s="17" t="inlineStr">
        <is>
          <t>utorak</t>
        </is>
      </c>
      <c r="C101" s="10" t="inlineStr">
        <is>
          <t>Papir i karton</t>
        </is>
      </c>
      <c r="D101" s="17" t="n"/>
    </row>
    <row r="102">
      <c r="A102" s="26" t="n">
        <v>46255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46258</v>
      </c>
      <c r="B103" s="17" t="inlineStr">
        <is>
          <t>ponedjeljak</t>
        </is>
      </c>
      <c r="C103" s="11" t="inlineStr">
        <is>
          <t>Staklo</t>
        </is>
      </c>
      <c r="D103" s="17" t="n"/>
    </row>
    <row r="104">
      <c r="A104" s="26" t="n">
        <v>46259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6" t="n">
        <v>46259</v>
      </c>
      <c r="B105" s="17" t="inlineStr">
        <is>
          <t>utorak</t>
        </is>
      </c>
      <c r="C105" s="9" t="inlineStr">
        <is>
          <t>Plastika i metal</t>
        </is>
      </c>
      <c r="D105" s="17" t="n"/>
    </row>
    <row r="106">
      <c r="A106" s="26" t="n">
        <v>46262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46266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46266</v>
      </c>
      <c r="B108" s="17" t="inlineStr">
        <is>
          <t>utorak</t>
        </is>
      </c>
      <c r="C108" s="10" t="inlineStr">
        <is>
          <t>Papir i karton</t>
        </is>
      </c>
      <c r="D108" s="17" t="n"/>
    </row>
    <row r="109">
      <c r="A109" s="26" t="n">
        <v>46269</v>
      </c>
      <c r="B109" s="17" t="inlineStr">
        <is>
          <t>petak</t>
        </is>
      </c>
      <c r="C109" s="5" t="inlineStr">
        <is>
          <t>Miješani komunalni otpad</t>
        </is>
      </c>
      <c r="D109" s="17" t="n"/>
    </row>
    <row r="110">
      <c r="A110" s="26" t="n">
        <v>46273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6" t="n">
        <v>46273</v>
      </c>
      <c r="B111" s="17" t="inlineStr">
        <is>
          <t>utorak</t>
        </is>
      </c>
      <c r="C111" s="9" t="inlineStr">
        <is>
          <t>Plastika i metal</t>
        </is>
      </c>
      <c r="D111" s="17" t="n"/>
    </row>
    <row r="112">
      <c r="A112" s="26" t="n">
        <v>46276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46280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46280</v>
      </c>
      <c r="B114" s="17" t="inlineStr">
        <is>
          <t>utorak</t>
        </is>
      </c>
      <c r="C114" s="10" t="inlineStr">
        <is>
          <t>Papir i karton</t>
        </is>
      </c>
      <c r="D114" s="17" t="n"/>
    </row>
    <row r="115">
      <c r="A115" s="26" t="n">
        <v>46283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6" t="n">
        <v>46287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6" t="n">
        <v>46287</v>
      </c>
      <c r="B117" s="17" t="inlineStr">
        <is>
          <t>utorak</t>
        </is>
      </c>
      <c r="C117" s="9" t="inlineStr">
        <is>
          <t>Plastika i metal</t>
        </is>
      </c>
      <c r="D117" s="17" t="n"/>
    </row>
    <row r="118">
      <c r="A118" s="26" t="n">
        <v>46290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46293</v>
      </c>
      <c r="B119" s="17" t="inlineStr">
        <is>
          <t>ponedjeljak</t>
        </is>
      </c>
      <c r="C119" s="11" t="inlineStr">
        <is>
          <t>Staklo</t>
        </is>
      </c>
      <c r="D119" s="17" t="n"/>
    </row>
    <row r="120">
      <c r="A120" s="26" t="n">
        <v>46294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6" t="n">
        <v>46294</v>
      </c>
      <c r="B121" s="17" t="inlineStr">
        <is>
          <t>utorak</t>
        </is>
      </c>
      <c r="C121" s="10" t="inlineStr">
        <is>
          <t>Papir i karton</t>
        </is>
      </c>
      <c r="D121" s="17" t="n"/>
    </row>
    <row r="122">
      <c r="A122" s="26" t="n">
        <v>46297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46301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6" t="n">
        <v>46301</v>
      </c>
      <c r="B124" s="17" t="inlineStr">
        <is>
          <t>utorak</t>
        </is>
      </c>
      <c r="C124" s="9" t="inlineStr">
        <is>
          <t>Plastika i metal</t>
        </is>
      </c>
      <c r="D124" s="17" t="n"/>
    </row>
    <row r="125">
      <c r="A125" s="26" t="n">
        <v>46304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6" t="n">
        <v>46308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46308</v>
      </c>
      <c r="B127" s="17" t="inlineStr">
        <is>
          <t>utorak</t>
        </is>
      </c>
      <c r="C127" s="10" t="inlineStr">
        <is>
          <t>Papir i karton</t>
        </is>
      </c>
      <c r="D127" s="17" t="n"/>
    </row>
    <row r="128">
      <c r="A128" s="26" t="n">
        <v>46311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46315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46315</v>
      </c>
      <c r="B130" s="17" t="inlineStr">
        <is>
          <t>utorak</t>
        </is>
      </c>
      <c r="C130" s="9" t="inlineStr">
        <is>
          <t>Plastika i metal</t>
        </is>
      </c>
      <c r="D130" s="17" t="n"/>
    </row>
    <row r="131">
      <c r="A131" s="26" t="n">
        <v>46318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6" t="n">
        <v>46321</v>
      </c>
      <c r="B132" s="17" t="inlineStr">
        <is>
          <t>ponedjeljak</t>
        </is>
      </c>
      <c r="C132" s="11" t="inlineStr">
        <is>
          <t>Staklo</t>
        </is>
      </c>
      <c r="D132" s="17" t="n"/>
    </row>
    <row r="133">
      <c r="A133" s="26" t="n">
        <v>46322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6" t="n">
        <v>46325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6" t="n">
        <v>46329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46329</v>
      </c>
      <c r="B136" s="17" t="inlineStr">
        <is>
          <t>utorak</t>
        </is>
      </c>
      <c r="C136" s="9" t="inlineStr">
        <is>
          <t>Plastika i metal</t>
        </is>
      </c>
      <c r="D136" s="17" t="n"/>
    </row>
    <row r="137">
      <c r="A137" s="26" t="n">
        <v>46332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6" t="n">
        <v>46336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6" t="n">
        <v>46336</v>
      </c>
      <c r="B139" s="17" t="inlineStr">
        <is>
          <t>utorak</t>
        </is>
      </c>
      <c r="C139" s="10" t="inlineStr">
        <is>
          <t>Papir i karton</t>
        </is>
      </c>
      <c r="D139" s="17" t="n"/>
    </row>
    <row r="140">
      <c r="A140" s="26" t="n">
        <v>46339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6" t="n">
        <v>46343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46343</v>
      </c>
      <c r="B142" s="17" t="inlineStr">
        <is>
          <t>utorak</t>
        </is>
      </c>
      <c r="C142" s="9" t="inlineStr">
        <is>
          <t>Plastika i metal</t>
        </is>
      </c>
      <c r="D142" s="17" t="n"/>
    </row>
    <row r="143">
      <c r="A143" s="26" t="n">
        <v>46346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6" t="n">
        <v>46349</v>
      </c>
      <c r="B144" s="17" t="inlineStr">
        <is>
          <t>ponedjeljak</t>
        </is>
      </c>
      <c r="C144" s="11" t="inlineStr">
        <is>
          <t>Staklo</t>
        </is>
      </c>
      <c r="D144" s="17" t="n"/>
    </row>
    <row r="145">
      <c r="A145" s="26" t="n">
        <v>46350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6" t="n">
        <v>46353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6" t="n">
        <v>46357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6" t="n">
        <v>46357</v>
      </c>
      <c r="B148" s="17" t="inlineStr">
        <is>
          <t>utorak</t>
        </is>
      </c>
      <c r="C148" s="9" t="inlineStr">
        <is>
          <t>Plastika i metal</t>
        </is>
      </c>
      <c r="D148" s="17" t="n"/>
    </row>
    <row r="149">
      <c r="A149" s="26" t="n">
        <v>46360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6" t="n">
        <v>46364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6" t="n">
        <v>46364</v>
      </c>
      <c r="B151" s="17" t="inlineStr">
        <is>
          <t>utorak</t>
        </is>
      </c>
      <c r="C151" s="10" t="inlineStr">
        <is>
          <t>Papir i karton</t>
        </is>
      </c>
      <c r="D151" s="17" t="n"/>
    </row>
    <row r="152">
      <c r="A152" s="26" t="n">
        <v>46367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6" t="n">
        <v>46371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6" t="n">
        <v>46371</v>
      </c>
      <c r="B154" s="17" t="inlineStr">
        <is>
          <t>utorak</t>
        </is>
      </c>
      <c r="C154" s="9" t="inlineStr">
        <is>
          <t>Plastika i metal</t>
        </is>
      </c>
      <c r="D154" s="17" t="n"/>
    </row>
    <row r="155">
      <c r="A155" s="26" t="n">
        <v>46374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6" t="n">
        <v>46378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6" t="n">
        <v>46381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6" t="n">
        <v>46384</v>
      </c>
      <c r="B158" s="17" t="inlineStr">
        <is>
          <t>ponedjeljak</t>
        </is>
      </c>
      <c r="C158" s="11" t="inlineStr">
        <is>
          <t>Staklo</t>
        </is>
      </c>
      <c r="D158" s="17" t="n"/>
    </row>
    <row r="159">
      <c r="A159" s="26" t="n">
        <v>46385</v>
      </c>
      <c r="B159" s="17" t="inlineStr">
        <is>
          <t>utorak</t>
        </is>
      </c>
      <c r="C159" s="5" t="inlineStr">
        <is>
          <t>Miješani komunalni otpad</t>
        </is>
      </c>
      <c r="D159" s="17" t="n"/>
    </row>
  </sheetData>
  <autoFilter ref="A1:D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(Marina): ulice i naselja</t>
        </is>
      </c>
    </row>
    <row r="4">
      <c r="A4" s="4" t="inlineStr">
        <is>
          <t>Ulica / naselje</t>
        </is>
      </c>
    </row>
    <row r="5">
      <c r="A5" s="17" t="inlineStr">
        <is>
          <t>Dograde</t>
        </is>
      </c>
    </row>
    <row r="6">
      <c r="A6" s="17" t="inlineStr">
        <is>
          <t>Gustirna</t>
        </is>
      </c>
    </row>
    <row r="7">
      <c r="A7" s="17" t="inlineStr">
        <is>
          <t>Pozorac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2026-10-07T18:51:45Z</dcterms:created>
  <dcterms:modified xmlns:dcterms="http://purl.org/dc/terms/" xmlns:xsi="http://www.w3.org/2001/XMLSchema-instance" xsi:type="dcterms:W3CDTF">2026-10-07T18:51:45Z</dcterms:modified>
</cp:coreProperties>
</file>
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'Raspored'!$A$4:$H$42</definedName>
    <definedName name="_xlnm._FilterDatabase" localSheetId="2" hidden="1">'Po vrsti'!$A$1:$D$63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9">
      <c r="A9" s="11" t="inlineStr">
        <is>
          <t>Staklo</t>
        </is>
      </c>
      <c r="B9" s="6">
        <f>IFERROR(1/(1/_xlfn.MINIFS(Raspored!$A$5:$A$42,Raspored!$G$5:$G$42,"x",Raspored!$A$5:$A$42,"&gt;="&amp;$B$3)),"nema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  <c r="E13" s="7">
        <f>COUNTIFS(Raspored!$C$5:$C$42,$A13,Raspored!$G$5:$G$42,"x")</f>
        <v/>
      </c>
    </row>
    <row r="14">
      <c r="A14" s="17" t="inlineStr">
        <is>
          <t>veljača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  <c r="E14" s="7">
        <f>COUNTIFS(Raspored!$C$5:$C$42,$A14,Raspored!$G$5:$G$42,"x")</f>
        <v/>
      </c>
    </row>
    <row r="15">
      <c r="A15" s="17" t="inlineStr">
        <is>
          <t>ožujak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  <c r="E15" s="7">
        <f>COUNTIFS(Raspored!$C$5:$C$42,$A15,Raspored!$G$5:$G$42,"x")</f>
        <v/>
      </c>
    </row>
    <row r="16">
      <c r="A16" s="17" t="inlineStr">
        <is>
          <t>travanj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  <c r="E16" s="7">
        <f>COUNTIFS(Raspored!$C$5:$C$42,$A16,Raspored!$G$5:$G$42,"x")</f>
        <v/>
      </c>
    </row>
    <row r="17">
      <c r="A17" s="17" t="inlineStr">
        <is>
          <t>svibanj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  <c r="E17" s="7">
        <f>COUNTIFS(Raspored!$C$5:$C$42,$A17,Raspored!$G$5:$G$42,"x")</f>
        <v/>
      </c>
    </row>
    <row r="18">
      <c r="A18" s="17" t="inlineStr">
        <is>
          <t>lipanj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  <c r="E18" s="7">
        <f>COUNTIFS(Raspored!$C$5:$C$42,$A18,Raspored!$G$5:$G$42,"x")</f>
        <v/>
      </c>
    </row>
    <row r="19">
      <c r="A19" s="17" t="inlineStr">
        <is>
          <t>srpanj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  <c r="E19" s="7">
        <f>COUNTIFS(Raspored!$C$5:$C$42,$A19,Raspored!$G$5:$G$42,"x")</f>
        <v/>
      </c>
    </row>
    <row r="20">
      <c r="A20" s="17" t="inlineStr">
        <is>
          <t>kolovoz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  <c r="E20" s="7">
        <f>COUNTIFS(Raspored!$C$5:$C$42,$A20,Raspored!$G$5:$G$42,"x")</f>
        <v/>
      </c>
    </row>
    <row r="21">
      <c r="A21" s="17" t="inlineStr">
        <is>
          <t>rujan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  <c r="E21" s="7">
        <f>COUNTIFS(Raspored!$C$5:$C$42,$A21,Raspored!$G$5:$G$42,"x")</f>
        <v/>
      </c>
    </row>
    <row r="22">
      <c r="A22" s="17" t="inlineStr">
        <is>
          <t>listopad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  <c r="E22" s="7">
        <f>COUNTIFS(Raspored!$C$5:$C$42,$A22,Raspored!$G$5:$G$42,"x")</f>
        <v/>
      </c>
    </row>
    <row r="23">
      <c r="A23" s="17" t="inlineStr">
        <is>
          <t>studeni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  <c r="E23" s="7">
        <f>COUNTIFS(Raspored!$C$5:$C$42,$A23,Raspored!$G$5:$G$42,"x")</f>
        <v/>
      </c>
    </row>
    <row r="24">
      <c r="A24" s="17" t="inlineStr">
        <is>
          <t>prosinac</t>
        </is>
      </c>
      <c r="B24" s="7">
        <f>COUNTIFS(Raspored!$C$5:$C$42,$A24,Raspored!$D$5:$D$42,"x")</f>
        <v/>
      </c>
      <c r="C24" s="7">
        <f>COUNTIFS(Raspored!$C$5:$C$42,$A24,Raspored!$E$5:$E$42,"x")</f>
        <v/>
      </c>
      <c r="D24" s="7">
        <f>COUNTIFS(Raspored!$C$5:$C$42,$A24,Raspored!$F$5:$F$42,"x")</f>
        <v/>
      </c>
      <c r="E24" s="7">
        <f>COUNTIFS(Raspored!$C$5:$C$42,$A24,Raspored!$G$5:$G$42,"x")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Općina Marina: plastika, papir i staklo odvoze se odvojeno prema datumima iz rasporeda; miješani otpad prema danima u tjednu.</t>
        </is>
      </c>
    </row>
    <row r="29">
      <c r="A29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21" t="inlineStr">
        <is>
          <t>• Pomaci zbog blagdana ugrađeni su u objavljene datume. Za tjedni odvoz miješanog otpada u Općini Marina pomaci zbog blagdana nisu objavljeni.</t>
        </is>
      </c>
    </row>
    <row r="31">
      <c r="A31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12 (Prgomet)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46057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46071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46085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46087</v>
      </c>
      <c r="B12" s="7" t="inlineStr">
        <is>
          <t>petak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46099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46113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46115</v>
      </c>
      <c r="B15" s="7" t="inlineStr">
        <is>
          <t>petak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46127</v>
      </c>
      <c r="B16" s="7" t="inlineStr">
        <is>
          <t>srijeda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46141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46155</v>
      </c>
      <c r="B18" s="7" t="inlineStr">
        <is>
          <t>srijeda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46183</v>
      </c>
      <c r="B21" s="7" t="inlineStr">
        <is>
          <t>srijeda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46197</v>
      </c>
      <c r="B23" s="7" t="inlineStr">
        <is>
          <t>srijeda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46211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46225</v>
      </c>
      <c r="B26" s="7" t="inlineStr">
        <is>
          <t>srijeda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46239</v>
      </c>
      <c r="B27" s="7" t="inlineStr">
        <is>
          <t>srijeda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46253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46267</v>
      </c>
      <c r="B30" s="7" t="inlineStr">
        <is>
          <t>srijeda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46269</v>
      </c>
      <c r="B31" s="7" t="inlineStr">
        <is>
          <t>petak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46281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46295</v>
      </c>
      <c r="B33" s="7" t="inlineStr">
        <is>
          <t>srijeda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46297</v>
      </c>
      <c r="B34" s="7" t="inlineStr">
        <is>
          <t>petak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46309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46323</v>
      </c>
      <c r="B36" s="7" t="inlineStr">
        <is>
          <t>srijeda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46337</v>
      </c>
      <c r="B37" s="7" t="inlineStr">
        <is>
          <t>srijeda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46351</v>
      </c>
      <c r="B39" s="7" t="inlineStr">
        <is>
          <t>srijeda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46365</v>
      </c>
      <c r="B40" s="7" t="inlineStr">
        <is>
          <t>srijeda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46379</v>
      </c>
      <c r="B42" s="7" t="inlineStr">
        <is>
          <t>srijeda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</sheetData>
  <autoFilter ref="A4:H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G5:G42">
    <cfRule type="expression" priority="4" dxfId="3">
      <formula>G5="x"</formula>
    </cfRule>
  </conditionalFormatting>
  <conditionalFormatting sqref="A5:H4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4" t="n">
        <v>46031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11" t="inlineStr">
        <is>
          <t>Staklo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46057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46059</v>
      </c>
      <c r="B8" s="17" t="inlineStr">
        <is>
          <t>petak</t>
        </is>
      </c>
      <c r="C8" s="9" t="inlineStr">
        <is>
          <t>Plastika i metal</t>
        </is>
      </c>
      <c r="D8" s="17" t="n"/>
    </row>
    <row r="9">
      <c r="A9" s="24" t="n">
        <v>46059</v>
      </c>
      <c r="B9" s="17" t="inlineStr">
        <is>
          <t>petak</t>
        </is>
      </c>
      <c r="C9" s="10" t="inlineStr">
        <is>
          <t>Papir i karton</t>
        </is>
      </c>
      <c r="D9" s="17" t="n"/>
    </row>
    <row r="10">
      <c r="A10" s="24" t="n">
        <v>46059</v>
      </c>
      <c r="B10" s="17" t="inlineStr">
        <is>
          <t>petak</t>
        </is>
      </c>
      <c r="C10" s="11" t="inlineStr">
        <is>
          <t>Staklo</t>
        </is>
      </c>
      <c r="D10" s="17" t="n"/>
    </row>
    <row r="11">
      <c r="A11" s="24" t="n">
        <v>46071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46085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46087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4" t="n">
        <v>46087</v>
      </c>
      <c r="B14" s="17" t="inlineStr">
        <is>
          <t>petak</t>
        </is>
      </c>
      <c r="C14" s="10" t="inlineStr">
        <is>
          <t>Papir i karton</t>
        </is>
      </c>
      <c r="D14" s="17" t="n"/>
    </row>
    <row r="15">
      <c r="A15" s="24" t="n">
        <v>46087</v>
      </c>
      <c r="B15" s="17" t="inlineStr">
        <is>
          <t>petak</t>
        </is>
      </c>
      <c r="C15" s="11" t="inlineStr">
        <is>
          <t>Staklo</t>
        </is>
      </c>
      <c r="D15" s="17" t="n"/>
    </row>
    <row r="16">
      <c r="A16" s="24" t="n">
        <v>46099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46113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46115</v>
      </c>
      <c r="B18" s="17" t="inlineStr">
        <is>
          <t>petak</t>
        </is>
      </c>
      <c r="C18" s="9" t="inlineStr">
        <is>
          <t>Plastika i metal</t>
        </is>
      </c>
      <c r="D18" s="17" t="n"/>
    </row>
    <row r="19">
      <c r="A19" s="24" t="n">
        <v>46115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4" t="n">
        <v>46115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4" t="n">
        <v>46127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46141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46155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46157</v>
      </c>
      <c r="B24" s="17" t="inlineStr">
        <is>
          <t>petak</t>
        </is>
      </c>
      <c r="C24" s="9" t="inlineStr">
        <is>
          <t>Plastika i metal</t>
        </is>
      </c>
      <c r="D24" s="17" t="n"/>
    </row>
    <row r="25">
      <c r="A25" s="24" t="n">
        <v>46157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46157</v>
      </c>
      <c r="B26" s="17" t="inlineStr">
        <is>
          <t>petak</t>
        </is>
      </c>
      <c r="C26" s="11" t="inlineStr">
        <is>
          <t>Staklo</t>
        </is>
      </c>
      <c r="D26" s="17" t="n"/>
    </row>
    <row r="27">
      <c r="A27" s="24" t="n">
        <v>46169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46183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46185</v>
      </c>
      <c r="B29" s="17" t="inlineStr">
        <is>
          <t>petak</t>
        </is>
      </c>
      <c r="C29" s="9" t="inlineStr">
        <is>
          <t>Plastika i metal</t>
        </is>
      </c>
      <c r="D29" s="17" t="n"/>
    </row>
    <row r="30">
      <c r="A30" s="24" t="n">
        <v>46185</v>
      </c>
      <c r="B30" s="17" t="inlineStr">
        <is>
          <t>petak</t>
        </is>
      </c>
      <c r="C30" s="10" t="inlineStr">
        <is>
          <t>Papir i karton</t>
        </is>
      </c>
      <c r="D30" s="17" t="n"/>
    </row>
    <row r="31">
      <c r="A31" s="24" t="n">
        <v>46185</v>
      </c>
      <c r="B31" s="17" t="inlineStr">
        <is>
          <t>petak</t>
        </is>
      </c>
      <c r="C31" s="11" t="inlineStr">
        <is>
          <t>Staklo</t>
        </is>
      </c>
      <c r="D31" s="17" t="n"/>
    </row>
    <row r="32">
      <c r="A32" s="24" t="n">
        <v>46197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46211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46213</v>
      </c>
      <c r="B34" s="17" t="inlineStr">
        <is>
          <t>petak</t>
        </is>
      </c>
      <c r="C34" s="9" t="inlineStr">
        <is>
          <t>Plastika i metal</t>
        </is>
      </c>
      <c r="D34" s="17" t="n"/>
    </row>
    <row r="35">
      <c r="A35" s="24" t="n">
        <v>46213</v>
      </c>
      <c r="B35" s="17" t="inlineStr">
        <is>
          <t>petak</t>
        </is>
      </c>
      <c r="C35" s="10" t="inlineStr">
        <is>
          <t>Papir i karton</t>
        </is>
      </c>
      <c r="D35" s="17" t="n"/>
    </row>
    <row r="36">
      <c r="A36" s="24" t="n">
        <v>46213</v>
      </c>
      <c r="B36" s="17" t="inlineStr">
        <is>
          <t>petak</t>
        </is>
      </c>
      <c r="C36" s="11" t="inlineStr">
        <is>
          <t>Staklo</t>
        </is>
      </c>
      <c r="D36" s="17" t="n"/>
    </row>
    <row r="37">
      <c r="A37" s="24" t="n">
        <v>46225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46239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46241</v>
      </c>
      <c r="B39" s="17" t="inlineStr">
        <is>
          <t>petak</t>
        </is>
      </c>
      <c r="C39" s="9" t="inlineStr">
        <is>
          <t>Plastika i metal</t>
        </is>
      </c>
      <c r="D39" s="17" t="n"/>
    </row>
    <row r="40">
      <c r="A40" s="24" t="n">
        <v>46241</v>
      </c>
      <c r="B40" s="17" t="inlineStr">
        <is>
          <t>petak</t>
        </is>
      </c>
      <c r="C40" s="10" t="inlineStr">
        <is>
          <t>Papir i karton</t>
        </is>
      </c>
      <c r="D40" s="17" t="n"/>
    </row>
    <row r="41">
      <c r="A41" s="24" t="n">
        <v>46241</v>
      </c>
      <c r="B41" s="17" t="inlineStr">
        <is>
          <t>petak</t>
        </is>
      </c>
      <c r="C41" s="11" t="inlineStr">
        <is>
          <t>Staklo</t>
        </is>
      </c>
      <c r="D41" s="17" t="n"/>
    </row>
    <row r="42">
      <c r="A42" s="24" t="n">
        <v>46253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46267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46269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4" t="n">
        <v>46269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46269</v>
      </c>
      <c r="B46" s="17" t="inlineStr">
        <is>
          <t>petak</t>
        </is>
      </c>
      <c r="C46" s="11" t="inlineStr">
        <is>
          <t>Staklo</t>
        </is>
      </c>
      <c r="D46" s="17" t="n"/>
    </row>
    <row r="47">
      <c r="A47" s="24" t="n">
        <v>46281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46295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46297</v>
      </c>
      <c r="B49" s="17" t="inlineStr">
        <is>
          <t>petak</t>
        </is>
      </c>
      <c r="C49" s="9" t="inlineStr">
        <is>
          <t>Plastika i metal</t>
        </is>
      </c>
      <c r="D49" s="17" t="n"/>
    </row>
    <row r="50">
      <c r="A50" s="24" t="n">
        <v>46297</v>
      </c>
      <c r="B50" s="17" t="inlineStr">
        <is>
          <t>petak</t>
        </is>
      </c>
      <c r="C50" s="10" t="inlineStr">
        <is>
          <t>Papir i karton</t>
        </is>
      </c>
      <c r="D50" s="17" t="n"/>
    </row>
    <row r="51">
      <c r="A51" s="24" t="n">
        <v>46297</v>
      </c>
      <c r="B51" s="17" t="inlineStr">
        <is>
          <t>petak</t>
        </is>
      </c>
      <c r="C51" s="11" t="inlineStr">
        <is>
          <t>Staklo</t>
        </is>
      </c>
      <c r="D51" s="17" t="n"/>
    </row>
    <row r="52">
      <c r="A52" s="24" t="n">
        <v>46309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46323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46337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46339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46339</v>
      </c>
      <c r="B56" s="17" t="inlineStr">
        <is>
          <t>petak</t>
        </is>
      </c>
      <c r="C56" s="10" t="inlineStr">
        <is>
          <t>Papir i karton</t>
        </is>
      </c>
      <c r="D56" s="17" t="n"/>
    </row>
    <row r="57">
      <c r="A57" s="24" t="n">
        <v>46339</v>
      </c>
      <c r="B57" s="17" t="inlineStr">
        <is>
          <t>petak</t>
        </is>
      </c>
      <c r="C57" s="11" t="inlineStr">
        <is>
          <t>Staklo</t>
        </is>
      </c>
      <c r="D57" s="17" t="n"/>
    </row>
    <row r="58">
      <c r="A58" s="24" t="n">
        <v>46351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46365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46367</v>
      </c>
      <c r="B60" s="17" t="inlineStr">
        <is>
          <t>petak</t>
        </is>
      </c>
      <c r="C60" s="9" t="inlineStr">
        <is>
          <t>Plastika i metal</t>
        </is>
      </c>
      <c r="D60" s="17" t="n"/>
    </row>
    <row r="61">
      <c r="A61" s="24" t="n">
        <v>46367</v>
      </c>
      <c r="B61" s="17" t="inlineStr">
        <is>
          <t>petak</t>
        </is>
      </c>
      <c r="C61" s="10" t="inlineStr">
        <is>
          <t>Papir i karton</t>
        </is>
      </c>
      <c r="D61" s="17" t="n"/>
    </row>
    <row r="62">
      <c r="A62" s="24" t="n">
        <v>46367</v>
      </c>
      <c r="B62" s="17" t="inlineStr">
        <is>
          <t>petak</t>
        </is>
      </c>
      <c r="C62" s="11" t="inlineStr">
        <is>
          <t>Staklo</t>
        </is>
      </c>
      <c r="D62" s="17" t="n"/>
    </row>
    <row r="63">
      <c r="A63" s="24" t="n">
        <v>46379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</sheetData>
  <autoFilter ref="A1:D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(Prgomet): ulice i naselja</t>
        </is>
      </c>
    </row>
    <row r="4">
      <c r="A4" s="4" t="inlineStr">
        <is>
          <t>Ulica / naselje</t>
        </is>
      </c>
    </row>
    <row r="5">
      <c r="A5" s="17" t="inlineStr">
        <is>
          <t>Sitno</t>
        </is>
      </c>
    </row>
    <row r="6">
      <c r="A6" s="17" t="inlineStr">
        <is>
          <t>Bogdanovići</t>
        </is>
      </c>
    </row>
    <row r="7">
      <c r="A7" s="17" t="inlineStr">
        <is>
          <t>Nožine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
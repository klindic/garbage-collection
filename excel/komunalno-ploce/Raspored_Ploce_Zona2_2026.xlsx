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'Raspored'!$A$4:$G$86</definedName>
    <definedName name="_xlnm._FilterDatabase" localSheetId="2" hidden="1">'Po vrsti'!$A$1:$D$95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IFERROR(1/(1/_xlfn.MINIFS(Raspored!$A$5:$A$86,Raspored!$D$5:$D$86,"x",Raspored!$A$5:$A$86,"&gt;="&amp;$B$3)),"nema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COUNTIF(Raspored!$D$5:$D$86,"x")</f>
        <v/>
      </c>
    </row>
    <row r="7">
      <c r="A7" s="9" t="inlineStr">
        <is>
          <t>Plastika i metal</t>
        </is>
      </c>
      <c r="B7" s="6">
        <f>IFERROR(1/(1/_xlfn.MINIFS(Raspored!$A$5:$A$86,Raspored!$E$5:$E$86,"x",Raspored!$A$5:$A$86,"&gt;="&amp;$B$3)),"nema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COUNTIF(Raspored!$E$5:$E$86,"x")</f>
        <v/>
      </c>
    </row>
    <row r="8">
      <c r="A8" s="10" t="inlineStr">
        <is>
          <t>Papir i karton</t>
        </is>
      </c>
      <c r="B8" s="6">
        <f>IFERROR(1/(1/_xlfn.MINIFS(Raspored!$A$5:$A$86,Raspored!$F$5:$F$86,"x",Raspored!$A$5:$A$86,"&gt;="&amp;$B$3)),"nema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COUNTIFS(Raspored!$C$5:$C$86,$A12,Raspored!$D$5:$D$86,"x")</f>
        <v/>
      </c>
      <c r="C12" s="7">
        <f>COUNTIFS(Raspored!$C$5:$C$86,$A12,Raspored!$E$5:$E$86,"x")</f>
        <v/>
      </c>
      <c r="D12" s="7">
        <f>COUNTIFS(Raspored!$C$5:$C$86,$A12,Raspored!$F$5:$F$86,"x")</f>
        <v/>
      </c>
    </row>
    <row r="13">
      <c r="A13" s="15" t="inlineStr">
        <is>
          <t>veljača</t>
        </is>
      </c>
      <c r="B13" s="7">
        <f>COUNTIFS(Raspored!$C$5:$C$86,$A13,Raspored!$D$5:$D$86,"x")</f>
        <v/>
      </c>
      <c r="C13" s="7">
        <f>COUNTIFS(Raspored!$C$5:$C$86,$A13,Raspored!$E$5:$E$86,"x")</f>
        <v/>
      </c>
      <c r="D13" s="7">
        <f>COUNTIFS(Raspored!$C$5:$C$86,$A13,Raspored!$F$5:$F$86,"x")</f>
        <v/>
      </c>
    </row>
    <row r="14">
      <c r="A14" s="15" t="inlineStr">
        <is>
          <t>ožujak</t>
        </is>
      </c>
      <c r="B14" s="7">
        <f>COUNTIFS(Raspored!$C$5:$C$86,$A14,Raspored!$D$5:$D$86,"x")</f>
        <v/>
      </c>
      <c r="C14" s="7">
        <f>COUNTIFS(Raspored!$C$5:$C$86,$A14,Raspored!$E$5:$E$86,"x")</f>
        <v/>
      </c>
      <c r="D14" s="7">
        <f>COUNTIFS(Raspored!$C$5:$C$86,$A14,Raspored!$F$5:$F$86,"x")</f>
        <v/>
      </c>
    </row>
    <row r="15">
      <c r="A15" s="15" t="inlineStr">
        <is>
          <t>travanj</t>
        </is>
      </c>
      <c r="B15" s="7">
        <f>COUNTIFS(Raspored!$C$5:$C$86,$A15,Raspored!$D$5:$D$86,"x")</f>
        <v/>
      </c>
      <c r="C15" s="7">
        <f>COUNTIFS(Raspored!$C$5:$C$86,$A15,Raspored!$E$5:$E$86,"x")</f>
        <v/>
      </c>
      <c r="D15" s="7">
        <f>COUNTIFS(Raspored!$C$5:$C$86,$A15,Raspored!$F$5:$F$86,"x")</f>
        <v/>
      </c>
    </row>
    <row r="16">
      <c r="A16" s="15" t="inlineStr">
        <is>
          <t>svibanj</t>
        </is>
      </c>
      <c r="B16" s="7">
        <f>COUNTIFS(Raspored!$C$5:$C$86,$A16,Raspored!$D$5:$D$86,"x")</f>
        <v/>
      </c>
      <c r="C16" s="7">
        <f>COUNTIFS(Raspored!$C$5:$C$86,$A16,Raspored!$E$5:$E$86,"x")</f>
        <v/>
      </c>
      <c r="D16" s="7">
        <f>COUNTIFS(Raspored!$C$5:$C$86,$A16,Raspored!$F$5:$F$86,"x")</f>
        <v/>
      </c>
    </row>
    <row r="17">
      <c r="A17" s="15" t="inlineStr">
        <is>
          <t>lipanj</t>
        </is>
      </c>
      <c r="B17" s="7">
        <f>COUNTIFS(Raspored!$C$5:$C$86,$A17,Raspored!$D$5:$D$86,"x")</f>
        <v/>
      </c>
      <c r="C17" s="7">
        <f>COUNTIFS(Raspored!$C$5:$C$86,$A17,Raspored!$E$5:$E$86,"x")</f>
        <v/>
      </c>
      <c r="D17" s="7">
        <f>COUNTIFS(Raspored!$C$5:$C$86,$A17,Raspored!$F$5:$F$86,"x")</f>
        <v/>
      </c>
    </row>
    <row r="18">
      <c r="A18" s="15" t="inlineStr">
        <is>
          <t>srpanj</t>
        </is>
      </c>
      <c r="B18" s="7">
        <f>COUNTIFS(Raspored!$C$5:$C$86,$A18,Raspored!$D$5:$D$86,"x")</f>
        <v/>
      </c>
      <c r="C18" s="7">
        <f>COUNTIFS(Raspored!$C$5:$C$86,$A18,Raspored!$E$5:$E$86,"x")</f>
        <v/>
      </c>
      <c r="D18" s="7">
        <f>COUNTIFS(Raspored!$C$5:$C$86,$A18,Raspored!$F$5:$F$86,"x")</f>
        <v/>
      </c>
    </row>
    <row r="19">
      <c r="A19" s="15" t="inlineStr">
        <is>
          <t>kolovoz</t>
        </is>
      </c>
      <c r="B19" s="7">
        <f>COUNTIFS(Raspored!$C$5:$C$86,$A19,Raspored!$D$5:$D$86,"x")</f>
        <v/>
      </c>
      <c r="C19" s="7">
        <f>COUNTIFS(Raspored!$C$5:$C$86,$A19,Raspored!$E$5:$E$86,"x")</f>
        <v/>
      </c>
      <c r="D19" s="7">
        <f>COUNTIFS(Raspored!$C$5:$C$86,$A19,Raspored!$F$5:$F$86,"x")</f>
        <v/>
      </c>
    </row>
    <row r="20">
      <c r="A20" s="15" t="inlineStr">
        <is>
          <t>rujan</t>
        </is>
      </c>
      <c r="B20" s="7">
        <f>COUNTIFS(Raspored!$C$5:$C$86,$A20,Raspored!$D$5:$D$86,"x")</f>
        <v/>
      </c>
      <c r="C20" s="7">
        <f>COUNTIFS(Raspored!$C$5:$C$86,$A20,Raspored!$E$5:$E$86,"x")</f>
        <v/>
      </c>
      <c r="D20" s="7">
        <f>COUNTIFS(Raspored!$C$5:$C$86,$A20,Raspored!$F$5:$F$86,"x")</f>
        <v/>
      </c>
    </row>
    <row r="21">
      <c r="A21" s="15" t="inlineStr">
        <is>
          <t>listopad</t>
        </is>
      </c>
      <c r="B21" s="7">
        <f>COUNTIFS(Raspored!$C$5:$C$86,$A21,Raspored!$D$5:$D$86,"x")</f>
        <v/>
      </c>
      <c r="C21" s="7">
        <f>COUNTIFS(Raspored!$C$5:$C$86,$A21,Raspored!$E$5:$E$86,"x")</f>
        <v/>
      </c>
      <c r="D21" s="7">
        <f>COUNTIFS(Raspored!$C$5:$C$86,$A21,Raspored!$F$5:$F$86,"x")</f>
        <v/>
      </c>
    </row>
    <row r="22">
      <c r="A22" s="15" t="inlineStr">
        <is>
          <t>studeni</t>
        </is>
      </c>
      <c r="B22" s="7">
        <f>COUNTIFS(Raspored!$C$5:$C$86,$A22,Raspored!$D$5:$D$86,"x")</f>
        <v/>
      </c>
      <c r="C22" s="7">
        <f>COUNTIFS(Raspored!$C$5:$C$86,$A22,Raspored!$E$5:$E$86,"x")</f>
        <v/>
      </c>
      <c r="D22" s="7">
        <f>COUNTIFS(Raspored!$C$5:$C$86,$A22,Raspored!$F$5:$F$86,"x")</f>
        <v/>
      </c>
    </row>
    <row r="23">
      <c r="A23" s="15" t="inlineStr">
        <is>
          <t>prosinac</t>
        </is>
      </c>
      <c r="B23" s="7">
        <f>COUNTIFS(Raspored!$C$5:$C$86,$A23,Raspored!$D$5:$D$86,"x")</f>
        <v/>
      </c>
      <c r="C23" s="7">
        <f>COUNTIFS(Raspored!$C$5:$C$86,$A23,Raspored!$E$5:$E$86,"x")</f>
        <v/>
      </c>
      <c r="D23" s="7">
        <f>COUNTIFS(Raspored!$C$5:$C$86,$A23,Raspored!$F$5:$F$86,"x")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Zelena kanta: miješani otpad; plava kanta: papir; žuta kanta: plastika. Bez odvoza miješanog otpada na blagdan: 1.1.</t>
        </is>
      </c>
    </row>
    <row r="28">
      <c r="A28" s="19" t="inlineStr">
        <is>
          <t>• Kantu treba iznijeti u večernjim satima prije dana odvoza, na javnu površinu ispred nekretnine.</t>
        </is>
      </c>
    </row>
    <row r="29">
      <c r="A29" s="19" t="inlineStr">
        <is>
          <t>• Ploče (grad): kontejneri za miješani otpad prazne se svaki dan osim nedjelje, kontejneri za reciklažu jednom tjedno; za grad nema kalendara s datumima.</t>
        </is>
      </c>
    </row>
    <row r="30">
      <c r="A30" s="19" t="inlineStr">
        <is>
          <t>• Ljetni raspored (od lipnja do rujna, češći odvoz) ucrtan je u kalendare; izmjene objavljuje Komunalno održavanje na komunalno.ploce.hr.</t>
        </is>
      </c>
    </row>
    <row r="31">
      <c r="A31" s="19" t="inlineStr">
        <is>
          <t>• Pomaci zbog blagdana ucrtani su u kalendare (označeni kao pomaknuti).</t>
        </is>
      </c>
    </row>
    <row r="32">
      <c r="A32" s="19" t="inlineStr">
        <is>
          <t>• Glomazni otpad: besplatan kontejner od 5 m³ jednom godišnje, naručuje se tjedan dana ranije na 095 4477 701 (radnim danom 7–13 h); od 15.6. do 15.9. glomazni otpad se ne odvozi.</t>
        </is>
      </c>
    </row>
    <row r="33">
      <c r="A33" s="19" t="inlineStr">
        <is>
          <t>• Reciklažno dvorište Ploče, Dalmatinska 5A: ponedjeljak, srijeda i petak 7–14, utorak i četvrtak 14–19, subota 7–12 sati.</t>
        </is>
      </c>
    </row>
    <row r="34">
      <c r="A34" s="19" t="inlineStr">
        <is>
          <t>• Informacije: 020 676 601, 095 4477 701 (radnim danom 7–13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(Ploče)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46114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46142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46177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46181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46184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46188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46191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46195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46198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46202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46205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46209</v>
      </c>
      <c r="B42" s="7" t="inlineStr">
        <is>
          <t>ponedjeljak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46210</v>
      </c>
      <c r="B43" s="7" t="inlineStr">
        <is>
          <t>utorak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46237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46238</v>
      </c>
      <c r="B52" s="7" t="inlineStr">
        <is>
          <t>utorak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46240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46244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46247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46251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46254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46258</v>
      </c>
      <c r="B58" s="7" t="inlineStr">
        <is>
          <t>ponedjeljak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46261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46265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46266</v>
      </c>
      <c r="B61" s="7" t="inlineStr">
        <is>
          <t>utorak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46268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n"/>
      <c r="G62" s="21" t="n"/>
    </row>
    <row r="63">
      <c r="A63" s="6" t="n">
        <v>46272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46275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46279</v>
      </c>
      <c r="B65" s="7" t="inlineStr">
        <is>
          <t>ponedjeljak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46282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46286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46289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46293</v>
      </c>
      <c r="B69" s="7" t="inlineStr">
        <is>
          <t>ponedjeljak</t>
        </is>
      </c>
      <c r="C69" s="7" t="inlineStr">
        <is>
          <t>rujan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46296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46301</v>
      </c>
      <c r="B71" s="7" t="inlineStr">
        <is>
          <t>utorak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46303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21" t="n"/>
    </row>
    <row r="73">
      <c r="A73" s="6" t="n">
        <v>46310</v>
      </c>
      <c r="B73" s="7" t="inlineStr">
        <is>
          <t>četvrtak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46317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46324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46329</v>
      </c>
      <c r="B76" s="7" t="inlineStr">
        <is>
          <t>utorak</t>
        </is>
      </c>
      <c r="C76" s="7" t="inlineStr">
        <is>
          <t>studeni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46331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n"/>
      <c r="G77" s="21" t="n"/>
    </row>
    <row r="78">
      <c r="A78" s="6" t="n">
        <v>46338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46345</v>
      </c>
      <c r="B79" s="7" t="inlineStr">
        <is>
          <t>četvrtak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46352</v>
      </c>
      <c r="B80" s="7" t="inlineStr">
        <is>
          <t>četvrtak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46357</v>
      </c>
      <c r="B81" s="7" t="inlineStr">
        <is>
          <t>utorak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46359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inlineStr">
        <is>
          <t>x</t>
        </is>
      </c>
      <c r="F82" s="7" t="n"/>
      <c r="G82" s="21" t="n"/>
    </row>
    <row r="83">
      <c r="A83" s="6" t="n">
        <v>46366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46373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46380</v>
      </c>
      <c r="B85" s="7" t="inlineStr">
        <is>
          <t>četvrtak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46387</v>
      </c>
      <c r="B86" s="7" t="inlineStr">
        <is>
          <t>četvrtak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21" t="n"/>
    </row>
  </sheetData>
  <autoFilter ref="A4:G86"/>
  <conditionalFormatting sqref="D5:D86">
    <cfRule type="expression" priority="1" dxfId="0">
      <formula>D5="x"</formula>
    </cfRule>
  </conditionalFormatting>
  <conditionalFormatting sqref="E5:E86">
    <cfRule type="expression" priority="2" dxfId="1">
      <formula>E5="x"</formula>
    </cfRule>
  </conditionalFormatting>
  <conditionalFormatting sqref="F5:F86">
    <cfRule type="expression" priority="3" dxfId="2">
      <formula>F5="x"</formula>
    </cfRule>
  </conditionalFormatting>
  <conditionalFormatting sqref="A5:G8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10" t="inlineStr">
        <is>
          <t>Papir i karton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46030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46121</v>
      </c>
      <c r="B23" s="15" t="inlineStr">
        <is>
          <t>četvrtak</t>
        </is>
      </c>
      <c r="C23" s="9" t="inlineStr">
        <is>
          <t>Plastika i metal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46149</v>
      </c>
      <c r="B29" s="15" t="inlineStr">
        <is>
          <t>četvrtak</t>
        </is>
      </c>
      <c r="C29" s="9" t="inlineStr">
        <is>
          <t>Plastika i metal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46175</v>
      </c>
      <c r="B34" s="15" t="inlineStr">
        <is>
          <t>utorak</t>
        </is>
      </c>
      <c r="C34" s="10" t="inlineStr">
        <is>
          <t>Papir i karton</t>
        </is>
      </c>
      <c r="D34" s="15" t="n"/>
    </row>
    <row r="35">
      <c r="A35" s="22" t="n">
        <v>46177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46177</v>
      </c>
      <c r="B36" s="15" t="inlineStr">
        <is>
          <t>četvrtak</t>
        </is>
      </c>
      <c r="C36" s="9" t="inlineStr">
        <is>
          <t>Plastika i metal</t>
        </is>
      </c>
      <c r="D36" s="15" t="n"/>
    </row>
    <row r="37">
      <c r="A37" s="22" t="n">
        <v>46181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46184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46188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46191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46195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46198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46202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46205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2" t="n">
        <v>46209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10" t="inlineStr">
        <is>
          <t>Papir i karton</t>
        </is>
      </c>
      <c r="D46" s="15" t="n"/>
    </row>
    <row r="47">
      <c r="A47" s="22" t="n">
        <v>46212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46212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2" t="n">
        <v>46216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46219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46223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46226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2" t="n">
        <v>46230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46233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46237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46238</v>
      </c>
      <c r="B56" s="15" t="inlineStr">
        <is>
          <t>utorak</t>
        </is>
      </c>
      <c r="C56" s="10" t="inlineStr">
        <is>
          <t>Papir i karton</t>
        </is>
      </c>
      <c r="D56" s="15" t="n"/>
    </row>
    <row r="57">
      <c r="A57" s="22" t="n">
        <v>46240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2" t="n">
        <v>46240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2" t="n">
        <v>46244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46247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46251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46254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46258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2" t="n">
        <v>46261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46265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46266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2" t="n">
        <v>46268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46268</v>
      </c>
      <c r="B68" s="15" t="inlineStr">
        <is>
          <t>četvrtak</t>
        </is>
      </c>
      <c r="C68" s="9" t="inlineStr">
        <is>
          <t>Plastika i metal</t>
        </is>
      </c>
      <c r="D68" s="15" t="n"/>
    </row>
    <row r="69">
      <c r="A69" s="22" t="n">
        <v>46272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46275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46279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46282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46286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46289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46293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46296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2" t="n">
        <v>46301</v>
      </c>
      <c r="B77" s="15" t="inlineStr">
        <is>
          <t>utorak</t>
        </is>
      </c>
      <c r="C77" s="10" t="inlineStr">
        <is>
          <t>Papir i karton</t>
        </is>
      </c>
      <c r="D77" s="15" t="n"/>
    </row>
    <row r="78">
      <c r="A78" s="22" t="n">
        <v>46303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46303</v>
      </c>
      <c r="B79" s="15" t="inlineStr">
        <is>
          <t>četvrtak</t>
        </is>
      </c>
      <c r="C79" s="9" t="inlineStr">
        <is>
          <t>Plastika i metal</t>
        </is>
      </c>
      <c r="D79" s="15" t="n"/>
    </row>
    <row r="80">
      <c r="A80" s="22" t="n">
        <v>46310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2" t="n">
        <v>46317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46324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46329</v>
      </c>
      <c r="B83" s="15" t="inlineStr">
        <is>
          <t>utorak</t>
        </is>
      </c>
      <c r="C83" s="10" t="inlineStr">
        <is>
          <t>Papir i karton</t>
        </is>
      </c>
      <c r="D83" s="15" t="n"/>
    </row>
    <row r="84">
      <c r="A84" s="22" t="n">
        <v>46331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2" t="n">
        <v>46331</v>
      </c>
      <c r="B85" s="15" t="inlineStr">
        <is>
          <t>četvrtak</t>
        </is>
      </c>
      <c r="C85" s="9" t="inlineStr">
        <is>
          <t>Plastika i metal</t>
        </is>
      </c>
      <c r="D85" s="15" t="n"/>
    </row>
    <row r="86">
      <c r="A86" s="22" t="n">
        <v>46338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46345</v>
      </c>
      <c r="B87" s="15" t="inlineStr">
        <is>
          <t>četvrtak</t>
        </is>
      </c>
      <c r="C87" s="5" t="inlineStr">
        <is>
          <t>Miješani komunalni otpad</t>
        </is>
      </c>
      <c r="D87" s="15" t="n"/>
    </row>
    <row r="88">
      <c r="A88" s="22" t="n">
        <v>46352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2" t="n">
        <v>46357</v>
      </c>
      <c r="B89" s="15" t="inlineStr">
        <is>
          <t>utorak</t>
        </is>
      </c>
      <c r="C89" s="10" t="inlineStr">
        <is>
          <t>Papir i karton</t>
        </is>
      </c>
      <c r="D89" s="15" t="n"/>
    </row>
    <row r="90">
      <c r="A90" s="22" t="n">
        <v>46359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46359</v>
      </c>
      <c r="B91" s="15" t="inlineStr">
        <is>
          <t>četvrtak</t>
        </is>
      </c>
      <c r="C91" s="9" t="inlineStr">
        <is>
          <t>Plastika i metal</t>
        </is>
      </c>
      <c r="D91" s="15" t="n"/>
    </row>
    <row r="92">
      <c r="A92" s="22" t="n">
        <v>46366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46373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46380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46387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</sheetData>
  <autoFilter ref="A1:D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(Ploče): ulice i naselja</t>
        </is>
      </c>
    </row>
    <row r="2">
      <c r="A2" s="20" t="inlineStr">
        <is>
          <t>Baćina, Birina, Stablina, Čeveljuša</t>
        </is>
      </c>
    </row>
    <row r="4">
      <c r="A4" s="4" t="inlineStr">
        <is>
          <t>Ulica / naselje</t>
        </is>
      </c>
    </row>
    <row r="5">
      <c r="A5" s="15" t="inlineStr">
        <is>
          <t>Baćina</t>
        </is>
      </c>
    </row>
    <row r="6">
      <c r="A6" s="15" t="inlineStr">
        <is>
          <t>Birina</t>
        </is>
      </c>
    </row>
    <row r="7">
      <c r="A7" s="15" t="inlineStr">
        <is>
          <t>Stablina</t>
        </is>
      </c>
    </row>
    <row r="8">
      <c r="A8" s="15" t="inlineStr">
        <is>
          <t>Čeveljuša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2026-10-07T18:53:36Z</dcterms:created>
  <dcterms:modified xmlns:dcterms="http://purl.org/dc/terms/" xmlns:xsi="http://www.w3.org/2001/XMLSchema-instance" xsi:type="dcterms:W3CDTF">2026-10-07T18:53:36Z</dcterms:modified>
</cp:coreProperties>
</file>
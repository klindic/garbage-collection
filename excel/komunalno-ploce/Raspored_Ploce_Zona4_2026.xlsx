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'Raspored'!$A$4:$G$93</definedName>
    <definedName name="_xlnm._FilterDatabase" localSheetId="2" hidden="1">'Po vrsti'!$A$1:$D$95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IFERROR(1/(1/_xlfn.MINIFS(Raspored!$A$5:$A$93,Raspored!$D$5:$D$93,"x",Raspored!$A$5:$A$93,"&gt;="&amp;$B$3)),"nema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COUNTIF(Raspored!$D$5:$D$93,"x")</f>
        <v/>
      </c>
    </row>
    <row r="7">
      <c r="A7" s="9" t="inlineStr">
        <is>
          <t>Plastika i metal</t>
        </is>
      </c>
      <c r="B7" s="6">
        <f>IFERROR(1/(1/_xlfn.MINIFS(Raspored!$A$5:$A$93,Raspored!$E$5:$E$93,"x",Raspored!$A$5:$A$93,"&gt;="&amp;$B$3)),"nema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COUNTIF(Raspored!$E$5:$E$93,"x")</f>
        <v/>
      </c>
    </row>
    <row r="8">
      <c r="A8" s="10" t="inlineStr">
        <is>
          <t>Papir i karton</t>
        </is>
      </c>
      <c r="B8" s="6">
        <f>IFERROR(1/(1/_xlfn.MINIFS(Raspored!$A$5:$A$93,Raspored!$F$5:$F$93,"x",Raspored!$A$5:$A$93,"&gt;="&amp;$B$3)),"nema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COUNTIFS(Raspored!$C$5:$C$93,$A12,Raspored!$D$5:$D$93,"x")</f>
        <v/>
      </c>
      <c r="C12" s="7">
        <f>COUNTIFS(Raspored!$C$5:$C$93,$A12,Raspored!$E$5:$E$93,"x")</f>
        <v/>
      </c>
      <c r="D12" s="7">
        <f>COUNTIFS(Raspored!$C$5:$C$93,$A12,Raspored!$F$5:$F$93,"x")</f>
        <v/>
      </c>
    </row>
    <row r="13">
      <c r="A13" s="15" t="inlineStr">
        <is>
          <t>veljača</t>
        </is>
      </c>
      <c r="B13" s="7">
        <f>COUNTIFS(Raspored!$C$5:$C$93,$A13,Raspored!$D$5:$D$93,"x")</f>
        <v/>
      </c>
      <c r="C13" s="7">
        <f>COUNTIFS(Raspored!$C$5:$C$93,$A13,Raspored!$E$5:$E$93,"x")</f>
        <v/>
      </c>
      <c r="D13" s="7">
        <f>COUNTIFS(Raspored!$C$5:$C$93,$A13,Raspored!$F$5:$F$93,"x")</f>
        <v/>
      </c>
    </row>
    <row r="14">
      <c r="A14" s="15" t="inlineStr">
        <is>
          <t>ožujak</t>
        </is>
      </c>
      <c r="B14" s="7">
        <f>COUNTIFS(Raspored!$C$5:$C$93,$A14,Raspored!$D$5:$D$93,"x")</f>
        <v/>
      </c>
      <c r="C14" s="7">
        <f>COUNTIFS(Raspored!$C$5:$C$93,$A14,Raspored!$E$5:$E$93,"x")</f>
        <v/>
      </c>
      <c r="D14" s="7">
        <f>COUNTIFS(Raspored!$C$5:$C$93,$A14,Raspored!$F$5:$F$93,"x")</f>
        <v/>
      </c>
    </row>
    <row r="15">
      <c r="A15" s="15" t="inlineStr">
        <is>
          <t>travanj</t>
        </is>
      </c>
      <c r="B15" s="7">
        <f>COUNTIFS(Raspored!$C$5:$C$93,$A15,Raspored!$D$5:$D$93,"x")</f>
        <v/>
      </c>
      <c r="C15" s="7">
        <f>COUNTIFS(Raspored!$C$5:$C$93,$A15,Raspored!$E$5:$E$93,"x")</f>
        <v/>
      </c>
      <c r="D15" s="7">
        <f>COUNTIFS(Raspored!$C$5:$C$93,$A15,Raspored!$F$5:$F$93,"x")</f>
        <v/>
      </c>
    </row>
    <row r="16">
      <c r="A16" s="15" t="inlineStr">
        <is>
          <t>svibanj</t>
        </is>
      </c>
      <c r="B16" s="7">
        <f>COUNTIFS(Raspored!$C$5:$C$93,$A16,Raspored!$D$5:$D$93,"x")</f>
        <v/>
      </c>
      <c r="C16" s="7">
        <f>COUNTIFS(Raspored!$C$5:$C$93,$A16,Raspored!$E$5:$E$93,"x")</f>
        <v/>
      </c>
      <c r="D16" s="7">
        <f>COUNTIFS(Raspored!$C$5:$C$93,$A16,Raspored!$F$5:$F$93,"x")</f>
        <v/>
      </c>
    </row>
    <row r="17">
      <c r="A17" s="15" t="inlineStr">
        <is>
          <t>lipanj</t>
        </is>
      </c>
      <c r="B17" s="7">
        <f>COUNTIFS(Raspored!$C$5:$C$93,$A17,Raspored!$D$5:$D$93,"x")</f>
        <v/>
      </c>
      <c r="C17" s="7">
        <f>COUNTIFS(Raspored!$C$5:$C$93,$A17,Raspored!$E$5:$E$93,"x")</f>
        <v/>
      </c>
      <c r="D17" s="7">
        <f>COUNTIFS(Raspored!$C$5:$C$93,$A17,Raspored!$F$5:$F$93,"x")</f>
        <v/>
      </c>
    </row>
    <row r="18">
      <c r="A18" s="15" t="inlineStr">
        <is>
          <t>srpanj</t>
        </is>
      </c>
      <c r="B18" s="7">
        <f>COUNTIFS(Raspored!$C$5:$C$93,$A18,Raspored!$D$5:$D$93,"x")</f>
        <v/>
      </c>
      <c r="C18" s="7">
        <f>COUNTIFS(Raspored!$C$5:$C$93,$A18,Raspored!$E$5:$E$93,"x")</f>
        <v/>
      </c>
      <c r="D18" s="7">
        <f>COUNTIFS(Raspored!$C$5:$C$93,$A18,Raspored!$F$5:$F$93,"x")</f>
        <v/>
      </c>
    </row>
    <row r="19">
      <c r="A19" s="15" t="inlineStr">
        <is>
          <t>kolovoz</t>
        </is>
      </c>
      <c r="B19" s="7">
        <f>COUNTIFS(Raspored!$C$5:$C$93,$A19,Raspored!$D$5:$D$93,"x")</f>
        <v/>
      </c>
      <c r="C19" s="7">
        <f>COUNTIFS(Raspored!$C$5:$C$93,$A19,Raspored!$E$5:$E$93,"x")</f>
        <v/>
      </c>
      <c r="D19" s="7">
        <f>COUNTIFS(Raspored!$C$5:$C$93,$A19,Raspored!$F$5:$F$93,"x")</f>
        <v/>
      </c>
    </row>
    <row r="20">
      <c r="A20" s="15" t="inlineStr">
        <is>
          <t>rujan</t>
        </is>
      </c>
      <c r="B20" s="7">
        <f>COUNTIFS(Raspored!$C$5:$C$93,$A20,Raspored!$D$5:$D$93,"x")</f>
        <v/>
      </c>
      <c r="C20" s="7">
        <f>COUNTIFS(Raspored!$C$5:$C$93,$A20,Raspored!$E$5:$E$93,"x")</f>
        <v/>
      </c>
      <c r="D20" s="7">
        <f>COUNTIFS(Raspored!$C$5:$C$93,$A20,Raspored!$F$5:$F$93,"x")</f>
        <v/>
      </c>
    </row>
    <row r="21">
      <c r="A21" s="15" t="inlineStr">
        <is>
          <t>listopad</t>
        </is>
      </c>
      <c r="B21" s="7">
        <f>COUNTIFS(Raspored!$C$5:$C$93,$A21,Raspored!$D$5:$D$93,"x")</f>
        <v/>
      </c>
      <c r="C21" s="7">
        <f>COUNTIFS(Raspored!$C$5:$C$93,$A21,Raspored!$E$5:$E$93,"x")</f>
        <v/>
      </c>
      <c r="D21" s="7">
        <f>COUNTIFS(Raspored!$C$5:$C$93,$A21,Raspored!$F$5:$F$93,"x")</f>
        <v/>
      </c>
    </row>
    <row r="22">
      <c r="A22" s="15" t="inlineStr">
        <is>
          <t>studeni</t>
        </is>
      </c>
      <c r="B22" s="7">
        <f>COUNTIFS(Raspored!$C$5:$C$93,$A22,Raspored!$D$5:$D$93,"x")</f>
        <v/>
      </c>
      <c r="C22" s="7">
        <f>COUNTIFS(Raspored!$C$5:$C$93,$A22,Raspored!$E$5:$E$93,"x")</f>
        <v/>
      </c>
      <c r="D22" s="7">
        <f>COUNTIFS(Raspored!$C$5:$C$93,$A22,Raspored!$F$5:$F$93,"x")</f>
        <v/>
      </c>
    </row>
    <row r="23">
      <c r="A23" s="15" t="inlineStr">
        <is>
          <t>prosinac</t>
        </is>
      </c>
      <c r="B23" s="7">
        <f>COUNTIFS(Raspored!$C$5:$C$93,$A23,Raspored!$D$5:$D$93,"x")</f>
        <v/>
      </c>
      <c r="C23" s="7">
        <f>COUNTIFS(Raspored!$C$5:$C$93,$A23,Raspored!$E$5:$E$93,"x")</f>
        <v/>
      </c>
      <c r="D23" s="7">
        <f>COUNTIFS(Raspored!$C$5:$C$93,$A23,Raspored!$F$5:$F$93,"x")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Zelena kanta: miješani otpad; plava kanta: papir; žuta kanta: plastika.</t>
        </is>
      </c>
    </row>
    <row r="29">
      <c r="A29" s="19" t="inlineStr">
        <is>
          <t>• Kantu treba iznijeti u večernjim satima prije dana odvoza, na javnu površinu ispred nekretnine.</t>
        </is>
      </c>
    </row>
    <row r="30">
      <c r="A30" s="19" t="inlineStr">
        <is>
          <t>• Ploče (grad): kontejneri za miješani otpad prazne se svaki dan osim nedjelje, kontejneri za reciklažu jednom tjedno; za grad nema kalendara s datumima.</t>
        </is>
      </c>
    </row>
    <row r="31">
      <c r="A31" s="19" t="inlineStr">
        <is>
          <t>• Ljetni raspored (od lipnja do rujna, češći odvoz) ucrtan je u kalendare; izmjene objavljuje Komunalno održavanje na komunalno.ploce.hr.</t>
        </is>
      </c>
    </row>
    <row r="32">
      <c r="A32" s="19" t="inlineStr">
        <is>
          <t>• Pomaci zbog blagdana ucrtani su u kalendare (označeni kao pomaknuti).</t>
        </is>
      </c>
    </row>
    <row r="33">
      <c r="A33" s="19" t="inlineStr">
        <is>
          <t>• Glomazni otpad: besplatan kontejner od 5 m³ jednom godišnje, naručuje se tjedan dana ranije na 095 4477 701 (radnim danom 7–13 h); od 15.6. do 15.9. glomazni otpad se ne odvozi.</t>
        </is>
      </c>
    </row>
    <row r="34">
      <c r="A34" s="19" t="inlineStr">
        <is>
          <t>• Reciklažno dvorište Ploče, Dalmatinska 5A: ponedjeljak, srijeda i petak 7–14, utorak i četvrtak 14–19, subota 7–12 sati.</t>
        </is>
      </c>
    </row>
    <row r="35">
      <c r="A35" s="19" t="inlineStr">
        <is>
          <t>• Informacije: 020 676 601, 095 4477 701 (radnim danom 7–13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(Ploče)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46189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46196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46198</v>
      </c>
      <c r="B44" s="7" t="inlineStr">
        <is>
          <t>četvrtak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46199</v>
      </c>
      <c r="B45" s="7" t="inlineStr">
        <is>
          <t>petak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46203</v>
      </c>
      <c r="B46" s="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46206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46210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46213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46217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46220</v>
      </c>
      <c r="B51" s="7" t="inlineStr">
        <is>
          <t>petak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46227</v>
      </c>
      <c r="B53" s="7" t="inlineStr">
        <is>
          <t>petak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46231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46233</v>
      </c>
      <c r="B55" s="7" t="inlineStr">
        <is>
          <t>četvrtak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46234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46238</v>
      </c>
      <c r="B57" s="7" t="inlineStr">
        <is>
          <t>utorak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46241</v>
      </c>
      <c r="B58" s="7" t="inlineStr">
        <is>
          <t>petak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46245</v>
      </c>
      <c r="B59" s="7" t="inlineStr">
        <is>
          <t>utorak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46248</v>
      </c>
      <c r="B60" s="7" t="inlineStr">
        <is>
          <t>petak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46252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46255</v>
      </c>
      <c r="B62" s="7" t="inlineStr">
        <is>
          <t>petak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46259</v>
      </c>
      <c r="B63" s="7" t="inlineStr">
        <is>
          <t>utorak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inlineStr">
        <is>
          <t>x</t>
        </is>
      </c>
      <c r="G63" s="21" t="n"/>
    </row>
    <row r="64">
      <c r="A64" s="6" t="n">
        <v>46261</v>
      </c>
      <c r="B64" s="7" t="inlineStr">
        <is>
          <t>četvrtak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46262</v>
      </c>
      <c r="B65" s="7" t="inlineStr">
        <is>
          <t>petak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46266</v>
      </c>
      <c r="B66" s="7" t="inlineStr">
        <is>
          <t>utorak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46269</v>
      </c>
      <c r="B67" s="7" t="inlineStr">
        <is>
          <t>petak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46273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46276</v>
      </c>
      <c r="B69" s="7" t="inlineStr">
        <is>
          <t>petak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46280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46283</v>
      </c>
      <c r="B71" s="7" t="inlineStr">
        <is>
          <t>petak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46287</v>
      </c>
      <c r="B72" s="7" t="inlineStr">
        <is>
          <t>utorak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inlineStr">
        <is>
          <t>x</t>
        </is>
      </c>
      <c r="G72" s="21" t="n"/>
    </row>
    <row r="73">
      <c r="A73" s="6" t="n">
        <v>46289</v>
      </c>
      <c r="B73" s="7" t="inlineStr">
        <is>
          <t>četvrtak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46290</v>
      </c>
      <c r="B74" s="7" t="inlineStr">
        <is>
          <t>petak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46294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46297</v>
      </c>
      <c r="B76" s="7" t="inlineStr">
        <is>
          <t>petak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46304</v>
      </c>
      <c r="B77" s="7" t="inlineStr">
        <is>
          <t>petak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46311</v>
      </c>
      <c r="B78" s="7" t="inlineStr">
        <is>
          <t>petak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46318</v>
      </c>
      <c r="B79" s="7" t="inlineStr">
        <is>
          <t>petak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46322</v>
      </c>
      <c r="B80" s="7" t="inlineStr">
        <is>
          <t>utorak</t>
        </is>
      </c>
      <c r="C80" s="7" t="inlineStr">
        <is>
          <t>listopad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46324</v>
      </c>
      <c r="B81" s="7" t="inlineStr">
        <is>
          <t>četvrtak</t>
        </is>
      </c>
      <c r="C81" s="7" t="inlineStr">
        <is>
          <t>listopad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46325</v>
      </c>
      <c r="B82" s="7" t="inlineStr">
        <is>
          <t>petak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46332</v>
      </c>
      <c r="B83" s="7" t="inlineStr">
        <is>
          <t>petak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46339</v>
      </c>
      <c r="B84" s="7" t="inlineStr">
        <is>
          <t>petak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46346</v>
      </c>
      <c r="B85" s="7" t="inlineStr">
        <is>
          <t>petak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46350</v>
      </c>
      <c r="B86" s="7" t="inlineStr">
        <is>
          <t>utorak</t>
        </is>
      </c>
      <c r="C86" s="7" t="inlineStr">
        <is>
          <t>studeni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46352</v>
      </c>
      <c r="B87" s="7" t="inlineStr">
        <is>
          <t>četvrtak</t>
        </is>
      </c>
      <c r="C87" s="7" t="inlineStr">
        <is>
          <t>studeni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46353</v>
      </c>
      <c r="B88" s="7" t="inlineStr">
        <is>
          <t>petak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46360</v>
      </c>
      <c r="B89" s="7" t="inlineStr">
        <is>
          <t>petak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46367</v>
      </c>
      <c r="B90" s="7" t="inlineStr">
        <is>
          <t>petak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46378</v>
      </c>
      <c r="B92" s="7" t="inlineStr">
        <is>
          <t>utorak</t>
        </is>
      </c>
      <c r="C92" s="7" t="inlineStr">
        <is>
          <t>prosinac</t>
        </is>
      </c>
      <c r="D92" s="7" t="n"/>
      <c r="E92" s="7" t="n"/>
      <c r="F92" s="7" t="inlineStr">
        <is>
          <t>x</t>
        </is>
      </c>
      <c r="G92" s="21" t="n"/>
    </row>
    <row r="93">
      <c r="A93" s="22" t="n">
        <v>46380</v>
      </c>
      <c r="B93" s="23" t="inlineStr">
        <is>
          <t>četvrtak</t>
        </is>
      </c>
      <c r="C93" s="7" t="inlineStr">
        <is>
          <t>prosinac</t>
        </is>
      </c>
      <c r="D93" s="7" t="inlineStr">
        <is>
          <t>x</t>
        </is>
      </c>
      <c r="E93" s="7" t="inlineStr">
        <is>
          <t>x</t>
        </is>
      </c>
      <c r="F93" s="7" t="n"/>
      <c r="G93" s="21" t="inlineStr">
        <is>
          <t>Pomaknuto zbog neradnog dana u tjednu</t>
        </is>
      </c>
    </row>
  </sheetData>
  <autoFilter ref="A4:G93"/>
  <conditionalFormatting sqref="D5:D93">
    <cfRule type="expression" priority="1" dxfId="0">
      <formula>D5="x"</formula>
    </cfRule>
  </conditionalFormatting>
  <conditionalFormatting sqref="E5:E93">
    <cfRule type="expression" priority="2" dxfId="1">
      <formula>E5="x"</formula>
    </cfRule>
  </conditionalFormatting>
  <conditionalFormatting sqref="F5:F93">
    <cfRule type="expression" priority="3" dxfId="2">
      <formula>F5="x"</formula>
    </cfRule>
  </conditionalFormatting>
  <conditionalFormatting sqref="A5:G9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46049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4" t="n">
        <v>46051</v>
      </c>
      <c r="B7" s="15" t="inlineStr">
        <is>
          <t>četvrtak</t>
        </is>
      </c>
      <c r="C7" s="9" t="inlineStr">
        <is>
          <t>Plastika i metal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46077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46079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46105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4" t="n">
        <v>46107</v>
      </c>
      <c r="B19" s="15" t="inlineStr">
        <is>
          <t>četvrtak</t>
        </is>
      </c>
      <c r="C19" s="9" t="inlineStr">
        <is>
          <t>Plastika i metal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46136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46140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46142</v>
      </c>
      <c r="B26" s="15" t="inlineStr">
        <is>
          <t>četvrtak</t>
        </is>
      </c>
      <c r="C26" s="9" t="inlineStr">
        <is>
          <t>Plastika i metal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46168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4" t="n">
        <v>46170</v>
      </c>
      <c r="B32" s="15" t="inlineStr">
        <is>
          <t>četvrtak</t>
        </is>
      </c>
      <c r="C32" s="9" t="inlineStr">
        <is>
          <t>Plastika i metal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46178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46182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46189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46192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46196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46196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4" t="n">
        <v>46198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46199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46203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46206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46227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46231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4" t="n">
        <v>46233</v>
      </c>
      <c r="B54" s="15" t="inlineStr">
        <is>
          <t>četvrtak</t>
        </is>
      </c>
      <c r="C54" s="9" t="inlineStr">
        <is>
          <t>Plastika i metal</t>
        </is>
      </c>
      <c r="D54" s="15" t="n"/>
    </row>
    <row r="55">
      <c r="A55" s="24" t="n">
        <v>46234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46238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46241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46245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46248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46252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46255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46259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46259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4" t="n">
        <v>46261</v>
      </c>
      <c r="B64" s="15" t="inlineStr">
        <is>
          <t>četvrtak</t>
        </is>
      </c>
      <c r="C64" s="9" t="inlineStr">
        <is>
          <t>Plastika i metal</t>
        </is>
      </c>
      <c r="D64" s="15" t="n"/>
    </row>
    <row r="65">
      <c r="A65" s="24" t="n">
        <v>46262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46266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46269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46273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46276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46280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46283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46287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46287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46289</v>
      </c>
      <c r="B74" s="15" t="inlineStr">
        <is>
          <t>četvrtak</t>
        </is>
      </c>
      <c r="C74" s="9" t="inlineStr">
        <is>
          <t>Plastika i metal</t>
        </is>
      </c>
      <c r="D74" s="15" t="n"/>
    </row>
    <row r="75">
      <c r="A75" s="24" t="n">
        <v>46290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46294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46297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46304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46311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46318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46322</v>
      </c>
      <c r="B81" s="15" t="inlineStr">
        <is>
          <t>utorak</t>
        </is>
      </c>
      <c r="C81" s="10" t="inlineStr">
        <is>
          <t>Papir i karton</t>
        </is>
      </c>
      <c r="D81" s="15" t="n"/>
    </row>
    <row r="82">
      <c r="A82" s="24" t="n">
        <v>46324</v>
      </c>
      <c r="B82" s="15" t="inlineStr">
        <is>
          <t>četvrtak</t>
        </is>
      </c>
      <c r="C82" s="9" t="inlineStr">
        <is>
          <t>Plastika i metal</t>
        </is>
      </c>
      <c r="D82" s="15" t="n"/>
    </row>
    <row r="83">
      <c r="A83" s="24" t="n">
        <v>46325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46332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46339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46346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46350</v>
      </c>
      <c r="B87" s="15" t="inlineStr">
        <is>
          <t>utorak</t>
        </is>
      </c>
      <c r="C87" s="10" t="inlineStr">
        <is>
          <t>Papir i karton</t>
        </is>
      </c>
      <c r="D87" s="15" t="n"/>
    </row>
    <row r="88">
      <c r="A88" s="24" t="n">
        <v>46352</v>
      </c>
      <c r="B88" s="15" t="inlineStr">
        <is>
          <t>četvrtak</t>
        </is>
      </c>
      <c r="C88" s="9" t="inlineStr">
        <is>
          <t>Plastika i metal</t>
        </is>
      </c>
      <c r="D88" s="15" t="n"/>
    </row>
    <row r="89">
      <c r="A89" s="24" t="n">
        <v>46353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46360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4" t="n">
        <v>46367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46374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46378</v>
      </c>
      <c r="B93" s="15" t="inlineStr">
        <is>
          <t>utorak</t>
        </is>
      </c>
      <c r="C93" s="10" t="inlineStr">
        <is>
          <t>Papir i karton</t>
        </is>
      </c>
      <c r="D93" s="15" t="n"/>
    </row>
    <row r="94">
      <c r="A94" s="24" t="n">
        <v>46380</v>
      </c>
      <c r="B94" s="15" t="inlineStr">
        <is>
          <t>četvrtak</t>
        </is>
      </c>
      <c r="C94" s="5" t="inlineStr">
        <is>
          <t>Miješani komunalni otpad</t>
        </is>
      </c>
      <c r="D94" s="15" t="inlineStr">
        <is>
          <t>Pomaknuto zbog neradnog dana u tjednu</t>
        </is>
      </c>
    </row>
    <row r="95">
      <c r="A95" s="24" t="n">
        <v>46380</v>
      </c>
      <c r="B95" s="15" t="inlineStr">
        <is>
          <t>četvrtak</t>
        </is>
      </c>
      <c r="C95" s="9" t="inlineStr">
        <is>
          <t>Plastika i metal</t>
        </is>
      </c>
      <c r="D95" s="15" t="inlineStr">
        <is>
          <t>Pomaknuto zbog neradnog dana u tjednu</t>
        </is>
      </c>
    </row>
  </sheetData>
  <autoFilter ref="A1:D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(Ploče): ulice i naselja</t>
        </is>
      </c>
    </row>
    <row r="2">
      <c r="A2" s="20" t="inlineStr">
        <is>
          <t>Komin i Banja</t>
        </is>
      </c>
    </row>
    <row r="4">
      <c r="A4" s="4" t="inlineStr">
        <is>
          <t>Ulica / naselje</t>
        </is>
      </c>
    </row>
    <row r="5">
      <c r="A5" s="15" t="inlineStr">
        <is>
          <t>Komin</t>
        </is>
      </c>
    </row>
    <row r="6">
      <c r="A6" s="15" t="inlineStr">
        <is>
          <t>Banja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2026-10-07T18:53:04Z</dcterms:created>
  <dcterms:modified xmlns:dcterms="http://purl.org/dc/terms/" xmlns:xsi="http://www.w3.org/2001/XMLSchema-instance" xsi:type="dcterms:W3CDTF">2026-10-07T18:53:04Z</dcterms:modified>
</cp:coreProperties>
</file>
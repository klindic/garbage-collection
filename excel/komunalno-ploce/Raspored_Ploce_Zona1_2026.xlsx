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'Raspored'!$A$4:$G$97</definedName>
    <definedName name="_xlnm._FilterDatabase" localSheetId="2" hidden="1">'Po vrsti'!$A$1:$D$94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IFERROR(1/(1/_xlfn.MINIFS(Raspored!$A$5:$A$97,Raspored!$D$5:$D$97,"x",Raspored!$A$5:$A$97,"&gt;="&amp;$B$3)),"nema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COUNTIF(Raspored!$D$5:$D$97,"x")</f>
        <v/>
      </c>
    </row>
    <row r="7">
      <c r="A7" s="9" t="inlineStr">
        <is>
          <t>Plastika i metal</t>
        </is>
      </c>
      <c r="B7" s="6">
        <f>IFERROR(1/(1/_xlfn.MINIFS(Raspored!$A$5:$A$97,Raspored!$E$5:$E$97,"x",Raspored!$A$5:$A$97,"&gt;="&amp;$B$3)),"nema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COUNTIF(Raspored!$E$5:$E$97,"x")</f>
        <v/>
      </c>
    </row>
    <row r="8">
      <c r="A8" s="10" t="inlineStr">
        <is>
          <t>Papir i karton</t>
        </is>
      </c>
      <c r="B8" s="6">
        <f>IFERROR(1/(1/_xlfn.MINIFS(Raspored!$A$5:$A$97,Raspored!$F$5:$F$97,"x",Raspored!$A$5:$A$97,"&gt;="&amp;$B$3)),"nema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COUNTIFS(Raspored!$C$5:$C$97,$A12,Raspored!$D$5:$D$97,"x")</f>
        <v/>
      </c>
      <c r="C12" s="7">
        <f>COUNTIFS(Raspored!$C$5:$C$97,$A12,Raspored!$E$5:$E$97,"x")</f>
        <v/>
      </c>
      <c r="D12" s="7">
        <f>COUNTIFS(Raspored!$C$5:$C$97,$A12,Raspored!$F$5:$F$97,"x")</f>
        <v/>
      </c>
    </row>
    <row r="13">
      <c r="A13" s="15" t="inlineStr">
        <is>
          <t>veljača</t>
        </is>
      </c>
      <c r="B13" s="7">
        <f>COUNTIFS(Raspored!$C$5:$C$97,$A13,Raspored!$D$5:$D$97,"x")</f>
        <v/>
      </c>
      <c r="C13" s="7">
        <f>COUNTIFS(Raspored!$C$5:$C$97,$A13,Raspored!$E$5:$E$97,"x")</f>
        <v/>
      </c>
      <c r="D13" s="7">
        <f>COUNTIFS(Raspored!$C$5:$C$97,$A13,Raspored!$F$5:$F$97,"x")</f>
        <v/>
      </c>
    </row>
    <row r="14">
      <c r="A14" s="15" t="inlineStr">
        <is>
          <t>ožujak</t>
        </is>
      </c>
      <c r="B14" s="7">
        <f>COUNTIFS(Raspored!$C$5:$C$97,$A14,Raspored!$D$5:$D$97,"x")</f>
        <v/>
      </c>
      <c r="C14" s="7">
        <f>COUNTIFS(Raspored!$C$5:$C$97,$A14,Raspored!$E$5:$E$97,"x")</f>
        <v/>
      </c>
      <c r="D14" s="7">
        <f>COUNTIFS(Raspored!$C$5:$C$97,$A14,Raspored!$F$5:$F$97,"x")</f>
        <v/>
      </c>
    </row>
    <row r="15">
      <c r="A15" s="15" t="inlineStr">
        <is>
          <t>travanj</t>
        </is>
      </c>
      <c r="B15" s="7">
        <f>COUNTIFS(Raspored!$C$5:$C$97,$A15,Raspored!$D$5:$D$97,"x")</f>
        <v/>
      </c>
      <c r="C15" s="7">
        <f>COUNTIFS(Raspored!$C$5:$C$97,$A15,Raspored!$E$5:$E$97,"x")</f>
        <v/>
      </c>
      <c r="D15" s="7">
        <f>COUNTIFS(Raspored!$C$5:$C$97,$A15,Raspored!$F$5:$F$97,"x")</f>
        <v/>
      </c>
    </row>
    <row r="16">
      <c r="A16" s="15" t="inlineStr">
        <is>
          <t>svibanj</t>
        </is>
      </c>
      <c r="B16" s="7">
        <f>COUNTIFS(Raspored!$C$5:$C$97,$A16,Raspored!$D$5:$D$97,"x")</f>
        <v/>
      </c>
      <c r="C16" s="7">
        <f>COUNTIFS(Raspored!$C$5:$C$97,$A16,Raspored!$E$5:$E$97,"x")</f>
        <v/>
      </c>
      <c r="D16" s="7">
        <f>COUNTIFS(Raspored!$C$5:$C$97,$A16,Raspored!$F$5:$F$97,"x")</f>
        <v/>
      </c>
    </row>
    <row r="17">
      <c r="A17" s="15" t="inlineStr">
        <is>
          <t>lipanj</t>
        </is>
      </c>
      <c r="B17" s="7">
        <f>COUNTIFS(Raspored!$C$5:$C$97,$A17,Raspored!$D$5:$D$97,"x")</f>
        <v/>
      </c>
      <c r="C17" s="7">
        <f>COUNTIFS(Raspored!$C$5:$C$97,$A17,Raspored!$E$5:$E$97,"x")</f>
        <v/>
      </c>
      <c r="D17" s="7">
        <f>COUNTIFS(Raspored!$C$5:$C$97,$A17,Raspored!$F$5:$F$97,"x")</f>
        <v/>
      </c>
    </row>
    <row r="18">
      <c r="A18" s="15" t="inlineStr">
        <is>
          <t>srpanj</t>
        </is>
      </c>
      <c r="B18" s="7">
        <f>COUNTIFS(Raspored!$C$5:$C$97,$A18,Raspored!$D$5:$D$97,"x")</f>
        <v/>
      </c>
      <c r="C18" s="7">
        <f>COUNTIFS(Raspored!$C$5:$C$97,$A18,Raspored!$E$5:$E$97,"x")</f>
        <v/>
      </c>
      <c r="D18" s="7">
        <f>COUNTIFS(Raspored!$C$5:$C$97,$A18,Raspored!$F$5:$F$97,"x")</f>
        <v/>
      </c>
    </row>
    <row r="19">
      <c r="A19" s="15" t="inlineStr">
        <is>
          <t>kolovoz</t>
        </is>
      </c>
      <c r="B19" s="7">
        <f>COUNTIFS(Raspored!$C$5:$C$97,$A19,Raspored!$D$5:$D$97,"x")</f>
        <v/>
      </c>
      <c r="C19" s="7">
        <f>COUNTIFS(Raspored!$C$5:$C$97,$A19,Raspored!$E$5:$E$97,"x")</f>
        <v/>
      </c>
      <c r="D19" s="7">
        <f>COUNTIFS(Raspored!$C$5:$C$97,$A19,Raspored!$F$5:$F$97,"x")</f>
        <v/>
      </c>
    </row>
    <row r="20">
      <c r="A20" s="15" t="inlineStr">
        <is>
          <t>rujan</t>
        </is>
      </c>
      <c r="B20" s="7">
        <f>COUNTIFS(Raspored!$C$5:$C$97,$A20,Raspored!$D$5:$D$97,"x")</f>
        <v/>
      </c>
      <c r="C20" s="7">
        <f>COUNTIFS(Raspored!$C$5:$C$97,$A20,Raspored!$E$5:$E$97,"x")</f>
        <v/>
      </c>
      <c r="D20" s="7">
        <f>COUNTIFS(Raspored!$C$5:$C$97,$A20,Raspored!$F$5:$F$97,"x")</f>
        <v/>
      </c>
    </row>
    <row r="21">
      <c r="A21" s="15" t="inlineStr">
        <is>
          <t>listopad</t>
        </is>
      </c>
      <c r="B21" s="7">
        <f>COUNTIFS(Raspored!$C$5:$C$97,$A21,Raspored!$D$5:$D$97,"x")</f>
        <v/>
      </c>
      <c r="C21" s="7">
        <f>COUNTIFS(Raspored!$C$5:$C$97,$A21,Raspored!$E$5:$E$97,"x")</f>
        <v/>
      </c>
      <c r="D21" s="7">
        <f>COUNTIFS(Raspored!$C$5:$C$97,$A21,Raspored!$F$5:$F$97,"x")</f>
        <v/>
      </c>
    </row>
    <row r="22">
      <c r="A22" s="15" t="inlineStr">
        <is>
          <t>studeni</t>
        </is>
      </c>
      <c r="B22" s="7">
        <f>COUNTIFS(Raspored!$C$5:$C$97,$A22,Raspored!$D$5:$D$97,"x")</f>
        <v/>
      </c>
      <c r="C22" s="7">
        <f>COUNTIFS(Raspored!$C$5:$C$97,$A22,Raspored!$E$5:$E$97,"x")</f>
        <v/>
      </c>
      <c r="D22" s="7">
        <f>COUNTIFS(Raspored!$C$5:$C$97,$A22,Raspored!$F$5:$F$97,"x")</f>
        <v/>
      </c>
    </row>
    <row r="23">
      <c r="A23" s="15" t="inlineStr">
        <is>
          <t>prosinac</t>
        </is>
      </c>
      <c r="B23" s="7">
        <f>COUNTIFS(Raspored!$C$5:$C$97,$A23,Raspored!$D$5:$D$97,"x")</f>
        <v/>
      </c>
      <c r="C23" s="7">
        <f>COUNTIFS(Raspored!$C$5:$C$97,$A23,Raspored!$E$5:$E$97,"x")</f>
        <v/>
      </c>
      <c r="D23" s="7">
        <f>COUNTIFS(Raspored!$C$5:$C$97,$A23,Raspored!$F$5:$F$97,"x")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Zelena kanta: miješani otpad; plava kanta: papir; žuta kanta: plastika.</t>
        </is>
      </c>
    </row>
    <row r="28">
      <c r="A28" s="19" t="inlineStr">
        <is>
          <t>• Kantu treba iznijeti u večernjim satima prije dana odvoza, na javnu površinu ispred nekretnine.</t>
        </is>
      </c>
    </row>
    <row r="29">
      <c r="A29" s="19" t="inlineStr">
        <is>
          <t>• Ploče (grad): kontejneri za miješani otpad prazne se svaki dan osim nedjelje, kontejneri za reciklažu jednom tjedno; za grad nema kalendara s datumima.</t>
        </is>
      </c>
    </row>
    <row r="30">
      <c r="A30" s="19" t="inlineStr">
        <is>
          <t>• Ljetni raspored (od lipnja do rujna, češći odvoz) ucrtan je u kalendare; izmjene objavljuje Komunalno održavanje na komunalno.ploce.hr.</t>
        </is>
      </c>
    </row>
    <row r="31">
      <c r="A31" s="19" t="inlineStr">
        <is>
          <t>• Pomaci zbog blagdana ucrtani su u kalendare (označeni kao pomaknuti).</t>
        </is>
      </c>
    </row>
    <row r="32">
      <c r="A32" s="19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3">
      <c r="A33" s="19" t="inlineStr">
        <is>
          <t>• Reciklažno dvorište Ploče, Dalmatinska 5A: ponedjeljak, srijeda i petak 7–14, utorak i četvrtak 14–19, subota 7–12 sati.</t>
        </is>
      </c>
    </row>
    <row r="34">
      <c r="A34" s="19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(Ploče)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46133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46161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46186</v>
      </c>
      <c r="B39" s="7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46190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46191</v>
      </c>
      <c r="B42" s="7" t="inlineStr">
        <is>
          <t>četvrtak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46193</v>
      </c>
      <c r="B43" s="7" t="inlineStr">
        <is>
          <t>subota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46197</v>
      </c>
      <c r="B44" s="7" t="inlineStr">
        <is>
          <t>srijeda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46200</v>
      </c>
      <c r="B45" s="7" t="inlineStr">
        <is>
          <t>subota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46204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46207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46214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46228</v>
      </c>
      <c r="B55" s="7" t="inlineStr">
        <is>
          <t>subota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46232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46235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46242</v>
      </c>
      <c r="B59" s="7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46249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46254</v>
      </c>
      <c r="B64" s="7" t="inlineStr">
        <is>
          <t>četvrtak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46256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46260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46263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46270</v>
      </c>
      <c r="B69" s="7" t="inlineStr">
        <is>
          <t>subota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46274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46277</v>
      </c>
      <c r="B71" s="7" t="inlineStr">
        <is>
          <t>subota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46280</v>
      </c>
      <c r="B72" s="7" t="inlineStr">
        <is>
          <t>utorak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46281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46282</v>
      </c>
      <c r="B74" s="7" t="inlineStr">
        <is>
          <t>četvrtak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46284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46288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46291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46295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46302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46309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46315</v>
      </c>
      <c r="B81" s="7" t="inlineStr">
        <is>
          <t>utorak</t>
        </is>
      </c>
      <c r="C81" s="7" t="inlineStr">
        <is>
          <t>listopad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46316</v>
      </c>
      <c r="B82" s="7" t="inlineStr">
        <is>
          <t>srijeda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46317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46323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46330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46337</v>
      </c>
      <c r="B86" s="7" t="inlineStr">
        <is>
          <t>srijeda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46343</v>
      </c>
      <c r="B87" s="7" t="inlineStr">
        <is>
          <t>utorak</t>
        </is>
      </c>
      <c r="C87" s="7" t="inlineStr">
        <is>
          <t>studeni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46344</v>
      </c>
      <c r="B88" s="7" t="inlineStr">
        <is>
          <t>srijeda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46345</v>
      </c>
      <c r="B89" s="7" t="inlineStr">
        <is>
          <t>četvrtak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46351</v>
      </c>
      <c r="B90" s="7" t="inlineStr">
        <is>
          <t>srijeda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46358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46365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46371</v>
      </c>
      <c r="B93" s="7" t="inlineStr">
        <is>
          <t>utorak</t>
        </is>
      </c>
      <c r="C93" s="7" t="inlineStr">
        <is>
          <t>prosinac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46372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46373</v>
      </c>
      <c r="B95" s="7" t="inlineStr">
        <is>
          <t>četvrtak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46379</v>
      </c>
      <c r="B96" s="7" t="inlineStr">
        <is>
          <t>srijeda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46386</v>
      </c>
      <c r="B97" s="7" t="inlineStr">
        <is>
          <t>srijeda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</sheetData>
  <autoFilter ref="A4:G97"/>
  <conditionalFormatting sqref="D5:D97">
    <cfRule type="expression" priority="1" dxfId="0">
      <formula>D5="x"</formula>
    </cfRule>
  </conditionalFormatting>
  <conditionalFormatting sqref="E5:E97">
    <cfRule type="expression" priority="2" dxfId="1">
      <formula>E5="x"</formula>
    </cfRule>
  </conditionalFormatting>
  <conditionalFormatting sqref="F5:F97">
    <cfRule type="expression" priority="3" dxfId="2">
      <formula>F5="x"</formula>
    </cfRule>
  </conditionalFormatting>
  <conditionalFormatting sqref="A5:G9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46044</v>
      </c>
      <c r="B6" s="15" t="inlineStr">
        <is>
          <t>četvrtak</t>
        </is>
      </c>
      <c r="C6" s="9" t="inlineStr">
        <is>
          <t>Plastika i metal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46070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46072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46098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46100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46133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46135</v>
      </c>
      <c r="B25" s="15" t="inlineStr">
        <is>
          <t>četvrtak</t>
        </is>
      </c>
      <c r="C25" s="9" t="inlineStr">
        <is>
          <t>Plastika i metal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46161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2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46163</v>
      </c>
      <c r="B31" s="15" t="inlineStr">
        <is>
          <t>četvrtak</t>
        </is>
      </c>
      <c r="C31" s="9" t="inlineStr">
        <is>
          <t>Plastika i metal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46186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46189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46190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46191</v>
      </c>
      <c r="B39" s="15" t="inlineStr">
        <is>
          <t>četvrtak</t>
        </is>
      </c>
      <c r="C39" s="9" t="inlineStr">
        <is>
          <t>Plastika i metal</t>
        </is>
      </c>
      <c r="D39" s="15" t="n"/>
    </row>
    <row r="40">
      <c r="A40" s="22" t="n">
        <v>46193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46197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46200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46204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46207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46211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46214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46218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46221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46224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46226</v>
      </c>
      <c r="B51" s="15" t="inlineStr">
        <is>
          <t>četvrtak</t>
        </is>
      </c>
      <c r="C51" s="9" t="inlineStr">
        <is>
          <t>Plastika i metal</t>
        </is>
      </c>
      <c r="D51" s="15" t="n"/>
    </row>
    <row r="52">
      <c r="A52" s="22" t="n">
        <v>46228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46232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46235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46239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46242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46246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46249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46252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46253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46254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2" t="n">
        <v>46256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46260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46263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46267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46270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46274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46277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46280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46281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46282</v>
      </c>
      <c r="B71" s="15" t="inlineStr">
        <is>
          <t>četvrtak</t>
        </is>
      </c>
      <c r="C71" s="9" t="inlineStr">
        <is>
          <t>Plastika i metal</t>
        </is>
      </c>
      <c r="D71" s="15" t="n"/>
    </row>
    <row r="72">
      <c r="A72" s="22" t="n">
        <v>46284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46288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46291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46295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46302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46309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46315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46316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46317</v>
      </c>
      <c r="B80" s="15" t="inlineStr">
        <is>
          <t>četvrtak</t>
        </is>
      </c>
      <c r="C80" s="9" t="inlineStr">
        <is>
          <t>Plastika i metal</t>
        </is>
      </c>
      <c r="D80" s="15" t="n"/>
    </row>
    <row r="81">
      <c r="A81" s="22" t="n">
        <v>46323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46330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46337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46343</v>
      </c>
      <c r="B84" s="15" t="inlineStr">
        <is>
          <t>utorak</t>
        </is>
      </c>
      <c r="C84" s="10" t="inlineStr">
        <is>
          <t>Papir i karton</t>
        </is>
      </c>
      <c r="D84" s="15" t="n"/>
    </row>
    <row r="85">
      <c r="A85" s="22" t="n">
        <v>46344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46345</v>
      </c>
      <c r="B86" s="15" t="inlineStr">
        <is>
          <t>četvrtak</t>
        </is>
      </c>
      <c r="C86" s="9" t="inlineStr">
        <is>
          <t>Plastika i metal</t>
        </is>
      </c>
      <c r="D86" s="15" t="n"/>
    </row>
    <row r="87">
      <c r="A87" s="22" t="n">
        <v>46351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46358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46365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46371</v>
      </c>
      <c r="B90" s="15" t="inlineStr">
        <is>
          <t>utorak</t>
        </is>
      </c>
      <c r="C90" s="10" t="inlineStr">
        <is>
          <t>Papir i karton</t>
        </is>
      </c>
      <c r="D90" s="15" t="n"/>
    </row>
    <row r="91">
      <c r="A91" s="22" t="n">
        <v>46372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46373</v>
      </c>
      <c r="B92" s="15" t="inlineStr">
        <is>
          <t>četvrtak</t>
        </is>
      </c>
      <c r="C92" s="9" t="inlineStr">
        <is>
          <t>Plastika i metal</t>
        </is>
      </c>
      <c r="D92" s="15" t="n"/>
    </row>
    <row r="93">
      <c r="A93" s="22" t="n">
        <v>46379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46386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</sheetData>
  <autoFilter ref="A1:D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(Ploče): ulice i naselja</t>
        </is>
      </c>
    </row>
    <row r="2">
      <c r="A2" s="20" t="inlineStr">
        <is>
          <t>Staševica, Spilice-Crpala-Gnječi, Peračko Blato</t>
        </is>
      </c>
    </row>
    <row r="4">
      <c r="A4" s="4" t="inlineStr">
        <is>
          <t>Ulica / naselje</t>
        </is>
      </c>
    </row>
    <row r="5">
      <c r="A5" s="15" t="inlineStr">
        <is>
          <t>Staševica</t>
        </is>
      </c>
    </row>
    <row r="6">
      <c r="A6" s="15" t="inlineStr">
        <is>
          <t>Spilice-Crpala-Gnječi</t>
        </is>
      </c>
    </row>
    <row r="7">
      <c r="A7" s="15" t="inlineStr">
        <is>
          <t>Peračko Blato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
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'Raspored'!$A$4:$H$134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Biootpad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IFERROR(1/(1/_xlfn.MINIFS(Raspored!$A$5:$A$134,Raspored!$F$5:$F$134,"x",Raspored!$A$5:$A$134,"&gt;="&amp;$B$3)),"nema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COUNTIF(Raspored!$F$5:$F$134,"x")</f>
        <v/>
      </c>
    </row>
    <row r="9">
      <c r="A9" s="11" t="inlineStr">
        <is>
          <t>Papir i karton</t>
        </is>
      </c>
      <c r="B9" s="6">
        <f>IFERROR(1/(1/_xlfn.MINIFS(Raspored!$A$5:$A$134,Raspored!$G$5:$G$134,"x",Raspored!$A$5:$A$134,"&gt;="&amp;$B$3)),"nema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  <c r="D13" s="7">
        <f>COUNTIFS(Raspored!$C$5:$C$134,$A13,Raspored!$F$5:$F$134,"x")</f>
        <v/>
      </c>
      <c r="E13" s="7">
        <f>COUNTIFS(Raspored!$C$5:$C$134,$A13,Raspored!$G$5:$G$134,"x")</f>
        <v/>
      </c>
    </row>
    <row r="14">
      <c r="A14" s="17" t="inlineStr">
        <is>
          <t>veljača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  <c r="D14" s="7">
        <f>COUNTIFS(Raspored!$C$5:$C$134,$A14,Raspored!$F$5:$F$134,"x")</f>
        <v/>
      </c>
      <c r="E14" s="7">
        <f>COUNTIFS(Raspored!$C$5:$C$134,$A14,Raspored!$G$5:$G$134,"x")</f>
        <v/>
      </c>
    </row>
    <row r="15">
      <c r="A15" s="17" t="inlineStr">
        <is>
          <t>ožujak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  <c r="D15" s="7">
        <f>COUNTIFS(Raspored!$C$5:$C$134,$A15,Raspored!$F$5:$F$134,"x")</f>
        <v/>
      </c>
      <c r="E15" s="7">
        <f>COUNTIFS(Raspored!$C$5:$C$134,$A15,Raspored!$G$5:$G$134,"x")</f>
        <v/>
      </c>
    </row>
    <row r="16">
      <c r="A16" s="17" t="inlineStr">
        <is>
          <t>travanj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  <c r="D16" s="7">
        <f>COUNTIFS(Raspored!$C$5:$C$134,$A16,Raspored!$F$5:$F$134,"x")</f>
        <v/>
      </c>
      <c r="E16" s="7">
        <f>COUNTIFS(Raspored!$C$5:$C$134,$A16,Raspored!$G$5:$G$134,"x")</f>
        <v/>
      </c>
    </row>
    <row r="17">
      <c r="A17" s="17" t="inlineStr">
        <is>
          <t>svibanj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  <c r="D17" s="7">
        <f>COUNTIFS(Raspored!$C$5:$C$134,$A17,Raspored!$F$5:$F$134,"x")</f>
        <v/>
      </c>
      <c r="E17" s="7">
        <f>COUNTIFS(Raspored!$C$5:$C$134,$A17,Raspored!$G$5:$G$134,"x")</f>
        <v/>
      </c>
    </row>
    <row r="18">
      <c r="A18" s="17" t="inlineStr">
        <is>
          <t>lipanj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  <c r="D18" s="7">
        <f>COUNTIFS(Raspored!$C$5:$C$134,$A18,Raspored!$F$5:$F$134,"x")</f>
        <v/>
      </c>
      <c r="E18" s="7">
        <f>COUNTIFS(Raspored!$C$5:$C$134,$A18,Raspored!$G$5:$G$134,"x")</f>
        <v/>
      </c>
    </row>
    <row r="19">
      <c r="A19" s="17" t="inlineStr">
        <is>
          <t>srpanj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  <c r="D19" s="7">
        <f>COUNTIFS(Raspored!$C$5:$C$134,$A19,Raspored!$F$5:$F$134,"x")</f>
        <v/>
      </c>
      <c r="E19" s="7">
        <f>COUNTIFS(Raspored!$C$5:$C$134,$A19,Raspored!$G$5:$G$134,"x")</f>
        <v/>
      </c>
    </row>
    <row r="20">
      <c r="A20" s="17" t="inlineStr">
        <is>
          <t>kolovoz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  <c r="D20" s="7">
        <f>COUNTIFS(Raspored!$C$5:$C$134,$A20,Raspored!$F$5:$F$134,"x")</f>
        <v/>
      </c>
      <c r="E20" s="7">
        <f>COUNTIFS(Raspored!$C$5:$C$134,$A20,Raspored!$G$5:$G$134,"x")</f>
        <v/>
      </c>
    </row>
    <row r="21">
      <c r="A21" s="17" t="inlineStr">
        <is>
          <t>rujan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  <c r="D21" s="7">
        <f>COUNTIFS(Raspored!$C$5:$C$134,$A21,Raspored!$F$5:$F$134,"x")</f>
        <v/>
      </c>
      <c r="E21" s="7">
        <f>COUNTIFS(Raspored!$C$5:$C$134,$A21,Raspored!$G$5:$G$134,"x")</f>
        <v/>
      </c>
    </row>
    <row r="22">
      <c r="A22" s="17" t="inlineStr">
        <is>
          <t>listopad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  <c r="D22" s="7">
        <f>COUNTIFS(Raspored!$C$5:$C$134,$A22,Raspored!$F$5:$F$134,"x")</f>
        <v/>
      </c>
      <c r="E22" s="7">
        <f>COUNTIFS(Raspored!$C$5:$C$134,$A22,Raspored!$G$5:$G$134,"x")</f>
        <v/>
      </c>
    </row>
    <row r="23">
      <c r="A23" s="17" t="inlineStr">
        <is>
          <t>studeni</t>
        </is>
      </c>
      <c r="B23" s="7">
        <f>COUNTIFS(Raspored!$C$5:$C$134,$A23,Raspored!$D$5:$D$134,"x")</f>
        <v/>
      </c>
      <c r="C23" s="7">
        <f>COUNTIFS(Raspored!$C$5:$C$134,$A23,Raspored!$E$5:$E$134,"x")</f>
        <v/>
      </c>
      <c r="D23" s="7">
        <f>COUNTIFS(Raspored!$C$5:$C$134,$A23,Raspored!$F$5:$F$134,"x")</f>
        <v/>
      </c>
      <c r="E23" s="7">
        <f>COUNTIFS(Raspored!$C$5:$C$134,$A23,Raspored!$G$5:$G$134,"x")</f>
        <v/>
      </c>
    </row>
    <row r="24">
      <c r="A24" s="17" t="inlineStr">
        <is>
          <t>prosinac</t>
        </is>
      </c>
      <c r="B24" s="7">
        <f>COUNTIFS(Raspored!$C$5:$C$134,$A24,Raspored!$D$5:$D$134,"x")</f>
        <v/>
      </c>
      <c r="C24" s="7">
        <f>COUNTIFS(Raspored!$C$5:$C$134,$A24,Raspored!$E$5:$E$134,"x")</f>
        <v/>
      </c>
      <c r="D24" s="7">
        <f>COUNTIFS(Raspored!$C$5:$C$134,$A24,Raspored!$F$5:$F$134,"x")</f>
        <v/>
      </c>
      <c r="E24" s="7">
        <f>COUNTIFS(Raspored!$C$5:$C$134,$A24,Raspored!$G$5:$G$134,"x")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31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46046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46053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46060</v>
      </c>
      <c r="B18" s="7" t="inlineStr">
        <is>
          <t>subota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46067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46074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46081</v>
      </c>
      <c r="B25" s="7" t="inlineStr">
        <is>
          <t>subota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46088</v>
      </c>
      <c r="B28" s="7" t="inlineStr">
        <is>
          <t>subota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46095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46102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46109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46116</v>
      </c>
      <c r="B38" s="7" t="inlineStr">
        <is>
          <t>subota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46123</v>
      </c>
      <c r="B40" s="7" t="inlineStr">
        <is>
          <t>subota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46130</v>
      </c>
      <c r="B43" s="7" t="inlineStr">
        <is>
          <t>subota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46137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46144</v>
      </c>
      <c r="B48" s="7" t="inlineStr">
        <is>
          <t>subota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46151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46158</v>
      </c>
      <c r="B53" s="7" t="inlineStr">
        <is>
          <t>subota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46165</v>
      </c>
      <c r="B55" s="7" t="inlineStr">
        <is>
          <t>subota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46172</v>
      </c>
      <c r="B58" s="7" t="inlineStr">
        <is>
          <t>subota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46179</v>
      </c>
      <c r="B60" s="7" t="inlineStr">
        <is>
          <t>subota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46186</v>
      </c>
      <c r="B63" s="7" t="inlineStr">
        <is>
          <t>subota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46193</v>
      </c>
      <c r="B65" s="7" t="inlineStr">
        <is>
          <t>subota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46200</v>
      </c>
      <c r="B68" s="7" t="inlineStr">
        <is>
          <t>subota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46203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46207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46214</v>
      </c>
      <c r="B73" s="7" t="inlineStr">
        <is>
          <t>subota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46221</v>
      </c>
      <c r="B75" s="7" t="inlineStr">
        <is>
          <t>subota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46228</v>
      </c>
      <c r="B78" s="7" t="inlineStr">
        <is>
          <t>subota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46235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46242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46245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46249</v>
      </c>
      <c r="B85" s="7" t="inlineStr">
        <is>
          <t>subota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46256</v>
      </c>
      <c r="B88" s="7" t="inlineStr">
        <is>
          <t>subota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46259</v>
      </c>
      <c r="B89" s="7" t="inlineStr">
        <is>
          <t>utorak</t>
        </is>
      </c>
      <c r="C89" s="7" t="inlineStr">
        <is>
          <t>kolovoz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46263</v>
      </c>
      <c r="B90" s="7" t="inlineStr">
        <is>
          <t>subota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46266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46270</v>
      </c>
      <c r="B93" s="7" t="inlineStr">
        <is>
          <t>subota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46273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46277</v>
      </c>
      <c r="B95" s="7" t="inlineStr">
        <is>
          <t>subota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46280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46284</v>
      </c>
      <c r="B98" s="7" t="inlineStr">
        <is>
          <t>subota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46287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46291</v>
      </c>
      <c r="B100" s="7" t="inlineStr">
        <is>
          <t>subota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46294</v>
      </c>
      <c r="B101" s="7" t="inlineStr">
        <is>
          <t>utorak</t>
        </is>
      </c>
      <c r="C101" s="7" t="inlineStr">
        <is>
          <t>rujan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46296</v>
      </c>
      <c r="B102" s="7" t="inlineStr">
        <is>
          <t>četvrtak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46298</v>
      </c>
      <c r="B103" s="7" t="inlineStr">
        <is>
          <t>subota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46301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46305</v>
      </c>
      <c r="B105" s="7" t="inlineStr">
        <is>
          <t>subota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46308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46310</v>
      </c>
      <c r="B107" s="7" t="inlineStr">
        <is>
          <t>četvrtak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46312</v>
      </c>
      <c r="B108" s="7" t="inlineStr">
        <is>
          <t>subota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46315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46319</v>
      </c>
      <c r="B110" s="7" t="inlineStr">
        <is>
          <t>subota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46322</v>
      </c>
      <c r="B111" s="7" t="inlineStr">
        <is>
          <t>utorak</t>
        </is>
      </c>
      <c r="C111" s="7" t="inlineStr">
        <is>
          <t>listopad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46324</v>
      </c>
      <c r="B112" s="7" t="inlineStr">
        <is>
          <t>četvrtak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46326</v>
      </c>
      <c r="B113" s="7" t="inlineStr">
        <is>
          <t>subota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46329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46333</v>
      </c>
      <c r="B115" s="7" t="inlineStr">
        <is>
          <t>subota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46336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46338</v>
      </c>
      <c r="B117" s="7" t="inlineStr">
        <is>
          <t>četvrtak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46340</v>
      </c>
      <c r="B118" s="7" t="inlineStr">
        <is>
          <t>subota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46343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46347</v>
      </c>
      <c r="B120" s="7" t="inlineStr">
        <is>
          <t>subota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46350</v>
      </c>
      <c r="B121" s="7" t="inlineStr">
        <is>
          <t>utorak</t>
        </is>
      </c>
      <c r="C121" s="7" t="inlineStr">
        <is>
          <t>studeni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46352</v>
      </c>
      <c r="B122" s="7" t="inlineStr">
        <is>
          <t>četvrtak</t>
        </is>
      </c>
      <c r="C122" s="7" t="inlineStr">
        <is>
          <t>studeni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46354</v>
      </c>
      <c r="B123" s="7" t="inlineStr">
        <is>
          <t>subota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46357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46361</v>
      </c>
      <c r="B125" s="7" t="inlineStr">
        <is>
          <t>subota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46364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46366</v>
      </c>
      <c r="B127" s="7" t="inlineStr">
        <is>
          <t>četvrtak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46368</v>
      </c>
      <c r="B128" s="7" t="inlineStr">
        <is>
          <t>subota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46371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46375</v>
      </c>
      <c r="B130" s="7" t="inlineStr">
        <is>
          <t>subota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46378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46380</v>
      </c>
      <c r="B132" s="7" t="inlineStr">
        <is>
          <t>četvrtak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46382</v>
      </c>
      <c r="B133" s="7" t="inlineStr">
        <is>
          <t>subota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46385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</sheetData>
  <autoFilter ref="A4:H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F5:F134">
    <cfRule type="expression" priority="3" dxfId="2">
      <formula>F5="x"</formula>
    </cfRule>
  </conditionalFormatting>
  <conditionalFormatting sqref="G5:G134">
    <cfRule type="expression" priority="4" dxfId="3">
      <formula>G5="x"</formula>
    </cfRule>
  </conditionalFormatting>
  <conditionalFormatting sqref="A5:H13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46042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46044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46046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46049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46053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46056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46058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46060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46063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46067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46070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46072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46074</v>
      </c>
      <c r="B31" s="17" t="inlineStr">
        <is>
          <t>subota</t>
        </is>
      </c>
      <c r="C31" s="5" t="inlineStr">
        <is>
          <t>Miješani komunalni otpad</t>
        </is>
      </c>
      <c r="D31" s="17" t="n"/>
    </row>
    <row r="32">
      <c r="A32" s="24" t="n">
        <v>46077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46081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46084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46086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4" t="n">
        <v>46088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46091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46095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46098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46100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4" t="n">
        <v>46102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46105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46109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46112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46114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46116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46119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46123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46126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46128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4" t="n">
        <v>46130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46133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46137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46140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46142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4" t="n">
        <v>46144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46147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46151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46154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46156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46158</v>
      </c>
      <c r="B79" s="17" t="inlineStr">
        <is>
          <t>subota</t>
        </is>
      </c>
      <c r="C79" s="5" t="inlineStr">
        <is>
          <t>Miješani komunalni otpad</t>
        </is>
      </c>
      <c r="D79" s="17" t="n"/>
    </row>
    <row r="80">
      <c r="A80" s="24" t="n">
        <v>46161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46165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46168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46170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4" t="n">
        <v>46172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46175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46179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46182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46184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4" t="n">
        <v>46186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46189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46193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46196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46200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46203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46207</v>
      </c>
      <c r="B106" s="17" t="inlineStr">
        <is>
          <t>subota</t>
        </is>
      </c>
      <c r="C106" s="5" t="inlineStr">
        <is>
          <t>Miješani komunalni otpad</t>
        </is>
      </c>
      <c r="D106" s="17" t="n"/>
    </row>
    <row r="107">
      <c r="A107" s="24" t="n">
        <v>46210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1" t="inlineStr">
        <is>
          <t>Papir i karton</t>
        </is>
      </c>
      <c r="D110" s="17" t="n"/>
    </row>
    <row r="111">
      <c r="A111" s="24" t="n">
        <v>46214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46217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46221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46224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46228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46231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46235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46238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46242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46245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46249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46252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1" t="inlineStr">
        <is>
          <t>Papir i karton</t>
        </is>
      </c>
      <c r="D134" s="17" t="n"/>
    </row>
    <row r="135">
      <c r="A135" s="24" t="n">
        <v>46256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46259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4" t="n">
        <v>46263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46266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9" t="inlineStr">
        <is>
          <t>Biootpad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1" t="inlineStr">
        <is>
          <t>Papir i karton</t>
        </is>
      </c>
      <c r="D142" s="17" t="n"/>
    </row>
    <row r="143">
      <c r="A143" s="24" t="n">
        <v>46270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46273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46277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46280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46284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46287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46291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46294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1" t="inlineStr">
        <is>
          <t>Papir i karton</t>
        </is>
      </c>
      <c r="D158" s="17" t="n"/>
    </row>
    <row r="159">
      <c r="A159" s="24" t="n">
        <v>46298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46301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9" t="inlineStr">
        <is>
          <t>Biootpad</t>
        </is>
      </c>
      <c r="D161" s="17" t="n"/>
    </row>
    <row r="162">
      <c r="A162" s="24" t="n">
        <v>46305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46308</v>
      </c>
      <c r="B163" s="17" t="inlineStr">
        <is>
          <t>utorak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9" t="inlineStr">
        <is>
          <t>Biootpad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1" t="inlineStr">
        <is>
          <t>Papir i karton</t>
        </is>
      </c>
      <c r="D166" s="17" t="n"/>
    </row>
    <row r="167">
      <c r="A167" s="24" t="n">
        <v>46312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46315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9" t="inlineStr">
        <is>
          <t>Biootpad</t>
        </is>
      </c>
      <c r="D169" s="17" t="n"/>
    </row>
    <row r="170">
      <c r="A170" s="24" t="n">
        <v>46319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46322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9" t="inlineStr">
        <is>
          <t>Biootpad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4" t="n">
        <v>46326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46329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9" t="inlineStr">
        <is>
          <t>Biootpad</t>
        </is>
      </c>
      <c r="D177" s="17" t="n"/>
    </row>
    <row r="178">
      <c r="A178" s="24" t="n">
        <v>46333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46336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1" t="inlineStr">
        <is>
          <t>Papir i karton</t>
        </is>
      </c>
      <c r="D182" s="17" t="n"/>
    </row>
    <row r="183">
      <c r="A183" s="24" t="n">
        <v>46340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46343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9" t="inlineStr">
        <is>
          <t>Biootpad</t>
        </is>
      </c>
      <c r="D185" s="17" t="n"/>
    </row>
    <row r="186">
      <c r="A186" s="24" t="n">
        <v>46347</v>
      </c>
      <c r="B186" s="17" t="inlineStr">
        <is>
          <t>subota</t>
        </is>
      </c>
      <c r="C186" s="5" t="inlineStr">
        <is>
          <t>Miješani komunalni otpad</t>
        </is>
      </c>
      <c r="D186" s="17" t="n"/>
    </row>
    <row r="187">
      <c r="A187" s="24" t="n">
        <v>46350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9" t="inlineStr">
        <is>
          <t>Biootpad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1" t="inlineStr">
        <is>
          <t>Papir i karton</t>
        </is>
      </c>
      <c r="D190" s="17" t="n"/>
    </row>
    <row r="191">
      <c r="A191" s="24" t="n">
        <v>46354</v>
      </c>
      <c r="B191" s="17" t="inlineStr">
        <is>
          <t>subota</t>
        </is>
      </c>
      <c r="C191" s="5" t="inlineStr">
        <is>
          <t>Miješani komunalni otpad</t>
        </is>
      </c>
      <c r="D191" s="17" t="n"/>
    </row>
    <row r="192">
      <c r="A192" s="24" t="n">
        <v>46357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9" t="inlineStr">
        <is>
          <t>Biootpad</t>
        </is>
      </c>
      <c r="D193" s="17" t="n"/>
    </row>
    <row r="194">
      <c r="A194" s="24" t="n">
        <v>46361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46364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9" t="inlineStr">
        <is>
          <t>Biootpad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1" t="inlineStr">
        <is>
          <t>Papir i karton</t>
        </is>
      </c>
      <c r="D198" s="17" t="n"/>
    </row>
    <row r="199">
      <c r="A199" s="24" t="n">
        <v>46368</v>
      </c>
      <c r="B199" s="17" t="inlineStr">
        <is>
          <t>subota</t>
        </is>
      </c>
      <c r="C199" s="5" t="inlineStr">
        <is>
          <t>Miješani komunalni otpad</t>
        </is>
      </c>
      <c r="D199" s="17" t="n"/>
    </row>
    <row r="200">
      <c r="A200" s="24" t="n">
        <v>46371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9" t="inlineStr">
        <is>
          <t>Biootpad</t>
        </is>
      </c>
      <c r="D201" s="17" t="n"/>
    </row>
    <row r="202">
      <c r="A202" s="24" t="n">
        <v>46375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46378</v>
      </c>
      <c r="B203" s="17" t="inlineStr">
        <is>
          <t>utorak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9" t="inlineStr">
        <is>
          <t>Biootpad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1" t="inlineStr">
        <is>
          <t>Papir i karton</t>
        </is>
      </c>
      <c r="D206" s="17" t="n"/>
    </row>
    <row r="207">
      <c r="A207" s="24" t="n">
        <v>46382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46385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Ante Starčevića (Zadar)</t>
        </is>
      </c>
    </row>
    <row r="6">
      <c r="A6" s="17" t="inlineStr">
        <is>
          <t>Bože Peričića (Zadar) 7-7/A, 9, 11, 13-15</t>
        </is>
      </c>
    </row>
    <row r="7">
      <c r="A7" s="17" t="inlineStr">
        <is>
          <t>Škabrnjanska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2026-10-08T06:08:07Z</dcterms:created>
  <dcterms:modified xmlns:dcterms="http://purl.org/dc/terms/" xmlns:xsi="http://www.w3.org/2001/XMLSchema-instance" xsi:type="dcterms:W3CDTF">2026-10-08T06:08:07Z</dcterms:modified>
</cp:coreProperties>
</file>
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'Raspored'!$A$4:$H$134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9">
      <c r="A9" s="11" t="inlineStr">
        <is>
          <t>Papir i karton</t>
        </is>
      </c>
      <c r="B9" s="6">
        <f>IFERROR(1/(1/_xlfn.MINIFS(Raspored!$A$5:$A$134,Raspored!$G$5:$G$134,"x",Raspored!$A$5:$A$134,"&gt;="&amp;$B$3)),"nema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  <c r="E13" s="7">
        <f>COUNTIFS(Raspored!$C$5:$C$134,$A13,Raspored!$G$5:$G$134,"x")</f>
        <v/>
      </c>
    </row>
    <row r="14">
      <c r="A14" s="17" t="inlineStr">
        <is>
          <t>veljača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  <c r="E14" s="7">
        <f>COUNTIFS(Raspored!$C$5:$C$134,$A14,Raspored!$G$5:$G$134,"x")</f>
        <v/>
      </c>
    </row>
    <row r="15">
      <c r="A15" s="17" t="inlineStr">
        <is>
          <t>ožujak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  <c r="E15" s="7">
        <f>COUNTIFS(Raspored!$C$5:$C$134,$A15,Raspored!$G$5:$G$134,"x")</f>
        <v/>
      </c>
    </row>
    <row r="16">
      <c r="A16" s="17" t="inlineStr">
        <is>
          <t>travanj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  <c r="E16" s="7">
        <f>COUNTIFS(Raspored!$C$5:$C$134,$A16,Raspored!$G$5:$G$134,"x")</f>
        <v/>
      </c>
    </row>
    <row r="17">
      <c r="A17" s="17" t="inlineStr">
        <is>
          <t>svibanj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  <c r="E17" s="7">
        <f>COUNTIFS(Raspored!$C$5:$C$134,$A17,Raspored!$G$5:$G$134,"x")</f>
        <v/>
      </c>
    </row>
    <row r="18">
      <c r="A18" s="17" t="inlineStr">
        <is>
          <t>lipanj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  <c r="E18" s="7">
        <f>COUNTIFS(Raspored!$C$5:$C$134,$A18,Raspored!$G$5:$G$134,"x")</f>
        <v/>
      </c>
    </row>
    <row r="19">
      <c r="A19" s="17" t="inlineStr">
        <is>
          <t>srpanj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  <c r="E19" s="7">
        <f>COUNTIFS(Raspored!$C$5:$C$134,$A19,Raspored!$G$5:$G$134,"x")</f>
        <v/>
      </c>
    </row>
    <row r="20">
      <c r="A20" s="17" t="inlineStr">
        <is>
          <t>kolovoz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  <c r="E20" s="7">
        <f>COUNTIFS(Raspored!$C$5:$C$134,$A20,Raspored!$G$5:$G$134,"x")</f>
        <v/>
      </c>
    </row>
    <row r="21">
      <c r="A21" s="17" t="inlineStr">
        <is>
          <t>rujan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  <c r="E21" s="7">
        <f>COUNTIFS(Raspored!$C$5:$C$134,$A21,Raspored!$G$5:$G$134,"x")</f>
        <v/>
      </c>
    </row>
    <row r="22">
      <c r="A22" s="17" t="inlineStr">
        <is>
          <t>listopad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  <c r="E22" s="7">
        <f>COUNTIFS(Raspored!$C$5:$C$134,$A22,Raspored!$G$5:$G$134,"x")</f>
        <v/>
      </c>
    </row>
    <row r="23">
      <c r="A23" s="17" t="inlineStr">
        <is>
          <t>studeni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  <c r="E23" s="7">
        <f>COUNTIFS(Raspored!$C$5:$C$134,$A23,Raspored!$G$5:$G$134,"x")</f>
        <v/>
      </c>
    </row>
    <row r="24">
      <c r="A24" s="17" t="inlineStr">
        <is>
          <t>prosinac</t>
        </is>
      </c>
      <c r="B24" s="7">
        <f>COUNTIFS(Raspored!$C$5:$C$134,$A24,Raspored!$D$5:$D$134,"x")</f>
        <v/>
      </c>
      <c r="C24" s="7">
        <f>COUNTIFS(Raspored!$C$5:$C$134,$A24,Raspored!$E$5:$E$134,"x")</f>
        <v/>
      </c>
      <c r="D24" s="7">
        <f>COUNTIFS(Raspored!$C$5:$C$134,$A24,Raspored!$F$5:$F$134,"x")</f>
        <v/>
      </c>
      <c r="E24" s="7">
        <f>COUNTIFS(Raspored!$C$5:$C$134,$A24,Raspored!$G$5:$G$134,"x")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28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46112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46126</v>
      </c>
      <c r="B42" s="7" t="inlineStr">
        <is>
          <t>utorak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46140</v>
      </c>
      <c r="B47" s="7" t="inlineStr">
        <is>
          <t>utorak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46154</v>
      </c>
      <c r="B52" s="7" t="inlineStr">
        <is>
          <t>utorak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46168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46182</v>
      </c>
      <c r="B62" s="7" t="inlineStr">
        <is>
          <t>utorak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46196</v>
      </c>
      <c r="B67" s="7" t="inlineStr">
        <is>
          <t>utorak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46210</v>
      </c>
      <c r="B72" s="7" t="inlineStr">
        <is>
          <t>utorak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46266</v>
      </c>
      <c r="B92" s="7" t="inlineStr">
        <is>
          <t>utorak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46280</v>
      </c>
      <c r="B97" s="7" t="inlineStr">
        <is>
          <t>utorak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46294</v>
      </c>
      <c r="B102" s="7" t="inlineStr">
        <is>
          <t>utorak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46308</v>
      </c>
      <c r="B107" s="7" t="inlineStr">
        <is>
          <t>utorak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46322</v>
      </c>
      <c r="B112" s="7" t="inlineStr">
        <is>
          <t>utorak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46336</v>
      </c>
      <c r="B117" s="7" t="inlineStr">
        <is>
          <t>utorak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23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46350</v>
      </c>
      <c r="B122" s="7" t="inlineStr">
        <is>
          <t>utorak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3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46364</v>
      </c>
      <c r="B127" s="7" t="inlineStr">
        <is>
          <t>utorak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46378</v>
      </c>
      <c r="B132" s="7" t="inlineStr">
        <is>
          <t>utorak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7" t="n"/>
      <c r="H134" s="23" t="n"/>
    </row>
  </sheetData>
  <autoFilter ref="A4:H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G5:G134">
    <cfRule type="expression" priority="4" dxfId="3">
      <formula>G5="x"</formula>
    </cfRule>
  </conditionalFormatting>
  <conditionalFormatting sqref="A5:H1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46042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46045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46056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46059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46070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46073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46084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46087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46098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46101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46112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46115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46126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46129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46140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46143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46154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46157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46168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46171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46182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46185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46199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46213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46227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46241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46255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46269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46283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46297</v>
      </c>
      <c r="B160" s="17" t="inlineStr">
        <is>
          <t>petak</t>
        </is>
      </c>
      <c r="C160" s="9" t="inlineStr">
        <is>
          <t>Biootpad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46311</v>
      </c>
      <c r="B168" s="17" t="inlineStr">
        <is>
          <t>petak</t>
        </is>
      </c>
      <c r="C168" s="9" t="inlineStr">
        <is>
          <t>Biootpad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46325</v>
      </c>
      <c r="B176" s="17" t="inlineStr">
        <is>
          <t>petak</t>
        </is>
      </c>
      <c r="C176" s="9" t="inlineStr">
        <is>
          <t>Biootpad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46339</v>
      </c>
      <c r="B184" s="17" t="inlineStr">
        <is>
          <t>petak</t>
        </is>
      </c>
      <c r="C184" s="9" t="inlineStr">
        <is>
          <t>Biootpad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9" t="inlineStr">
        <is>
          <t>Biootpad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46353</v>
      </c>
      <c r="B192" s="17" t="inlineStr">
        <is>
          <t>petak</t>
        </is>
      </c>
      <c r="C192" s="9" t="inlineStr">
        <is>
          <t>Biootpad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9" t="inlineStr">
        <is>
          <t>Biootpad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46367</v>
      </c>
      <c r="B200" s="17" t="inlineStr">
        <is>
          <t>petak</t>
        </is>
      </c>
      <c r="C200" s="9" t="inlineStr">
        <is>
          <t>Biootpad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46381</v>
      </c>
      <c r="B208" s="17" t="inlineStr">
        <is>
          <t>petak</t>
        </is>
      </c>
      <c r="C208" s="9" t="inlineStr">
        <is>
          <t>Biootpad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Dobriše Cesarića (Zadar)</t>
        </is>
      </c>
    </row>
    <row r="6">
      <c r="A6" s="17" t="inlineStr">
        <is>
          <t>Edvina Androvića (Zadar) 1-15</t>
        </is>
      </c>
    </row>
    <row r="7">
      <c r="A7" s="17" t="inlineStr">
        <is>
          <t>Otočki prilaz (Zadar)</t>
        </is>
      </c>
    </row>
    <row r="8">
      <c r="A8" s="17" t="inlineStr">
        <is>
          <t>Prilaz Ravnih kotara (Zadar)</t>
        </is>
      </c>
    </row>
    <row r="9">
      <c r="A9" s="17" t="inlineStr">
        <is>
          <t>Starigradski prilaz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2026-10-08T06:08:06Z</dcterms:created>
  <dcterms:modified xmlns:dcterms="http://purl.org/dc/terms/" xmlns:xsi="http://www.w3.org/2001/XMLSchema-instance" xsi:type="dcterms:W3CDTF">2026-10-08T06:08:06Z</dcterms:modified>
</cp:coreProperties>
</file>
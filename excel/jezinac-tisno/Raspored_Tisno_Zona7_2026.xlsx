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IFERROR(1/(1/_xlfn.MINIFS(Raspored!$A$5:$A$158,Raspored!$D$5:$D$158,"x",Raspored!$A$5:$A$158,"&gt;="&amp;$B$3)),"nema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COUNTIF(Raspored!$D$5:$D$158,"x")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IFERROR(1/(1/_xlfn.MINIFS(Raspored!$A$5:$A$158,Raspored!$E$5:$E$158,"x",Raspored!$A$5:$A$158,"&gt;="&amp;$B$3)),"nema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COUNTIF(Raspored!$E$5:$E$158,"x")</f>
        <v/>
      </c>
    </row>
    <row r="8">
      <c r="A8" s="10" t="inlineStr">
        <is>
          <t>Papir i karton (žuti spremnik)</t>
        </is>
      </c>
      <c r="B8" s="6">
        <f>IFERROR(1/(1/_xlfn.MINIFS(Raspored!$A$5:$A$158,Raspored!$F$5:$F$158,"x",Raspored!$A$5:$A$158,"&gt;="&amp;$B$3)),"nema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COUNTIFS(Raspored!$C$5:$C$158,$A12,Raspored!$D$5:$D$158,"x")</f>
        <v/>
      </c>
      <c r="C12" s="7">
        <f>COUNTIFS(Raspored!$C$5:$C$158,$A12,Raspored!$E$5:$E$158,"x")</f>
        <v/>
      </c>
      <c r="D12" s="7">
        <f>COUNTIFS(Raspored!$C$5:$C$158,$A12,Raspored!$F$5:$F$158,"x")</f>
        <v/>
      </c>
    </row>
    <row r="13">
      <c r="A13" s="15" t="inlineStr">
        <is>
          <t>veljača</t>
        </is>
      </c>
      <c r="B13" s="7">
        <f>COUNTIFS(Raspored!$C$5:$C$158,$A13,Raspored!$D$5:$D$158,"x")</f>
        <v/>
      </c>
      <c r="C13" s="7">
        <f>COUNTIFS(Raspored!$C$5:$C$158,$A13,Raspored!$E$5:$E$158,"x")</f>
        <v/>
      </c>
      <c r="D13" s="7">
        <f>COUNTIFS(Raspored!$C$5:$C$158,$A13,Raspored!$F$5:$F$158,"x")</f>
        <v/>
      </c>
    </row>
    <row r="14">
      <c r="A14" s="15" t="inlineStr">
        <is>
          <t>ožujak</t>
        </is>
      </c>
      <c r="B14" s="7">
        <f>COUNTIFS(Raspored!$C$5:$C$158,$A14,Raspored!$D$5:$D$158,"x")</f>
        <v/>
      </c>
      <c r="C14" s="7">
        <f>COUNTIFS(Raspored!$C$5:$C$158,$A14,Raspored!$E$5:$E$158,"x")</f>
        <v/>
      </c>
      <c r="D14" s="7">
        <f>COUNTIFS(Raspored!$C$5:$C$158,$A14,Raspored!$F$5:$F$158,"x")</f>
        <v/>
      </c>
    </row>
    <row r="15">
      <c r="A15" s="15" t="inlineStr">
        <is>
          <t>travanj</t>
        </is>
      </c>
      <c r="B15" s="7">
        <f>COUNTIFS(Raspored!$C$5:$C$158,$A15,Raspored!$D$5:$D$158,"x")</f>
        <v/>
      </c>
      <c r="C15" s="7">
        <f>COUNTIFS(Raspored!$C$5:$C$158,$A15,Raspored!$E$5:$E$158,"x")</f>
        <v/>
      </c>
      <c r="D15" s="7">
        <f>COUNTIFS(Raspored!$C$5:$C$158,$A15,Raspored!$F$5:$F$158,"x")</f>
        <v/>
      </c>
    </row>
    <row r="16">
      <c r="A16" s="15" t="inlineStr">
        <is>
          <t>svibanj</t>
        </is>
      </c>
      <c r="B16" s="7">
        <f>COUNTIFS(Raspored!$C$5:$C$158,$A16,Raspored!$D$5:$D$158,"x")</f>
        <v/>
      </c>
      <c r="C16" s="7">
        <f>COUNTIFS(Raspored!$C$5:$C$158,$A16,Raspored!$E$5:$E$158,"x")</f>
        <v/>
      </c>
      <c r="D16" s="7">
        <f>COUNTIFS(Raspored!$C$5:$C$158,$A16,Raspored!$F$5:$F$158,"x")</f>
        <v/>
      </c>
    </row>
    <row r="17">
      <c r="A17" s="15" t="inlineStr">
        <is>
          <t>lipanj</t>
        </is>
      </c>
      <c r="B17" s="7">
        <f>COUNTIFS(Raspored!$C$5:$C$158,$A17,Raspored!$D$5:$D$158,"x")</f>
        <v/>
      </c>
      <c r="C17" s="7">
        <f>COUNTIFS(Raspored!$C$5:$C$158,$A17,Raspored!$E$5:$E$158,"x")</f>
        <v/>
      </c>
      <c r="D17" s="7">
        <f>COUNTIFS(Raspored!$C$5:$C$158,$A17,Raspored!$F$5:$F$158,"x")</f>
        <v/>
      </c>
    </row>
    <row r="18">
      <c r="A18" s="15" t="inlineStr">
        <is>
          <t>srpanj</t>
        </is>
      </c>
      <c r="B18" s="7">
        <f>COUNTIFS(Raspored!$C$5:$C$158,$A18,Raspored!$D$5:$D$158,"x")</f>
        <v/>
      </c>
      <c r="C18" s="7">
        <f>COUNTIFS(Raspored!$C$5:$C$158,$A18,Raspored!$E$5:$E$158,"x")</f>
        <v/>
      </c>
      <c r="D18" s="7">
        <f>COUNTIFS(Raspored!$C$5:$C$158,$A18,Raspored!$F$5:$F$158,"x")</f>
        <v/>
      </c>
    </row>
    <row r="19">
      <c r="A19" s="15" t="inlineStr">
        <is>
          <t>kolovoz</t>
        </is>
      </c>
      <c r="B19" s="7">
        <f>COUNTIFS(Raspored!$C$5:$C$158,$A19,Raspored!$D$5:$D$158,"x")</f>
        <v/>
      </c>
      <c r="C19" s="7">
        <f>COUNTIFS(Raspored!$C$5:$C$158,$A19,Raspored!$E$5:$E$158,"x")</f>
        <v/>
      </c>
      <c r="D19" s="7">
        <f>COUNTIFS(Raspored!$C$5:$C$158,$A19,Raspored!$F$5:$F$158,"x")</f>
        <v/>
      </c>
    </row>
    <row r="20">
      <c r="A20" s="15" t="inlineStr">
        <is>
          <t>rujan</t>
        </is>
      </c>
      <c r="B20" s="7">
        <f>COUNTIFS(Raspored!$C$5:$C$158,$A20,Raspored!$D$5:$D$158,"x")</f>
        <v/>
      </c>
      <c r="C20" s="7">
        <f>COUNTIFS(Raspored!$C$5:$C$158,$A20,Raspored!$E$5:$E$158,"x")</f>
        <v/>
      </c>
      <c r="D20" s="7">
        <f>COUNTIFS(Raspored!$C$5:$C$158,$A20,Raspored!$F$5:$F$158,"x")</f>
        <v/>
      </c>
    </row>
    <row r="21">
      <c r="A21" s="15" t="inlineStr">
        <is>
          <t>listopad</t>
        </is>
      </c>
      <c r="B21" s="7">
        <f>COUNTIFS(Raspored!$C$5:$C$158,$A21,Raspored!$D$5:$D$158,"x")</f>
        <v/>
      </c>
      <c r="C21" s="7">
        <f>COUNTIFS(Raspored!$C$5:$C$158,$A21,Raspored!$E$5:$E$158,"x")</f>
        <v/>
      </c>
      <c r="D21" s="7">
        <f>COUNTIFS(Raspored!$C$5:$C$158,$A21,Raspored!$F$5:$F$158,"x")</f>
        <v/>
      </c>
    </row>
    <row r="22">
      <c r="A22" s="15" t="inlineStr">
        <is>
          <t>studeni</t>
        </is>
      </c>
      <c r="B22" s="7">
        <f>COUNTIFS(Raspored!$C$5:$C$158,$A22,Raspored!$D$5:$D$158,"x")</f>
        <v/>
      </c>
      <c r="C22" s="7">
        <f>COUNTIFS(Raspored!$C$5:$C$158,$A22,Raspored!$E$5:$E$158,"x")</f>
        <v/>
      </c>
      <c r="D22" s="7">
        <f>COUNTIFS(Raspored!$C$5:$C$158,$A22,Raspored!$F$5:$F$158,"x")</f>
        <v/>
      </c>
    </row>
    <row r="23">
      <c r="A23" s="15" t="inlineStr">
        <is>
          <t>prosinac</t>
        </is>
      </c>
      <c r="B23" s="7">
        <f>COUNTIFS(Raspored!$C$5:$C$158,$A23,Raspored!$D$5:$D$158,"x")</f>
        <v/>
      </c>
      <c r="C23" s="7">
        <f>COUNTIFS(Raspored!$C$5:$C$158,$A23,Raspored!$E$5:$E$158,"x")</f>
        <v/>
      </c>
      <c r="D23" s="7">
        <f>COUNTIFS(Raspored!$C$5:$C$158,$A23,Raspored!$F$5:$F$158,"x")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četvrtkom,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3" t="n"/>
    </row>
    <row r="45">
      <c r="A45" s="21" t="n">
        <v>46119</v>
      </c>
      <c r="B45" s="22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46149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46156</v>
      </c>
      <c r="B60" s="7" t="inlineStr">
        <is>
          <t>četvrtak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46163</v>
      </c>
      <c r="B63" s="7" t="inlineStr">
        <is>
          <t>četvrtak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46170</v>
      </c>
      <c r="B66" s="7" t="inlineStr">
        <is>
          <t>četvrtak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3" t="n"/>
    </row>
    <row r="69">
      <c r="A69" s="21" t="n">
        <v>46178</v>
      </c>
      <c r="B69" s="22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23" t="inlineStr">
        <is>
          <t>Pomaknuto zbog neradnog dana u tjednu</t>
        </is>
      </c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46184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23" t="n"/>
    </row>
    <row r="72">
      <c r="A72" s="6" t="n">
        <v>46185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46188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46191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3" t="n"/>
    </row>
    <row r="75">
      <c r="A75" s="6" t="n">
        <v>46192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46195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46198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3" t="n"/>
    </row>
    <row r="78">
      <c r="A78" s="6" t="n">
        <v>46199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46205</v>
      </c>
      <c r="B80" s="7" t="inlineStr">
        <is>
          <t>četvrtak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23" t="n"/>
    </row>
    <row r="81">
      <c r="A81" s="6" t="n">
        <v>46206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3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3" t="n"/>
    </row>
    <row r="83">
      <c r="A83" s="6" t="n">
        <v>46212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23" t="n"/>
    </row>
    <row r="84">
      <c r="A84" s="6" t="n">
        <v>46213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3" t="n"/>
    </row>
    <row r="85">
      <c r="A85" s="6" t="n">
        <v>46216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3" t="n"/>
    </row>
    <row r="86">
      <c r="A86" s="6" t="n">
        <v>46219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3" t="n"/>
    </row>
    <row r="87">
      <c r="A87" s="6" t="n">
        <v>46220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46223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3" t="n"/>
    </row>
    <row r="89">
      <c r="A89" s="6" t="n">
        <v>46226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3" t="n"/>
    </row>
    <row r="90">
      <c r="A90" s="6" t="n">
        <v>46227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3" t="n"/>
    </row>
    <row r="91">
      <c r="A91" s="6" t="n">
        <v>46230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46233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3" t="n"/>
    </row>
    <row r="93">
      <c r="A93" s="6" t="n">
        <v>46234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3" t="n"/>
    </row>
    <row r="94">
      <c r="A94" s="6" t="n">
        <v>46237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23" t="n"/>
    </row>
    <row r="95">
      <c r="A95" s="6" t="n">
        <v>46240</v>
      </c>
      <c r="B95" s="7" t="inlineStr">
        <is>
          <t>četvrtak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23" t="n"/>
    </row>
    <row r="96">
      <c r="A96" s="6" t="n">
        <v>46241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3" t="n"/>
    </row>
    <row r="97">
      <c r="A97" s="6" t="n">
        <v>46244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3" t="n"/>
    </row>
    <row r="98">
      <c r="A98" s="6" t="n">
        <v>46247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23" t="n"/>
    </row>
    <row r="99">
      <c r="A99" s="6" t="n">
        <v>46248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46251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3" t="n"/>
    </row>
    <row r="101">
      <c r="A101" s="6" t="n">
        <v>46254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23" t="n"/>
    </row>
    <row r="102">
      <c r="A102" s="6" t="n">
        <v>46255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3" t="n"/>
    </row>
    <row r="103">
      <c r="A103" s="6" t="n">
        <v>46258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46261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23" t="n"/>
    </row>
    <row r="105">
      <c r="A105" s="6" t="n">
        <v>46262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3" t="n"/>
    </row>
    <row r="106">
      <c r="A106" s="6" t="n">
        <v>46265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3" t="n"/>
    </row>
    <row r="107">
      <c r="A107" s="6" t="n">
        <v>46268</v>
      </c>
      <c r="B107" s="7" t="inlineStr">
        <is>
          <t>četvrtak</t>
        </is>
      </c>
      <c r="C107" s="7" t="inlineStr">
        <is>
          <t>rujan</t>
        </is>
      </c>
      <c r="D107" s="7" t="n"/>
      <c r="E107" s="7" t="n"/>
      <c r="F107" s="7" t="inlineStr">
        <is>
          <t>x</t>
        </is>
      </c>
      <c r="G107" s="23" t="n"/>
    </row>
    <row r="108">
      <c r="A108" s="6" t="n">
        <v>46269</v>
      </c>
      <c r="B108" s="7" t="inlineStr">
        <is>
          <t>petak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3" t="n"/>
    </row>
    <row r="109">
      <c r="A109" s="6" t="n">
        <v>46272</v>
      </c>
      <c r="B109" s="7" t="inlineStr">
        <is>
          <t>ponedjeljak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3" t="n"/>
    </row>
    <row r="110">
      <c r="A110" s="6" t="n">
        <v>46275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23" t="n"/>
    </row>
    <row r="111">
      <c r="A111" s="6" t="n">
        <v>46276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3" t="n"/>
    </row>
    <row r="112">
      <c r="A112" s="6" t="n">
        <v>46279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3" t="n"/>
    </row>
    <row r="113">
      <c r="A113" s="6" t="n">
        <v>46282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23" t="n"/>
    </row>
    <row r="114">
      <c r="A114" s="6" t="n">
        <v>46283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3" t="n"/>
    </row>
    <row r="115">
      <c r="A115" s="6" t="n">
        <v>46286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3" t="n"/>
    </row>
    <row r="116">
      <c r="A116" s="6" t="n">
        <v>46289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3" t="n"/>
    </row>
    <row r="117">
      <c r="A117" s="6" t="n">
        <v>46290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3" t="n"/>
    </row>
    <row r="118">
      <c r="A118" s="6" t="n">
        <v>46293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3" t="n"/>
    </row>
    <row r="119">
      <c r="A119" s="6" t="n">
        <v>46296</v>
      </c>
      <c r="B119" s="7" t="inlineStr">
        <is>
          <t>četvrtak</t>
        </is>
      </c>
      <c r="C119" s="7" t="inlineStr">
        <is>
          <t>listopad</t>
        </is>
      </c>
      <c r="D119" s="7" t="n"/>
      <c r="E119" s="7" t="n"/>
      <c r="F119" s="7" t="inlineStr">
        <is>
          <t>x</t>
        </is>
      </c>
      <c r="G119" s="23" t="n"/>
    </row>
    <row r="120">
      <c r="A120" s="6" t="n">
        <v>46297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46300</v>
      </c>
      <c r="B121" s="7" t="inlineStr">
        <is>
          <t>ponedjeljak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3" t="n"/>
    </row>
    <row r="122">
      <c r="A122" s="6" t="n">
        <v>46303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23" t="n"/>
    </row>
    <row r="123">
      <c r="A123" s="6" t="n">
        <v>46304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3" t="n"/>
    </row>
    <row r="124">
      <c r="A124" s="6" t="n">
        <v>46307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46310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23" t="n"/>
    </row>
    <row r="126">
      <c r="A126" s="6" t="n">
        <v>46311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3" t="n"/>
    </row>
    <row r="127">
      <c r="A127" s="6" t="n">
        <v>46314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3" t="n"/>
    </row>
    <row r="128">
      <c r="A128" s="6" t="n">
        <v>46317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23" t="n"/>
    </row>
    <row r="129">
      <c r="A129" s="6" t="n">
        <v>46318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3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3" t="n"/>
    </row>
    <row r="131">
      <c r="A131" s="6" t="n">
        <v>46324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23" t="n"/>
    </row>
    <row r="132">
      <c r="A132" s="6" t="n">
        <v>46325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46328</v>
      </c>
      <c r="B133" s="7" t="inlineStr">
        <is>
          <t>ponedjeljak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23" t="n"/>
    </row>
    <row r="134">
      <c r="A134" s="6" t="n">
        <v>46331</v>
      </c>
      <c r="B134" s="7" t="inlineStr">
        <is>
          <t>četvrtak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23" t="n"/>
    </row>
    <row r="135">
      <c r="A135" s="6" t="n">
        <v>46332</v>
      </c>
      <c r="B135" s="7" t="inlineStr">
        <is>
          <t>petak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3" t="n"/>
    </row>
    <row r="136">
      <c r="A136" s="6" t="n">
        <v>46335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46338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23" t="n"/>
    </row>
    <row r="138">
      <c r="A138" s="6" t="n">
        <v>46339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3" t="n"/>
    </row>
    <row r="139">
      <c r="A139" s="6" t="n">
        <v>46342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3" t="n"/>
    </row>
    <row r="140">
      <c r="A140" s="6" t="n">
        <v>46345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23" t="n"/>
    </row>
    <row r="141">
      <c r="A141" s="6" t="n">
        <v>46346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46349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3" t="n"/>
    </row>
    <row r="143">
      <c r="A143" s="6" t="n">
        <v>46352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23" t="n"/>
    </row>
    <row r="144">
      <c r="A144" s="6" t="n">
        <v>46353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46356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3" t="n"/>
    </row>
    <row r="146">
      <c r="A146" s="6" t="n">
        <v>46359</v>
      </c>
      <c r="B146" s="7" t="inlineStr">
        <is>
          <t>četvrtak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23" t="n"/>
    </row>
    <row r="147">
      <c r="A147" s="6" t="n">
        <v>46360</v>
      </c>
      <c r="B147" s="7" t="inlineStr">
        <is>
          <t>petak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46363</v>
      </c>
      <c r="B148" s="7" t="inlineStr">
        <is>
          <t>ponedjeljak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3" t="n"/>
    </row>
    <row r="149">
      <c r="A149" s="6" t="n">
        <v>46366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23" t="n"/>
    </row>
    <row r="150">
      <c r="A150" s="6" t="n">
        <v>46367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46370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3" t="n"/>
    </row>
    <row r="152">
      <c r="A152" s="6" t="n">
        <v>46373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23" t="n"/>
    </row>
    <row r="153">
      <c r="A153" s="6" t="n">
        <v>46374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46377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3" t="n"/>
    </row>
    <row r="155">
      <c r="A155" s="6" t="n">
        <v>46380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23" t="n"/>
    </row>
    <row r="156">
      <c r="A156" s="6" t="n">
        <v>46381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46384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3" t="n"/>
    </row>
    <row r="158">
      <c r="A158" s="6" t="n">
        <v>46387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23" t="n"/>
    </row>
  </sheetData>
  <autoFilter ref="A4:G158"/>
  <conditionalFormatting sqref="D5:D158">
    <cfRule type="expression" priority="1" dxfId="0">
      <formula>D5="x"</formula>
    </cfRule>
  </conditionalFormatting>
  <conditionalFormatting sqref="E5:E158">
    <cfRule type="expression" priority="2" dxfId="1">
      <formula>E5="x"</formula>
    </cfRule>
  </conditionalFormatting>
  <conditionalFormatting sqref="F5:F158">
    <cfRule type="expression" priority="3" dxfId="2">
      <formula>F5="x"</formula>
    </cfRule>
  </conditionalFormatting>
  <conditionalFormatting sqref="A5:G15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9" t="inlineStr">
        <is>
          <t>Plastika, staklo i metal (zeleni spremnik s narančastim poklopcem)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46030</v>
      </c>
      <c r="B5" s="15" t="inlineStr">
        <is>
          <t>četvrtak</t>
        </is>
      </c>
      <c r="C5" s="10" t="inlineStr">
        <is>
          <t>Papir i karton (žuti spremnik)</t>
        </is>
      </c>
      <c r="D5" s="15" t="n"/>
    </row>
    <row r="6">
      <c r="A6" s="24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46037</v>
      </c>
      <c r="B8" s="15" t="inlineStr">
        <is>
          <t>četvrtak</t>
        </is>
      </c>
      <c r="C8" s="9" t="inlineStr">
        <is>
          <t>Plastika, staklo i metal (zeleni spremnik s narančastim poklopcem)</t>
        </is>
      </c>
      <c r="D8" s="15" t="n"/>
    </row>
    <row r="9">
      <c r="A9" s="24" t="n">
        <v>46038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46041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46044</v>
      </c>
      <c r="B11" s="15" t="inlineStr">
        <is>
          <t>četvrtak</t>
        </is>
      </c>
      <c r="C11" s="10" t="inlineStr">
        <is>
          <t>Papir i karton (žuti spremnik)</t>
        </is>
      </c>
      <c r="D11" s="15" t="n"/>
    </row>
    <row r="12">
      <c r="A12" s="24" t="n">
        <v>46045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46051</v>
      </c>
      <c r="B14" s="15" t="inlineStr">
        <is>
          <t>četvrtak</t>
        </is>
      </c>
      <c r="C14" s="9" t="inlineStr">
        <is>
          <t>Plastika, staklo i metal (zeleni spremnik s narančastim poklopcem)</t>
        </is>
      </c>
      <c r="D14" s="15" t="n"/>
    </row>
    <row r="15">
      <c r="A15" s="24" t="n">
        <v>46052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46055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46058</v>
      </c>
      <c r="B17" s="15" t="inlineStr">
        <is>
          <t>četvrtak</t>
        </is>
      </c>
      <c r="C17" s="10" t="inlineStr">
        <is>
          <t>Papir i karton (žuti spremnik)</t>
        </is>
      </c>
      <c r="D17" s="15" t="n"/>
    </row>
    <row r="18">
      <c r="A18" s="24" t="n">
        <v>46059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46062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46065</v>
      </c>
      <c r="B20" s="15" t="inlineStr">
        <is>
          <t>četvrtak</t>
        </is>
      </c>
      <c r="C20" s="9" t="inlineStr">
        <is>
          <t>Plastika, staklo i metal (zeleni spremnik s narančastim poklopcem)</t>
        </is>
      </c>
      <c r="D20" s="15" t="n"/>
    </row>
    <row r="21">
      <c r="A21" s="24" t="n">
        <v>46066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46069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46072</v>
      </c>
      <c r="B23" s="15" t="inlineStr">
        <is>
          <t>četvrtak</t>
        </is>
      </c>
      <c r="C23" s="10" t="inlineStr">
        <is>
          <t>Papir i karton (žuti spremnik)</t>
        </is>
      </c>
      <c r="D23" s="15" t="n"/>
    </row>
    <row r="24">
      <c r="A24" s="24" t="n">
        <v>46073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46076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46079</v>
      </c>
      <c r="B26" s="15" t="inlineStr">
        <is>
          <t>četvrtak</t>
        </is>
      </c>
      <c r="C26" s="9" t="inlineStr">
        <is>
          <t>Plastika, staklo i metal (zeleni spremnik s narančastim poklopcem)</t>
        </is>
      </c>
      <c r="D26" s="15" t="n"/>
    </row>
    <row r="27">
      <c r="A27" s="24" t="n">
        <v>46080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46083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46086</v>
      </c>
      <c r="B29" s="15" t="inlineStr">
        <is>
          <t>četvrtak</t>
        </is>
      </c>
      <c r="C29" s="10" t="inlineStr">
        <is>
          <t>Papir i karton (žuti spremnik)</t>
        </is>
      </c>
      <c r="D29" s="15" t="n"/>
    </row>
    <row r="30">
      <c r="A30" s="24" t="n">
        <v>46087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46090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46093</v>
      </c>
      <c r="B32" s="15" t="inlineStr">
        <is>
          <t>četvrtak</t>
        </is>
      </c>
      <c r="C32" s="9" t="inlineStr">
        <is>
          <t>Plastika, staklo i metal (zeleni spremnik s narančastim poklopcem)</t>
        </is>
      </c>
      <c r="D32" s="15" t="n"/>
    </row>
    <row r="33">
      <c r="A33" s="24" t="n">
        <v>46094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46097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46100</v>
      </c>
      <c r="B35" s="15" t="inlineStr">
        <is>
          <t>četvrtak</t>
        </is>
      </c>
      <c r="C35" s="10" t="inlineStr">
        <is>
          <t>Papir i karton (žuti spremnik)</t>
        </is>
      </c>
      <c r="D35" s="15" t="n"/>
    </row>
    <row r="36">
      <c r="A36" s="24" t="n">
        <v>46101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46104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46107</v>
      </c>
      <c r="B38" s="15" t="inlineStr">
        <is>
          <t>četvrtak</t>
        </is>
      </c>
      <c r="C38" s="9" t="inlineStr">
        <is>
          <t>Plastika, staklo i metal (zeleni spremnik s narančastim poklopcem)</t>
        </is>
      </c>
      <c r="D38" s="15" t="n"/>
    </row>
    <row r="39">
      <c r="A39" s="24" t="n">
        <v>46108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46111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46114</v>
      </c>
      <c r="B41" s="15" t="inlineStr">
        <is>
          <t>četvrtak</t>
        </is>
      </c>
      <c r="C41" s="10" t="inlineStr">
        <is>
          <t>Papir i karton (žuti spremnik)</t>
        </is>
      </c>
      <c r="D41" s="15" t="n"/>
    </row>
    <row r="42">
      <c r="A42" s="24" t="n">
        <v>46115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46119</v>
      </c>
      <c r="B43" s="15" t="inlineStr">
        <is>
          <t>utorak</t>
        </is>
      </c>
      <c r="C43" s="5" t="inlineStr">
        <is>
          <t>Miješani komunalni otpad</t>
        </is>
      </c>
      <c r="D43" s="15" t="inlineStr">
        <is>
          <t>Pomaknuto zbog neradnog dana u tjednu</t>
        </is>
      </c>
    </row>
    <row r="44">
      <c r="A44" s="24" t="n">
        <v>46121</v>
      </c>
      <c r="B44" s="15" t="inlineStr">
        <is>
          <t>četvrtak</t>
        </is>
      </c>
      <c r="C44" s="9" t="inlineStr">
        <is>
          <t>Plastika, staklo i metal (zeleni spremnik s narančastim poklopcem)</t>
        </is>
      </c>
      <c r="D44" s="15" t="n"/>
    </row>
    <row r="45">
      <c r="A45" s="24" t="n">
        <v>46122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46125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46128</v>
      </c>
      <c r="B47" s="15" t="inlineStr">
        <is>
          <t>četvrtak</t>
        </is>
      </c>
      <c r="C47" s="10" t="inlineStr">
        <is>
          <t>Papir i karton (žuti spremnik)</t>
        </is>
      </c>
      <c r="D47" s="15" t="n"/>
    </row>
    <row r="48">
      <c r="A48" s="24" t="n">
        <v>46129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46132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46135</v>
      </c>
      <c r="B50" s="15" t="inlineStr">
        <is>
          <t>četvrtak</t>
        </is>
      </c>
      <c r="C50" s="9" t="inlineStr">
        <is>
          <t>Plastika, staklo i metal (zeleni spremnik s narančastim poklopcem)</t>
        </is>
      </c>
      <c r="D50" s="15" t="n"/>
    </row>
    <row r="51">
      <c r="A51" s="24" t="n">
        <v>46136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46139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46142</v>
      </c>
      <c r="B53" s="15" t="inlineStr">
        <is>
          <t>četvrtak</t>
        </is>
      </c>
      <c r="C53" s="10" t="inlineStr">
        <is>
          <t>Papir i karton (žuti spremnik)</t>
        </is>
      </c>
      <c r="D53" s="15" t="n"/>
    </row>
    <row r="54">
      <c r="A54" s="24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46149</v>
      </c>
      <c r="B55" s="15" t="inlineStr">
        <is>
          <t>četvrtak</t>
        </is>
      </c>
      <c r="C55" s="9" t="inlineStr">
        <is>
          <t>Plastika, staklo i metal (zeleni spremnik s narančastim poklopcem)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46156</v>
      </c>
      <c r="B58" s="15" t="inlineStr">
        <is>
          <t>četvrtak</t>
        </is>
      </c>
      <c r="C58" s="10" t="inlineStr">
        <is>
          <t>Papir i karton (žuti spremnik)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46163</v>
      </c>
      <c r="B61" s="15" t="inlineStr">
        <is>
          <t>četvrtak</t>
        </is>
      </c>
      <c r="C61" s="9" t="inlineStr">
        <is>
          <t>Plastika, staklo i metal (zeleni spremnik s narančastim poklopcem)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46170</v>
      </c>
      <c r="B64" s="15" t="inlineStr">
        <is>
          <t>četvrtak</t>
        </is>
      </c>
      <c r="C64" s="10" t="inlineStr">
        <is>
          <t>Papir i karton (žuti spremnik)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46178</v>
      </c>
      <c r="B68" s="15" t="inlineStr">
        <is>
          <t>petak</t>
        </is>
      </c>
      <c r="C68" s="9" t="inlineStr">
        <is>
          <t>Plastika, staklo i metal (zeleni spremnik s narančastim poklopcem)</t>
        </is>
      </c>
      <c r="D68" s="15" t="inlineStr">
        <is>
          <t>Pomaknuto zbog neradnog dana u tjednu</t>
        </is>
      </c>
    </row>
    <row r="69">
      <c r="A69" s="24" t="n">
        <v>46181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46184</v>
      </c>
      <c r="B70" s="15" t="inlineStr">
        <is>
          <t>četvrtak</t>
        </is>
      </c>
      <c r="C70" s="10" t="inlineStr">
        <is>
          <t>Papir i karton (žuti spremnik)</t>
        </is>
      </c>
      <c r="D70" s="15" t="n"/>
    </row>
    <row r="71">
      <c r="A71" s="24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46188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46191</v>
      </c>
      <c r="B73" s="15" t="inlineStr">
        <is>
          <t>četvrtak</t>
        </is>
      </c>
      <c r="C73" s="9" t="inlineStr">
        <is>
          <t>Plastika, staklo i metal (zeleni spremnik s narančastim poklopcem)</t>
        </is>
      </c>
      <c r="D73" s="15" t="n"/>
    </row>
    <row r="74">
      <c r="A74" s="24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46195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46198</v>
      </c>
      <c r="B76" s="15" t="inlineStr">
        <is>
          <t>četvrtak</t>
        </is>
      </c>
      <c r="C76" s="10" t="inlineStr">
        <is>
          <t>Papir i karton (žuti spremnik)</t>
        </is>
      </c>
      <c r="D76" s="15" t="n"/>
    </row>
    <row r="77">
      <c r="A77" s="24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46202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46205</v>
      </c>
      <c r="B79" s="15" t="inlineStr">
        <is>
          <t>četvrtak</t>
        </is>
      </c>
      <c r="C79" s="9" t="inlineStr">
        <is>
          <t>Plastika, staklo i metal (zeleni spremnik s narančastim poklopcem)</t>
        </is>
      </c>
      <c r="D79" s="15" t="n"/>
    </row>
    <row r="80">
      <c r="A80" s="24" t="n">
        <v>46206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46209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46212</v>
      </c>
      <c r="B82" s="15" t="inlineStr">
        <is>
          <t>četvrtak</t>
        </is>
      </c>
      <c r="C82" s="10" t="inlineStr">
        <is>
          <t>Papir i karton (žuti spremnik)</t>
        </is>
      </c>
      <c r="D82" s="15" t="n"/>
    </row>
    <row r="83">
      <c r="A83" s="24" t="n">
        <v>46213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46216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4" t="n">
        <v>46219</v>
      </c>
      <c r="B85" s="15" t="inlineStr">
        <is>
          <t>četvrtak</t>
        </is>
      </c>
      <c r="C85" s="9" t="inlineStr">
        <is>
          <t>Plastika, staklo i metal (zeleni spremnik s narančastim poklopcem)</t>
        </is>
      </c>
      <c r="D85" s="15" t="n"/>
    </row>
    <row r="86">
      <c r="A86" s="24" t="n">
        <v>46220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46223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4" t="n">
        <v>46226</v>
      </c>
      <c r="B88" s="15" t="inlineStr">
        <is>
          <t>četvrtak</t>
        </is>
      </c>
      <c r="C88" s="10" t="inlineStr">
        <is>
          <t>Papir i karton (žuti spremnik)</t>
        </is>
      </c>
      <c r="D88" s="15" t="n"/>
    </row>
    <row r="89">
      <c r="A89" s="24" t="n">
        <v>46227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46230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46233</v>
      </c>
      <c r="B91" s="15" t="inlineStr">
        <is>
          <t>četvrtak</t>
        </is>
      </c>
      <c r="C91" s="9" t="inlineStr">
        <is>
          <t>Plastika, staklo i metal (zeleni spremnik s narančastim poklopcem)</t>
        </is>
      </c>
      <c r="D91" s="15" t="n"/>
    </row>
    <row r="92">
      <c r="A92" s="24" t="n">
        <v>46234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46237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4" t="n">
        <v>46240</v>
      </c>
      <c r="B94" s="15" t="inlineStr">
        <is>
          <t>četvrtak</t>
        </is>
      </c>
      <c r="C94" s="10" t="inlineStr">
        <is>
          <t>Papir i karton (žuti spremnik)</t>
        </is>
      </c>
      <c r="D94" s="15" t="n"/>
    </row>
    <row r="95">
      <c r="A95" s="24" t="n">
        <v>46241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4" t="n">
        <v>46244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4" t="n">
        <v>46247</v>
      </c>
      <c r="B97" s="15" t="inlineStr">
        <is>
          <t>četvrtak</t>
        </is>
      </c>
      <c r="C97" s="9" t="inlineStr">
        <is>
          <t>Plastika, staklo i metal (zeleni spremnik s narančastim poklopcem)</t>
        </is>
      </c>
      <c r="D97" s="15" t="n"/>
    </row>
    <row r="98">
      <c r="A98" s="24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46251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4" t="n">
        <v>46254</v>
      </c>
      <c r="B100" s="15" t="inlineStr">
        <is>
          <t>četvrtak</t>
        </is>
      </c>
      <c r="C100" s="10" t="inlineStr">
        <is>
          <t>Papir i karton (žuti spremnik)</t>
        </is>
      </c>
      <c r="D100" s="15" t="n"/>
    </row>
    <row r="101">
      <c r="A101" s="24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46258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46261</v>
      </c>
      <c r="B103" s="15" t="inlineStr">
        <is>
          <t>četvrtak</t>
        </is>
      </c>
      <c r="C103" s="9" t="inlineStr">
        <is>
          <t>Plastika, staklo i metal (zeleni spremnik s narančastim poklopcem)</t>
        </is>
      </c>
      <c r="D103" s="15" t="n"/>
    </row>
    <row r="104">
      <c r="A104" s="24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46265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4" t="n">
        <v>46268</v>
      </c>
      <c r="B106" s="15" t="inlineStr">
        <is>
          <t>četvrtak</t>
        </is>
      </c>
      <c r="C106" s="10" t="inlineStr">
        <is>
          <t>Papir i karton (žuti spremnik)</t>
        </is>
      </c>
      <c r="D106" s="15" t="n"/>
    </row>
    <row r="107">
      <c r="A107" s="24" t="n">
        <v>46269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46272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4" t="n">
        <v>46275</v>
      </c>
      <c r="B109" s="15" t="inlineStr">
        <is>
          <t>četvrtak</t>
        </is>
      </c>
      <c r="C109" s="9" t="inlineStr">
        <is>
          <t>Plastika, staklo i metal (zeleni spremnik s narančastim poklopcem)</t>
        </is>
      </c>
      <c r="D109" s="15" t="n"/>
    </row>
    <row r="110">
      <c r="A110" s="24" t="n">
        <v>46276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4" t="n">
        <v>46279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4" t="n">
        <v>46282</v>
      </c>
      <c r="B112" s="15" t="inlineStr">
        <is>
          <t>četvrtak</t>
        </is>
      </c>
      <c r="C112" s="10" t="inlineStr">
        <is>
          <t>Papir i karton (žuti spremnik)</t>
        </is>
      </c>
      <c r="D112" s="15" t="n"/>
    </row>
    <row r="113">
      <c r="A113" s="24" t="n">
        <v>46283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46286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46289</v>
      </c>
      <c r="B115" s="15" t="inlineStr">
        <is>
          <t>četvrtak</t>
        </is>
      </c>
      <c r="C115" s="9" t="inlineStr">
        <is>
          <t>Plastika, staklo i metal (zeleni spremnik s narančastim poklopcem)</t>
        </is>
      </c>
      <c r="D115" s="15" t="n"/>
    </row>
    <row r="116">
      <c r="A116" s="24" t="n">
        <v>46290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46293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4" t="n">
        <v>46296</v>
      </c>
      <c r="B118" s="15" t="inlineStr">
        <is>
          <t>četvrtak</t>
        </is>
      </c>
      <c r="C118" s="10" t="inlineStr">
        <is>
          <t>Papir i karton (žuti spremnik)</t>
        </is>
      </c>
      <c r="D118" s="15" t="n"/>
    </row>
    <row r="119">
      <c r="A119" s="24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4" t="n">
        <v>46300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4" t="n">
        <v>46303</v>
      </c>
      <c r="B121" s="15" t="inlineStr">
        <is>
          <t>četvrtak</t>
        </is>
      </c>
      <c r="C121" s="9" t="inlineStr">
        <is>
          <t>Plastika, staklo i metal (zeleni spremnik s narančastim poklopcem)</t>
        </is>
      </c>
      <c r="D121" s="15" t="n"/>
    </row>
    <row r="122">
      <c r="A122" s="24" t="n">
        <v>46304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4" t="n">
        <v>46307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4" t="n">
        <v>46310</v>
      </c>
      <c r="B124" s="15" t="inlineStr">
        <is>
          <t>četvrtak</t>
        </is>
      </c>
      <c r="C124" s="10" t="inlineStr">
        <is>
          <t>Papir i karton (žuti spremnik)</t>
        </is>
      </c>
      <c r="D124" s="15" t="n"/>
    </row>
    <row r="125">
      <c r="A125" s="24" t="n">
        <v>46311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46314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46317</v>
      </c>
      <c r="B127" s="15" t="inlineStr">
        <is>
          <t>četvrtak</t>
        </is>
      </c>
      <c r="C127" s="9" t="inlineStr">
        <is>
          <t>Plastika, staklo i metal (zeleni spremnik s narančastim poklopcem)</t>
        </is>
      </c>
      <c r="D127" s="15" t="n"/>
    </row>
    <row r="128">
      <c r="A128" s="24" t="n">
        <v>46318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46321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4" t="n">
        <v>46324</v>
      </c>
      <c r="B130" s="15" t="inlineStr">
        <is>
          <t>četvrtak</t>
        </is>
      </c>
      <c r="C130" s="10" t="inlineStr">
        <is>
          <t>Papir i karton (žuti spremnik)</t>
        </is>
      </c>
      <c r="D130" s="15" t="n"/>
    </row>
    <row r="131">
      <c r="A131" s="24" t="n">
        <v>46325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4" t="n">
        <v>46328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4" t="n">
        <v>46331</v>
      </c>
      <c r="B133" s="15" t="inlineStr">
        <is>
          <t>četvrtak</t>
        </is>
      </c>
      <c r="C133" s="9" t="inlineStr">
        <is>
          <t>Plastika, staklo i metal (zeleni spremnik s narančastim poklopcem)</t>
        </is>
      </c>
      <c r="D133" s="15" t="n"/>
    </row>
    <row r="134">
      <c r="A134" s="24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46335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4" t="n">
        <v>46338</v>
      </c>
      <c r="B136" s="15" t="inlineStr">
        <is>
          <t>četvrtak</t>
        </is>
      </c>
      <c r="C136" s="10" t="inlineStr">
        <is>
          <t>Papir i karton (žuti spremnik)</t>
        </is>
      </c>
      <c r="D136" s="15" t="n"/>
    </row>
    <row r="137">
      <c r="A137" s="24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46342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4" t="n">
        <v>46345</v>
      </c>
      <c r="B139" s="15" t="inlineStr">
        <is>
          <t>četvrtak</t>
        </is>
      </c>
      <c r="C139" s="9" t="inlineStr">
        <is>
          <t>Plastika, staklo i metal (zeleni spremnik s narančastim poklopcem)</t>
        </is>
      </c>
      <c r="D139" s="15" t="n"/>
    </row>
    <row r="140">
      <c r="A140" s="24" t="n">
        <v>46346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4" t="n">
        <v>46349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4" t="n">
        <v>46352</v>
      </c>
      <c r="B142" s="15" t="inlineStr">
        <is>
          <t>četvrtak</t>
        </is>
      </c>
      <c r="C142" s="10" t="inlineStr">
        <is>
          <t>Papir i karton (žuti spremnik)</t>
        </is>
      </c>
      <c r="D142" s="15" t="n"/>
    </row>
    <row r="143">
      <c r="A143" s="24" t="n">
        <v>46353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4" t="n">
        <v>46356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4" t="n">
        <v>46359</v>
      </c>
      <c r="B145" s="15" t="inlineStr">
        <is>
          <t>četvrtak</t>
        </is>
      </c>
      <c r="C145" s="9" t="inlineStr">
        <is>
          <t>Plastika, staklo i metal (zeleni spremnik s narančastim poklopcem)</t>
        </is>
      </c>
      <c r="D145" s="15" t="n"/>
    </row>
    <row r="146">
      <c r="A146" s="24" t="n">
        <v>46360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46363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46366</v>
      </c>
      <c r="B148" s="15" t="inlineStr">
        <is>
          <t>četvrtak</t>
        </is>
      </c>
      <c r="C148" s="10" t="inlineStr">
        <is>
          <t>Papir i karton (žuti spremnik)</t>
        </is>
      </c>
      <c r="D148" s="15" t="n"/>
    </row>
    <row r="149">
      <c r="A149" s="24" t="n">
        <v>46367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46370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46373</v>
      </c>
      <c r="B151" s="15" t="inlineStr">
        <is>
          <t>četvrtak</t>
        </is>
      </c>
      <c r="C151" s="9" t="inlineStr">
        <is>
          <t>Plastika, staklo i metal (zeleni spremnik s narančastim poklopcem)</t>
        </is>
      </c>
      <c r="D151" s="15" t="n"/>
    </row>
    <row r="152">
      <c r="A152" s="24" t="n">
        <v>46374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4" t="n">
        <v>46377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4" t="n">
        <v>46380</v>
      </c>
      <c r="B154" s="15" t="inlineStr">
        <is>
          <t>četvrtak</t>
        </is>
      </c>
      <c r="C154" s="10" t="inlineStr">
        <is>
          <t>Papir i karton (žuti spremnik)</t>
        </is>
      </c>
      <c r="D154" s="15" t="n"/>
    </row>
    <row r="155">
      <c r="A155" s="24" t="n">
        <v>46381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4" t="n">
        <v>46384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4" t="n">
        <v>46387</v>
      </c>
      <c r="B157" s="15" t="inlineStr">
        <is>
          <t>četvrtak</t>
        </is>
      </c>
      <c r="C157" s="9" t="inlineStr">
        <is>
          <t>Plastika, staklo i metal (zeleni spremnik s narančastim poklopcem)</t>
        </is>
      </c>
      <c r="D157" s="15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Betinska ulica</t>
        </is>
      </c>
    </row>
    <row r="6">
      <c r="A6" s="15" t="inlineStr">
        <is>
          <t>Donji kraj</t>
        </is>
      </c>
    </row>
    <row r="7">
      <c r="A7" s="15" t="inlineStr">
        <is>
          <t>Gornji put (od križanja Betinske ulice do Spomenika)</t>
        </is>
      </c>
    </row>
    <row r="8">
      <c r="A8" s="15" t="inlineStr">
        <is>
          <t>Murterska ulica</t>
        </is>
      </c>
    </row>
    <row r="9">
      <c r="A9" s="15" t="inlineStr">
        <is>
          <t>Ungarova</t>
        </is>
      </c>
    </row>
    <row r="10">
      <c r="A10" s="15" t="inlineStr">
        <is>
          <t>Pirjakova ulica</t>
        </is>
      </c>
    </row>
    <row r="11">
      <c r="A11" s="15" t="inlineStr">
        <is>
          <t>Plaža Zaratić</t>
        </is>
      </c>
    </row>
    <row r="12">
      <c r="A12" s="15" t="inlineStr">
        <is>
          <t>Put Dražic</t>
        </is>
      </c>
    </row>
    <row r="13">
      <c r="A13" s="15" t="inlineStr">
        <is>
          <t>Put Kučine (apartmani)</t>
        </is>
      </c>
    </row>
    <row r="14">
      <c r="A14" s="15" t="inlineStr">
        <is>
          <t>Put Mrčavrha</t>
        </is>
      </c>
    </row>
    <row r="15">
      <c r="A15" s="15" t="inlineStr">
        <is>
          <t>Put Palila</t>
        </is>
      </c>
    </row>
    <row r="16">
      <c r="A16" s="15" t="inlineStr">
        <is>
          <t>Lučica</t>
        </is>
      </c>
    </row>
    <row r="17">
      <c r="A17" s="15" t="inlineStr">
        <is>
          <t>Put Poljan</t>
        </is>
      </c>
    </row>
    <row r="18">
      <c r="A18" s="15" t="inlineStr">
        <is>
          <t>Put Vrška (apartmani)</t>
        </is>
      </c>
    </row>
    <row r="19">
      <c r="A19" s="15" t="inlineStr">
        <is>
          <t>Uvala Lovišća</t>
        </is>
      </c>
    </row>
    <row r="20">
      <c r="A20" s="15" t="inlineStr">
        <is>
          <t>Zatoka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2026-10-08T05:44:05Z</dcterms:created>
  <dcterms:modified xmlns:dcterms="http://purl.org/dc/terms/" xmlns:xsi="http://www.w3.org/2001/XMLSchema-instance" xsi:type="dcterms:W3CDTF">2026-10-08T05:44:05Z</dcterms:modified>
</cp:coreProperties>
</file>
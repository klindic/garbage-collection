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'Raspored'!$A$4:$G$17</definedName>
    <definedName name="_xlnm._FilterDatabase" localSheetId="2" hidden="1">'Po vrsti'!$A$1:$D$14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kanta)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Plastika (žuta kanta)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8">
      <c r="A8" s="10" t="inlineStr">
        <is>
          <t>Papir (plava kanta)</t>
        </is>
      </c>
      <c r="B8" s="6">
        <f>IFERROR(1/(1/_xlfn.MINIFS(Raspored!$A$5:$A$17,Raspored!$F$5:$F$17,"x",Raspored!$A$5:$A$17,"&gt;="&amp;$B$3)),"nema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otpad (zelena kanta)</t>
        </is>
      </c>
      <c r="C11" s="13" t="inlineStr">
        <is>
          <t>Plastika (žuta kanta)</t>
        </is>
      </c>
      <c r="D11" s="14" t="inlineStr">
        <is>
          <t>Papir (plava kanta)</t>
        </is>
      </c>
    </row>
    <row r="12">
      <c r="A12" s="15" t="inlineStr">
        <is>
          <t>siječanj</t>
        </is>
      </c>
      <c r="B12" s="7">
        <f>COUNTIFS(Raspored!$C$5:$C$17,$A12,Raspored!$D$5:$D$17,"x")</f>
        <v/>
      </c>
      <c r="C12" s="7">
        <f>COUNTIFS(Raspored!$C$5:$C$17,$A12,Raspored!$E$5:$E$17,"x")</f>
        <v/>
      </c>
      <c r="D12" s="7">
        <f>COUNTIFS(Raspored!$C$5:$C$17,$A12,Raspored!$F$5:$F$17,"x")</f>
        <v/>
      </c>
    </row>
    <row r="13">
      <c r="A13" s="15" t="inlineStr">
        <is>
          <t>veljača</t>
        </is>
      </c>
      <c r="B13" s="7">
        <f>COUNTIFS(Raspored!$C$5:$C$17,$A13,Raspored!$D$5:$D$17,"x")</f>
        <v/>
      </c>
      <c r="C13" s="7">
        <f>COUNTIFS(Raspored!$C$5:$C$17,$A13,Raspored!$E$5:$E$17,"x")</f>
        <v/>
      </c>
      <c r="D13" s="7">
        <f>COUNTIFS(Raspored!$C$5:$C$17,$A13,Raspored!$F$5:$F$17,"x")</f>
        <v/>
      </c>
    </row>
    <row r="14">
      <c r="A14" s="15" t="inlineStr">
        <is>
          <t>ožujak</t>
        </is>
      </c>
      <c r="B14" s="7">
        <f>COUNTIFS(Raspored!$C$5:$C$17,$A14,Raspored!$D$5:$D$17,"x")</f>
        <v/>
      </c>
      <c r="C14" s="7">
        <f>COUNTIFS(Raspored!$C$5:$C$17,$A14,Raspored!$E$5:$E$17,"x")</f>
        <v/>
      </c>
      <c r="D14" s="7">
        <f>COUNTIFS(Raspored!$C$5:$C$17,$A14,Raspored!$F$5:$F$17,"x")</f>
        <v/>
      </c>
    </row>
    <row r="15">
      <c r="A15" s="15" t="inlineStr">
        <is>
          <t>travanj</t>
        </is>
      </c>
      <c r="B15" s="7">
        <f>COUNTIFS(Raspored!$C$5:$C$17,$A15,Raspored!$D$5:$D$17,"x")</f>
        <v/>
      </c>
      <c r="C15" s="7">
        <f>COUNTIFS(Raspored!$C$5:$C$17,$A15,Raspored!$E$5:$E$17,"x")</f>
        <v/>
      </c>
      <c r="D15" s="7">
        <f>COUNTIFS(Raspored!$C$5:$C$17,$A15,Raspored!$F$5:$F$17,"x")</f>
        <v/>
      </c>
    </row>
    <row r="16">
      <c r="A16" s="15" t="inlineStr">
        <is>
          <t>svibanj</t>
        </is>
      </c>
      <c r="B16" s="7">
        <f>COUNTIFS(Raspored!$C$5:$C$17,$A16,Raspored!$D$5:$D$17,"x")</f>
        <v/>
      </c>
      <c r="C16" s="7">
        <f>COUNTIFS(Raspored!$C$5:$C$17,$A16,Raspored!$E$5:$E$17,"x")</f>
        <v/>
      </c>
      <c r="D16" s="7">
        <f>COUNTIFS(Raspored!$C$5:$C$17,$A16,Raspored!$F$5:$F$17,"x")</f>
        <v/>
      </c>
    </row>
    <row r="17">
      <c r="A17" s="15" t="inlineStr">
        <is>
          <t>lipanj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  <c r="D17" s="7">
        <f>COUNTIFS(Raspored!$C$5:$C$17,$A17,Raspored!$F$5:$F$17,"x")</f>
        <v/>
      </c>
    </row>
    <row r="18">
      <c r="A18" s="15" t="inlineStr">
        <is>
          <t>srpanj</t>
        </is>
      </c>
      <c r="B18" s="7">
        <f>COUNTIFS(Raspored!$C$5:$C$17,$A18,Raspored!$D$5:$D$17,"x")</f>
        <v/>
      </c>
      <c r="C18" s="7">
        <f>COUNTIFS(Raspored!$C$5:$C$17,$A18,Raspored!$E$5:$E$17,"x")</f>
        <v/>
      </c>
      <c r="D18" s="7">
        <f>COUNTIFS(Raspored!$C$5:$C$17,$A18,Raspored!$F$5:$F$17,"x")</f>
        <v/>
      </c>
    </row>
    <row r="19">
      <c r="A19" s="15" t="inlineStr">
        <is>
          <t>kolovoz</t>
        </is>
      </c>
      <c r="B19" s="7">
        <f>COUNTIFS(Raspored!$C$5:$C$17,$A19,Raspored!$D$5:$D$17,"x")</f>
        <v/>
      </c>
      <c r="C19" s="7">
        <f>COUNTIFS(Raspored!$C$5:$C$17,$A19,Raspored!$E$5:$E$17,"x")</f>
        <v/>
      </c>
      <c r="D19" s="7">
        <f>COUNTIFS(Raspored!$C$5:$C$17,$A19,Raspored!$F$5:$F$17,"x")</f>
        <v/>
      </c>
    </row>
    <row r="20">
      <c r="A20" s="15" t="inlineStr">
        <is>
          <t>rujan</t>
        </is>
      </c>
      <c r="B20" s="7">
        <f>COUNTIFS(Raspored!$C$5:$C$17,$A20,Raspored!$D$5:$D$17,"x")</f>
        <v/>
      </c>
      <c r="C20" s="7">
        <f>COUNTIFS(Raspored!$C$5:$C$17,$A20,Raspored!$E$5:$E$17,"x")</f>
        <v/>
      </c>
      <c r="D20" s="7">
        <f>COUNTIFS(Raspored!$C$5:$C$17,$A20,Raspored!$F$5:$F$17,"x")</f>
        <v/>
      </c>
    </row>
    <row r="21">
      <c r="A21" s="15" t="inlineStr">
        <is>
          <t>listopad</t>
        </is>
      </c>
      <c r="B21" s="7">
        <f>COUNTIFS(Raspored!$C$5:$C$17,$A21,Raspored!$D$5:$D$17,"x")</f>
        <v/>
      </c>
      <c r="C21" s="7">
        <f>COUNTIFS(Raspored!$C$5:$C$17,$A21,Raspored!$E$5:$E$17,"x")</f>
        <v/>
      </c>
      <c r="D21" s="7">
        <f>COUNTIFS(Raspored!$C$5:$C$17,$A21,Raspored!$F$5:$F$17,"x")</f>
        <v/>
      </c>
    </row>
    <row r="22">
      <c r="A22" s="15" t="inlineStr">
        <is>
          <t>studeni</t>
        </is>
      </c>
      <c r="B22" s="7">
        <f>COUNTIFS(Raspored!$C$5:$C$17,$A22,Raspored!$D$5:$D$17,"x")</f>
        <v/>
      </c>
      <c r="C22" s="7">
        <f>COUNTIFS(Raspored!$C$5:$C$17,$A22,Raspored!$E$5:$E$17,"x")</f>
        <v/>
      </c>
      <c r="D22" s="7">
        <f>COUNTIFS(Raspored!$C$5:$C$17,$A22,Raspored!$F$5:$F$17,"x")</f>
        <v/>
      </c>
    </row>
    <row r="23">
      <c r="A23" s="15" t="inlineStr">
        <is>
          <t>prosinac</t>
        </is>
      </c>
      <c r="B23" s="7">
        <f>COUNTIFS(Raspored!$C$5:$C$17,$A23,Raspored!$D$5:$D$17,"x")</f>
        <v/>
      </c>
      <c r="C23" s="7">
        <f>COUNTIFS(Raspored!$C$5:$C$17,$A23,Raspored!$E$5:$E$17,"x")</f>
        <v/>
      </c>
      <c r="D23" s="7">
        <f>COUNTIFS(Raspored!$C$5:$C$17,$A23,Raspored!$F$5:$F$17,"x")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Krublić na webu objavljuje samo raspored za tekući mjesec; ovdje su upisani mjeseci koji su bili objavljeni kad je skripta pokrenuta.</t>
        </is>
      </c>
    </row>
    <row r="28">
      <c r="A28" s="19" t="inlineStr">
        <is>
          <t>• Pomaci zbog blagdana uključeni su u mjesečni raspored.</t>
        </is>
      </c>
    </row>
    <row r="29">
      <c r="A29" s="19" t="inlineStr">
        <is>
          <t>• Ljeti se otpad odvozi od 6 sati ujutro.</t>
        </is>
      </c>
    </row>
    <row r="30">
      <c r="A30" s="19" t="inlineStr">
        <is>
          <t>• Zeleni otoci prazne se srijedom (Smokvica i Brna).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(Smokvica)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otpad (zelena kanta)</t>
        </is>
      </c>
      <c r="E4" s="13" t="inlineStr">
        <is>
          <t>Plastika (žuta kanta)</t>
        </is>
      </c>
      <c r="F4" s="14" t="inlineStr">
        <is>
          <t>Papir (plava kanta)</t>
        </is>
      </c>
      <c r="G4" s="4" t="inlineStr">
        <is>
          <t>Napomena</t>
        </is>
      </c>
    </row>
    <row r="5">
      <c r="A5" s="6" t="n">
        <v>46267</v>
      </c>
      <c r="B5" s="7" t="inlineStr">
        <is>
          <t>srijeda</t>
        </is>
      </c>
      <c r="C5" s="7" t="inlineStr">
        <is>
          <t>rujan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46268</v>
      </c>
      <c r="B6" s="7" t="inlineStr">
        <is>
          <t>četvrtak</t>
        </is>
      </c>
      <c r="C6" s="7" t="inlineStr">
        <is>
          <t>rujan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46272</v>
      </c>
      <c r="B7" s="7" t="inlineStr">
        <is>
          <t>ponedjeljak</t>
        </is>
      </c>
      <c r="C7" s="7" t="inlineStr">
        <is>
          <t>rujan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46274</v>
      </c>
      <c r="B8" s="7" t="inlineStr">
        <is>
          <t>srijeda</t>
        </is>
      </c>
      <c r="C8" s="7" t="inlineStr">
        <is>
          <t>rujan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46275</v>
      </c>
      <c r="B9" s="7" t="inlineStr">
        <is>
          <t>četvrtak</t>
        </is>
      </c>
      <c r="C9" s="7" t="inlineStr">
        <is>
          <t>rujan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46279</v>
      </c>
      <c r="B10" s="7" t="inlineStr">
        <is>
          <t>ponedjeljak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46281</v>
      </c>
      <c r="B11" s="7" t="inlineStr">
        <is>
          <t>srijeda</t>
        </is>
      </c>
      <c r="C11" s="7" t="inlineStr">
        <is>
          <t>rujan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46282</v>
      </c>
      <c r="B12" s="7" t="inlineStr">
        <is>
          <t>četvrtak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46286</v>
      </c>
      <c r="B13" s="7" t="inlineStr">
        <is>
          <t>ponedjeljak</t>
        </is>
      </c>
      <c r="C13" s="7" t="inlineStr">
        <is>
          <t>rujan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46288</v>
      </c>
      <c r="B14" s="7" t="inlineStr">
        <is>
          <t>srijeda</t>
        </is>
      </c>
      <c r="C14" s="7" t="inlineStr">
        <is>
          <t>rujan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46289</v>
      </c>
      <c r="B15" s="7" t="inlineStr">
        <is>
          <t>četvrtak</t>
        </is>
      </c>
      <c r="C15" s="7" t="inlineStr">
        <is>
          <t>rujan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46293</v>
      </c>
      <c r="B16" s="7" t="inlineStr">
        <is>
          <t>ponedjeljak</t>
        </is>
      </c>
      <c r="C16" s="7" t="inlineStr">
        <is>
          <t>rujan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46295</v>
      </c>
      <c r="B17" s="7" t="inlineStr">
        <is>
          <t>srijeda</t>
        </is>
      </c>
      <c r="C17" s="7" t="inlineStr">
        <is>
          <t>rujan</t>
        </is>
      </c>
      <c r="D17" s="7" t="n"/>
      <c r="E17" s="7" t="inlineStr">
        <is>
          <t>x</t>
        </is>
      </c>
      <c r="F17" s="7" t="n"/>
      <c r="G17" s="21" t="n"/>
    </row>
  </sheetData>
  <autoFilter ref="A4:G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F5:F17">
    <cfRule type="expression" priority="3" dxfId="2">
      <formula>F5="x"</formula>
    </cfRule>
  </conditionalFormatting>
  <conditionalFormatting sqref="A5:G1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46267</v>
      </c>
      <c r="B2" s="15" t="inlineStr">
        <is>
          <t>srijeda</t>
        </is>
      </c>
      <c r="C2" s="9" t="inlineStr">
        <is>
          <t>Plastika (žuta kanta)</t>
        </is>
      </c>
      <c r="D2" s="15" t="n"/>
    </row>
    <row r="3">
      <c r="A3" s="22" t="n">
        <v>46268</v>
      </c>
      <c r="B3" s="15" t="inlineStr">
        <is>
          <t>četvrtak</t>
        </is>
      </c>
      <c r="C3" s="5" t="inlineStr">
        <is>
          <t>Miješani otpad (zelena kanta)</t>
        </is>
      </c>
      <c r="D3" s="15" t="n"/>
    </row>
    <row r="4">
      <c r="A4" s="22" t="n">
        <v>46272</v>
      </c>
      <c r="B4" s="15" t="inlineStr">
        <is>
          <t>ponedjeljak</t>
        </is>
      </c>
      <c r="C4" s="5" t="inlineStr">
        <is>
          <t>Miješani otpad (zelena kanta)</t>
        </is>
      </c>
      <c r="D4" s="15" t="n"/>
    </row>
    <row r="5">
      <c r="A5" s="22" t="n">
        <v>46274</v>
      </c>
      <c r="B5" s="15" t="inlineStr">
        <is>
          <t>srijeda</t>
        </is>
      </c>
      <c r="C5" s="10" t="inlineStr">
        <is>
          <t>Papir (plava kanta)</t>
        </is>
      </c>
      <c r="D5" s="15" t="n"/>
    </row>
    <row r="6">
      <c r="A6" s="22" t="n">
        <v>46275</v>
      </c>
      <c r="B6" s="15" t="inlineStr">
        <is>
          <t>četvrtak</t>
        </is>
      </c>
      <c r="C6" s="5" t="inlineStr">
        <is>
          <t>Miješani otpad (zelena kanta)</t>
        </is>
      </c>
      <c r="D6" s="15" t="n"/>
    </row>
    <row r="7">
      <c r="A7" s="22" t="n">
        <v>46279</v>
      </c>
      <c r="B7" s="15" t="inlineStr">
        <is>
          <t>ponedjeljak</t>
        </is>
      </c>
      <c r="C7" s="5" t="inlineStr">
        <is>
          <t>Miješani otpad (zelena kanta)</t>
        </is>
      </c>
      <c r="D7" s="15" t="n"/>
    </row>
    <row r="8">
      <c r="A8" s="22" t="n">
        <v>46281</v>
      </c>
      <c r="B8" s="15" t="inlineStr">
        <is>
          <t>srijeda</t>
        </is>
      </c>
      <c r="C8" s="9" t="inlineStr">
        <is>
          <t>Plastika (žuta kanta)</t>
        </is>
      </c>
      <c r="D8" s="15" t="n"/>
    </row>
    <row r="9">
      <c r="A9" s="22" t="n">
        <v>46282</v>
      </c>
      <c r="B9" s="15" t="inlineStr">
        <is>
          <t>četvrtak</t>
        </is>
      </c>
      <c r="C9" s="5" t="inlineStr">
        <is>
          <t>Miješani otpad (zelena kanta)</t>
        </is>
      </c>
      <c r="D9" s="15" t="n"/>
    </row>
    <row r="10">
      <c r="A10" s="22" t="n">
        <v>46286</v>
      </c>
      <c r="B10" s="15" t="inlineStr">
        <is>
          <t>ponedjeljak</t>
        </is>
      </c>
      <c r="C10" s="5" t="inlineStr">
        <is>
          <t>Miješani otpad (zelena kanta)</t>
        </is>
      </c>
      <c r="D10" s="15" t="n"/>
    </row>
    <row r="11">
      <c r="A11" s="22" t="n">
        <v>46288</v>
      </c>
      <c r="B11" s="15" t="inlineStr">
        <is>
          <t>srijeda</t>
        </is>
      </c>
      <c r="C11" s="10" t="inlineStr">
        <is>
          <t>Papir (plava kanta)</t>
        </is>
      </c>
      <c r="D11" s="15" t="n"/>
    </row>
    <row r="12">
      <c r="A12" s="22" t="n">
        <v>46289</v>
      </c>
      <c r="B12" s="15" t="inlineStr">
        <is>
          <t>četvrtak</t>
        </is>
      </c>
      <c r="C12" s="5" t="inlineStr">
        <is>
          <t>Miješani otpad (zelena kanta)</t>
        </is>
      </c>
      <c r="D12" s="15" t="n"/>
    </row>
    <row r="13">
      <c r="A13" s="22" t="n">
        <v>46293</v>
      </c>
      <c r="B13" s="15" t="inlineStr">
        <is>
          <t>ponedjeljak</t>
        </is>
      </c>
      <c r="C13" s="5" t="inlineStr">
        <is>
          <t>Miješani otpad (zelena kanta)</t>
        </is>
      </c>
      <c r="D13" s="15" t="n"/>
    </row>
    <row r="14">
      <c r="A14" s="22" t="n">
        <v>46295</v>
      </c>
      <c r="B14" s="15" t="inlineStr">
        <is>
          <t>srijeda</t>
        </is>
      </c>
      <c r="C14" s="9" t="inlineStr">
        <is>
          <t>Plastika (žuta kanta)</t>
        </is>
      </c>
      <c r="D14" s="15" t="n"/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(Smokvica): ulice i naselja</t>
        </is>
      </c>
    </row>
    <row r="4">
      <c r="A4" s="4" t="inlineStr">
        <is>
          <t>Ulica / naselje</t>
        </is>
      </c>
    </row>
    <row r="5">
      <c r="A5" s="15" t="inlineStr">
        <is>
          <t>Smokvica</t>
        </is>
      </c>
    </row>
    <row r="6">
      <c r="A6" s="15" t="inlineStr">
        <is>
          <t>Blaca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2026-10-07T19:06:45Z</dcterms:created>
  <dcterms:modified xmlns:dcterms="http://purl.org/dc/terms/" xmlns:xsi="http://www.w3.org/2001/XMLSchema-instance" xsi:type="dcterms:W3CDTF">2026-10-07T19:06:45Z</dcterms:modified>
</cp:coreProperties>
</file>
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led" sheetId="1" state="visible" r:id="rId1"/>
    <sheet xmlns:r="http://schemas.openxmlformats.org/officeDocument/2006/relationships" name="Raspored" sheetId="2" state="visible" r:id="rId2"/>
    <sheet xmlns:r="http://schemas.openxmlformats.org/officeDocument/2006/relationships" name="Po vrsti" sheetId="3" state="visible" r:id="rId3"/>
    <sheet xmlns:r="http://schemas.openxmlformats.org/officeDocument/2006/relationships" name="Ulice i naselja" sheetId="4" state="visible" r:id="rId4"/>
  </sheets>
  <definedNames>
    <definedName name="_xlnm._FilterDatabase" localSheetId="1" hidden="1">'Raspored'!$A$4:$G$13</definedName>
    <definedName name="_xlnm._FilterDatabase" localSheetId="2" hidden="1">'Po vrsti'!$A$1:$D$18</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10">
    <font>
      <name val="Calibri"/>
      <family val="2"/>
      <color theme="1"/>
      <sz val="11"/>
      <scheme val="minor"/>
    </font>
    <font>
      <name val="Arial"/>
      <b val="1"/>
      <sz val="14"/>
    </font>
    <font>
      <name val="Arial"/>
      <i val="1"/>
      <color rgb="00595959"/>
      <sz val="9"/>
    </font>
    <font>
      <name val="Arial"/>
      <b val="1"/>
      <color rgb="00FFFFFF"/>
    </font>
    <font>
      <name val="Arial"/>
      <b val="1"/>
      <color rgb="00000000"/>
    </font>
    <font>
      <name val="Arial"/>
    </font>
    <font>
      <name val="Arial"/>
      <b val="1"/>
    </font>
    <font>
      <name val="Arial"/>
      <b val="1"/>
      <sz val="12"/>
    </font>
    <font>
      <name val="Arial"/>
      <b val="1"/>
      <sz val="10"/>
    </font>
    <font>
      <name val="Arial"/>
      <sz val="10"/>
    </font>
  </fonts>
  <fills count="6">
    <fill>
      <patternFill/>
    </fill>
    <fill>
      <patternFill patternType="gray125"/>
    </fill>
    <fill>
      <patternFill patternType="solid">
        <fgColor rgb="00375623"/>
      </patternFill>
    </fill>
    <fill>
      <patternFill patternType="solid">
        <fgColor rgb="00262626"/>
      </patternFill>
    </fill>
    <fill>
      <patternFill patternType="solid">
        <fgColor rgb="00FFE600"/>
      </patternFill>
    </fill>
    <fill>
      <patternFill patternType="solid">
        <fgColor rgb="003B6EF5"/>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6" fillId="0" borderId="0" pivotButton="0" quotePrefix="0" xfId="0"/>
    <xf numFmtId="165" fontId="5" fillId="0" borderId="0" pivotButton="0" quotePrefix="0" xfId="0"/>
    <xf numFmtId="0" fontId="3" fillId="2" borderId="1" applyAlignment="1" pivotButton="0" quotePrefix="0" xfId="0">
      <alignment horizontal="center" vertical="center" wrapText="1"/>
    </xf>
    <xf numFmtId="0" fontId="3" fillId="3" borderId="1" pivotButton="0" quotePrefix="0" xfId="0"/>
    <xf numFmtId="165"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1" fontId="5" fillId="0" borderId="1" applyAlignment="1" pivotButton="0" quotePrefix="0" xfId="0">
      <alignment horizontal="center" vertical="center" wrapText="1"/>
    </xf>
    <xf numFmtId="0" fontId="4" fillId="4" borderId="1" pivotButton="0" quotePrefix="0" xfId="0"/>
    <xf numFmtId="0" fontId="3" fillId="5" borderId="1" pivotButton="0" quotePrefix="0" xfId="0"/>
    <xf numFmtId="0" fontId="7" fillId="0" borderId="0" pivotButton="0" quotePrefix="0" xfId="0"/>
    <xf numFmtId="0" fontId="3"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5" fillId="0" borderId="1" pivotButton="0" quotePrefix="0" xfId="0"/>
    <xf numFmtId="0" fontId="6" fillId="0" borderId="1" pivotButton="0" quotePrefix="0" xfId="0"/>
    <xf numFmtId="0" fontId="6" fillId="0" borderId="1" applyAlignment="1" pivotButton="0" quotePrefix="0" xfId="0">
      <alignment horizontal="center" vertical="center" wrapText="1"/>
    </xf>
    <xf numFmtId="0" fontId="8" fillId="0" borderId="0" pivotButton="0" quotePrefix="0" xfId="0"/>
    <xf numFmtId="0" fontId="9" fillId="0" borderId="0" pivotButton="0" quotePrefix="0" xfId="0"/>
    <xf numFmtId="0" fontId="2" fillId="0" borderId="0" pivotButton="0" quotePrefix="0" xfId="0"/>
    <xf numFmtId="0" fontId="5" fillId="0" borderId="1" applyAlignment="1" pivotButton="0" quotePrefix="0" xfId="0">
      <alignment vertical="center"/>
    </xf>
    <xf numFmtId="165" fontId="5" fillId="0" borderId="1" pivotButton="0" quotePrefix="0" xfId="0"/>
  </cellXfs>
  <cellStyles count="1">
    <cellStyle name="Normal" xfId="0" builtinId="0" hidden="0"/>
  </cellStyles>
  <dxfs count="4">
    <dxf>
      <font>
        <b val="1"/>
        <color rgb="00FFFFFF"/>
      </font>
      <fill>
        <patternFill patternType="solid">
          <fgColor rgb="00262626"/>
          <bgColor rgb="00262626"/>
        </patternFill>
      </fill>
    </dxf>
    <dxf>
      <font>
        <b val="1"/>
        <color rgb="00000000"/>
      </font>
      <fill>
        <patternFill patternType="solid">
          <fgColor rgb="00FFE600"/>
          <bgColor rgb="00FFE600"/>
        </patternFill>
      </fill>
    </dxf>
    <dxf>
      <font>
        <b val="1"/>
        <color rgb="00FFFFFF"/>
      </font>
      <fill>
        <patternFill patternType="solid">
          <fgColor rgb="003B6EF5"/>
          <bgColor rgb="003B6EF5"/>
        </patternFill>
      </fill>
    </dxf>
    <dxf>
      <font>
        <color rgb="00A6A6A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cols>
    <col width="26" customWidth="1" min="1" max="1"/>
    <col width="24" customWidth="1" min="2" max="2"/>
    <col width="24" customWidth="1" min="3" max="3"/>
    <col width="24" customWidth="1" min="4" max="4"/>
    <col width="20" customWidth="1" min="5" max="5"/>
  </cols>
  <sheetData>
    <row r="1">
      <c r="A1" s="1" t="inlineStr">
        <is>
          <t>Zona 28, 2026: pregled odvoza</t>
        </is>
      </c>
    </row>
    <row r="3">
      <c r="A3" s="2" t="inlineStr">
        <is>
          <t>Danas</t>
        </is>
      </c>
      <c r="B3" s="3">
        <f>TODAY()</f>
        <v/>
      </c>
    </row>
    <row r="5">
      <c r="A5" s="4" t="inlineStr">
        <is>
          <t>Vrsta otpada</t>
        </is>
      </c>
      <c r="B5" s="4" t="inlineStr">
        <is>
          <t>Sljedeći odvoz</t>
        </is>
      </c>
      <c r="C5" s="4" t="inlineStr">
        <is>
          <t>Dan</t>
        </is>
      </c>
      <c r="D5" s="4" t="inlineStr">
        <is>
          <t>Za dana</t>
        </is>
      </c>
      <c r="E5" s="4" t="inlineStr">
        <is>
          <t>Ukupno u 2026.</t>
        </is>
      </c>
    </row>
    <row r="6">
      <c r="A6" s="5" t="inlineStr">
        <is>
          <t>Miješani komunalni otpad</t>
        </is>
      </c>
      <c r="B6" s="6">
        <f>IFERROR(1/(1/_xlfn.MINIFS(Raspored!$A$5:$A$13,Raspored!$D$5:$D$13,"x",Raspored!$A$5:$A$13,"&gt;="&amp;$B$3)),"nema više u 2026.")</f>
        <v/>
      </c>
      <c r="C6" s="7">
        <f>IF(ISNUMBER(B6),INDEX({"nedjelja","ponedjeljak","utorak","srijeda","četvrtak","petak","subota"},WEEKDAY(B6)),"")</f>
        <v/>
      </c>
      <c r="D6" s="8">
        <f>IF(ISNUMBER(B6),B6-$B$3,"")</f>
        <v/>
      </c>
      <c r="E6" s="7">
        <f>COUNTIF(Raspored!$D$5:$D$13,"x")</f>
        <v/>
      </c>
    </row>
    <row r="7">
      <c r="A7" s="9" t="inlineStr">
        <is>
          <t>Plastika i metal</t>
        </is>
      </c>
      <c r="B7" s="6">
        <f>IFERROR(1/(1/_xlfn.MINIFS(Raspored!$A$5:$A$13,Raspored!$E$5:$E$13,"x",Raspored!$A$5:$A$13,"&gt;="&amp;$B$3)),"nema više u 2026.")</f>
        <v/>
      </c>
      <c r="C7" s="7">
        <f>IF(ISNUMBER(B7),INDEX({"nedjelja","ponedjeljak","utorak","srijeda","četvrtak","petak","subota"},WEEKDAY(B7)),"")</f>
        <v/>
      </c>
      <c r="D7" s="8">
        <f>IF(ISNUMBER(B7),B7-$B$3,"")</f>
        <v/>
      </c>
      <c r="E7" s="7">
        <f>COUNTIF(Raspored!$E$5:$E$13,"x")</f>
        <v/>
      </c>
    </row>
    <row r="8">
      <c r="A8" s="10" t="inlineStr">
        <is>
          <t>Papir i karton</t>
        </is>
      </c>
      <c r="B8" s="6">
        <f>IFERROR(1/(1/_xlfn.MINIFS(Raspored!$A$5:$A$13,Raspored!$F$5:$F$13,"x",Raspored!$A$5:$A$13,"&gt;="&amp;$B$3)),"nema više u 2026.")</f>
        <v/>
      </c>
      <c r="C8" s="7">
        <f>IF(ISNUMBER(B8),INDEX({"nedjelja","ponedjeljak","utorak","srijeda","četvrtak","petak","subota"},WEEKDAY(B8)),"")</f>
        <v/>
      </c>
      <c r="D8" s="8">
        <f>IF(ISNUMBER(B8),B8-$B$3,"")</f>
        <v/>
      </c>
      <c r="E8" s="7">
        <f>COUNTIF(Raspored!$F$5:$F$13,"x")</f>
        <v/>
      </c>
    </row>
    <row r="10">
      <c r="A10" s="11" t="inlineStr">
        <is>
          <t>Broj odvoza po mjesecu</t>
        </is>
      </c>
    </row>
    <row r="11" ht="30" customHeight="1">
      <c r="A11" s="4" t="inlineStr">
        <is>
          <t>Mjesec</t>
        </is>
      </c>
      <c r="B11" s="12" t="inlineStr">
        <is>
          <t>Miješani komunalni otpad</t>
        </is>
      </c>
      <c r="C11" s="13" t="inlineStr">
        <is>
          <t>Plastika i metal</t>
        </is>
      </c>
      <c r="D11" s="14" t="inlineStr">
        <is>
          <t>Papir i karton</t>
        </is>
      </c>
    </row>
    <row r="12">
      <c r="A12" s="15" t="inlineStr">
        <is>
          <t>siječanj</t>
        </is>
      </c>
      <c r="B12" s="7">
        <f>COUNTIFS(Raspored!$C$5:$C$13,$A12,Raspored!$D$5:$D$13,"x")</f>
        <v/>
      </c>
      <c r="C12" s="7">
        <f>COUNTIFS(Raspored!$C$5:$C$13,$A12,Raspored!$E$5:$E$13,"x")</f>
        <v/>
      </c>
      <c r="D12" s="7">
        <f>COUNTIFS(Raspored!$C$5:$C$13,$A12,Raspored!$F$5:$F$13,"x")</f>
        <v/>
      </c>
    </row>
    <row r="13">
      <c r="A13" s="15" t="inlineStr">
        <is>
          <t>veljača</t>
        </is>
      </c>
      <c r="B13" s="7">
        <f>COUNTIFS(Raspored!$C$5:$C$13,$A13,Raspored!$D$5:$D$13,"x")</f>
        <v/>
      </c>
      <c r="C13" s="7">
        <f>COUNTIFS(Raspored!$C$5:$C$13,$A13,Raspored!$E$5:$E$13,"x")</f>
        <v/>
      </c>
      <c r="D13" s="7">
        <f>COUNTIFS(Raspored!$C$5:$C$13,$A13,Raspored!$F$5:$F$13,"x")</f>
        <v/>
      </c>
    </row>
    <row r="14">
      <c r="A14" s="15" t="inlineStr">
        <is>
          <t>ožujak</t>
        </is>
      </c>
      <c r="B14" s="7">
        <f>COUNTIFS(Raspored!$C$5:$C$13,$A14,Raspored!$D$5:$D$13,"x")</f>
        <v/>
      </c>
      <c r="C14" s="7">
        <f>COUNTIFS(Raspored!$C$5:$C$13,$A14,Raspored!$E$5:$E$13,"x")</f>
        <v/>
      </c>
      <c r="D14" s="7">
        <f>COUNTIFS(Raspored!$C$5:$C$13,$A14,Raspored!$F$5:$F$13,"x")</f>
        <v/>
      </c>
    </row>
    <row r="15">
      <c r="A15" s="15" t="inlineStr">
        <is>
          <t>travanj</t>
        </is>
      </c>
      <c r="B15" s="7">
        <f>COUNTIFS(Raspored!$C$5:$C$13,$A15,Raspored!$D$5:$D$13,"x")</f>
        <v/>
      </c>
      <c r="C15" s="7">
        <f>COUNTIFS(Raspored!$C$5:$C$13,$A15,Raspored!$E$5:$E$13,"x")</f>
        <v/>
      </c>
      <c r="D15" s="7">
        <f>COUNTIFS(Raspored!$C$5:$C$13,$A15,Raspored!$F$5:$F$13,"x")</f>
        <v/>
      </c>
    </row>
    <row r="16">
      <c r="A16" s="15" t="inlineStr">
        <is>
          <t>svibanj</t>
        </is>
      </c>
      <c r="B16" s="7">
        <f>COUNTIFS(Raspored!$C$5:$C$13,$A16,Raspored!$D$5:$D$13,"x")</f>
        <v/>
      </c>
      <c r="C16" s="7">
        <f>COUNTIFS(Raspored!$C$5:$C$13,$A16,Raspored!$E$5:$E$13,"x")</f>
        <v/>
      </c>
      <c r="D16" s="7">
        <f>COUNTIFS(Raspored!$C$5:$C$13,$A16,Raspored!$F$5:$F$13,"x")</f>
        <v/>
      </c>
    </row>
    <row r="17">
      <c r="A17" s="15" t="inlineStr">
        <is>
          <t>lipanj</t>
        </is>
      </c>
      <c r="B17" s="7">
        <f>COUNTIFS(Raspored!$C$5:$C$13,$A17,Raspored!$D$5:$D$13,"x")</f>
        <v/>
      </c>
      <c r="C17" s="7">
        <f>COUNTIFS(Raspored!$C$5:$C$13,$A17,Raspored!$E$5:$E$13,"x")</f>
        <v/>
      </c>
      <c r="D17" s="7">
        <f>COUNTIFS(Raspored!$C$5:$C$13,$A17,Raspored!$F$5:$F$13,"x")</f>
        <v/>
      </c>
    </row>
    <row r="18">
      <c r="A18" s="15" t="inlineStr">
        <is>
          <t>srpanj</t>
        </is>
      </c>
      <c r="B18" s="7">
        <f>COUNTIFS(Raspored!$C$5:$C$13,$A18,Raspored!$D$5:$D$13,"x")</f>
        <v/>
      </c>
      <c r="C18" s="7">
        <f>COUNTIFS(Raspored!$C$5:$C$13,$A18,Raspored!$E$5:$E$13,"x")</f>
        <v/>
      </c>
      <c r="D18" s="7">
        <f>COUNTIFS(Raspored!$C$5:$C$13,$A18,Raspored!$F$5:$F$13,"x")</f>
        <v/>
      </c>
    </row>
    <row r="19">
      <c r="A19" s="15" t="inlineStr">
        <is>
          <t>kolovoz</t>
        </is>
      </c>
      <c r="B19" s="7">
        <f>COUNTIFS(Raspored!$C$5:$C$13,$A19,Raspored!$D$5:$D$13,"x")</f>
        <v/>
      </c>
      <c r="C19" s="7">
        <f>COUNTIFS(Raspored!$C$5:$C$13,$A19,Raspored!$E$5:$E$13,"x")</f>
        <v/>
      </c>
      <c r="D19" s="7">
        <f>COUNTIFS(Raspored!$C$5:$C$13,$A19,Raspored!$F$5:$F$13,"x")</f>
        <v/>
      </c>
    </row>
    <row r="20">
      <c r="A20" s="15" t="inlineStr">
        <is>
          <t>rujan</t>
        </is>
      </c>
      <c r="B20" s="7">
        <f>COUNTIFS(Raspored!$C$5:$C$13,$A20,Raspored!$D$5:$D$13,"x")</f>
        <v/>
      </c>
      <c r="C20" s="7">
        <f>COUNTIFS(Raspored!$C$5:$C$13,$A20,Raspored!$E$5:$E$13,"x")</f>
        <v/>
      </c>
      <c r="D20" s="7">
        <f>COUNTIFS(Raspored!$C$5:$C$13,$A20,Raspored!$F$5:$F$13,"x")</f>
        <v/>
      </c>
    </row>
    <row r="21">
      <c r="A21" s="15" t="inlineStr">
        <is>
          <t>listopad</t>
        </is>
      </c>
      <c r="B21" s="7">
        <f>COUNTIFS(Raspored!$C$5:$C$13,$A21,Raspored!$D$5:$D$13,"x")</f>
        <v/>
      </c>
      <c r="C21" s="7">
        <f>COUNTIFS(Raspored!$C$5:$C$13,$A21,Raspored!$E$5:$E$13,"x")</f>
        <v/>
      </c>
      <c r="D21" s="7">
        <f>COUNTIFS(Raspored!$C$5:$C$13,$A21,Raspored!$F$5:$F$13,"x")</f>
        <v/>
      </c>
    </row>
    <row r="22">
      <c r="A22" s="15" t="inlineStr">
        <is>
          <t>studeni</t>
        </is>
      </c>
      <c r="B22" s="7">
        <f>COUNTIFS(Raspored!$C$5:$C$13,$A22,Raspored!$D$5:$D$13,"x")</f>
        <v/>
      </c>
      <c r="C22" s="7">
        <f>COUNTIFS(Raspored!$C$5:$C$13,$A22,Raspored!$E$5:$E$13,"x")</f>
        <v/>
      </c>
      <c r="D22" s="7">
        <f>COUNTIFS(Raspored!$C$5:$C$13,$A22,Raspored!$F$5:$F$13,"x")</f>
        <v/>
      </c>
    </row>
    <row r="23">
      <c r="A23" s="15" t="inlineStr">
        <is>
          <t>prosinac</t>
        </is>
      </c>
      <c r="B23" s="7">
        <f>COUNTIFS(Raspored!$C$5:$C$13,$A23,Raspored!$D$5:$D$13,"x")</f>
        <v/>
      </c>
      <c r="C23" s="7">
        <f>COUNTIFS(Raspored!$C$5:$C$13,$A23,Raspored!$E$5:$E$13,"x")</f>
        <v/>
      </c>
      <c r="D23" s="7">
        <f>COUNTIFS(Raspored!$C$5:$C$13,$A23,Raspored!$F$5:$F$13,"x")</f>
        <v/>
      </c>
    </row>
    <row r="24">
      <c r="A24" s="16" t="inlineStr">
        <is>
          <t>Ukupno</t>
        </is>
      </c>
      <c r="B24" s="17">
        <f>SUM(B12:B23)</f>
        <v/>
      </c>
      <c r="C24" s="17">
        <f>SUM(C12:C23)</f>
        <v/>
      </c>
      <c r="D24" s="17">
        <f>SUM(D12:D23)</f>
        <v/>
      </c>
    </row>
    <row r="26">
      <c r="A26" s="18" t="inlineStr">
        <is>
          <t>Napomene:</t>
        </is>
      </c>
    </row>
    <row r="27">
      <c r="A27" s="19" t="inlineStr">
        <is>
          <t>• Biootpad se na ovom području ne odvozi; preporučuje se kućno kompostiranje.</t>
        </is>
      </c>
    </row>
    <row r="28">
      <c r="A28" s="19" t="inlineStr">
        <is>
          <t>• Raspored po adresi (kućnom broju) na https://www.herculanea.hr/hr/usluge/cistoca/kalendar-odvoza/; objavljuju se samo tekući i sljedeći mjesec, pa se raspored nadopunjuje svakim pokretanjem skripte.</t>
        </is>
      </c>
    </row>
    <row r="29">
      <c r="A29" s="19" t="inlineStr">
        <is>
          <t>• U središtu Pule i na drugim adresama sa zajedničkim spremnicima nema rasporeda za kućanstva: otpad se odlaže u zajedničke spremnike (lokacije spremnika na herculanea.hr).</t>
        </is>
      </c>
    </row>
    <row r="30">
      <c r="A30" s="19" t="inlineStr">
        <is>
          <t>• Spremnike treba iznijeti večer prije odvoza.</t>
        </is>
      </c>
    </row>
    <row r="31">
      <c r="A31" s="19" t="inlineStr">
        <is>
          <t>• Pomaci zbog blagdana nisu posebno označeni; datumi su preuzeti kako su objavljeni.</t>
        </is>
      </c>
    </row>
    <row r="32">
      <c r="A32" s="19" t="inlineStr">
        <is>
          <t>• Za neke adrese tražilica daje raspored samo bez kućnog broja (npr. Šišan), a s kućnim brojem javlja da nema rasporeda; takve adrese su u zoni pod svojim imenom, a brojevi u popisu adresa bez rasporeda.</t>
        </is>
      </c>
    </row>
    <row r="33">
      <c r="A33" s="19" t="inlineStr">
        <is>
          <t>• Adrese sa zajedničkim spremnicima (354): Akvilejski prilaz, Aleja Maslina 1–3, Aleja Maslina 5–7, Amfiteatarska ulica, Anticova ulica, Arsenalska ulica, Augustov prolaz, Banovčeva ulica, Bečka ulica, Benčićeva ulica, Besenghijeva ulica, Boškovićev uspon, Brionska ulica 2, Brionska ulica 6–7, Budicinova ulica 1, Budicinova ulica 18, Budicinova ulica 20, Budicinova ulica 31–35, Budicinova ulica 9, Buonarrotijeva ulica, Cankarova ulica, Carrarina ulica, Ciscuttijeva ulica, Cvečićev uspon, Da Vincijeva ulica, Dalmatinova ulica, Danteov trg, De Villeov uspon, Divkovićeva ulica, Dobricheva ulica, Dobrilina ulica, Držićeva ulica, Duga Uvala (Krnica), Duga Uvala,ladonja (Krnica), Duga Uvala,mendula (Krnica), Duga Uvala,mirta 1 (Krnica), Duga Uvala,mirta 2 (Krnica), Duga Uvala-bašelak (Krnica), Duga Uvala-bršuda (Krnica), Duga Uvala-črešnja 1 i 2 (Krnica), Duga Uvala-dub (Krnica), Duga Uvala-javorika 1 i 2 (Krnica), Duga Uvala-roža-garoful (Krnica), Duga Uvala-smrika 1 i 2 (Krnica), Duga Uvala-ulika (Krnica), Emova ulica, Epulonova ulica, Faverijska ulica 19, Faverijska ulica 1–16, Faverijska ulica 21, Flaciusova ulica, Flanatička ulica, Flavijevska ulica, Forum, Gajeva ulica, Galijotska ulica, Giardini, Ginzkeyeva ulica, Gladijatorska ulica, Glavinićev uspon, Gočanska ulica, Greblova ulica, Gundulićeva ulica, Gupčeva ulica, Istarska ulica, Kandlerova ulica, Kapitolinski trg, Karlovačka ulica 1–2, Karlovačka ulica 4–5, Karlovačka ulica 7, Karlovačka ulica 9, Kašićeva ulica, Kavran (Krnica), Keršovanijeva ulica, Kochova ulica 11, Kochova ulica 13–22, Kochova ulica 1–3, Kochova ulica 5–9, Kolodvorska ulica, Koparska ulica, Kovačićeva ulica, Kranjčevićeva ulica, Krčka ulica, Krmpotićeva ulica, Krnica 26, Krnica 618, Kumičićeva ulica 10, Kumičićeva ulica 3–8, Laginjina ulica, Lindarski prilaz, Maksimijanova ulica, Marulićeva ulica, Mažuranićeva ulica, Mletačka ulica, Mornarički trg, Motikina ulica, Motovunski prolaz, Narodni trg, Nazorova ulica, Negrijeva ulica, Nezakcijska ulica, Nimfej, Omladinska ulica, Osječka ulica 12–16, Osječka ulica 1–10, Osječka ulica 29, Osječka ulica 31, Ozad Arene, Palazzine, Palladiova ulica, Pavićini (Krnica), Pavićini 114–115 (Krnica), Pavićini 121–123 (Krnica), Pavićini 128 (Krnica), Pavićini 130–133 (Krnica), Pavićini 138–142 (Krnica), Pavićini 146 (Krnica), Pavićini 148–160 (Krnica), Pavićini 15 (Krnica), Pavićini 166 (Krnica), Pavićini 170–179 (Krnica), Pavićini 181–183 (Krnica), Pavićini 186–193 (Krnica), Pavićini 19 (Krnica), Pavićini 197–200 (Krnica), Pavićini 215 (Krnica), Pavićini 239–240 (Krnica), Pavićini 246 (Krnica), Pavićini 248–253 (Krnica), Pavićini 258–262 (Krnica), Pavićini 268–270 (Krnica), Pavićini 273–274 (Krnica), Pavićini 276–321 (Krnica), Pavićini 30–32 (Krnica), Pavićini 325–330 (Krnica), Pavićini 335–350 (Krnica), Pavićini 365–367 (Krnica), Pavićini 37 (Krnica), Pavićini 370–379 (Krnica), Pavićini 382–384 (Krnica), Pavićini 387–404 (Krnica), Pavićini 40–43 (Krnica), Pavićini 417 (Krnica), Pavićini 468–470 (Krnica), Pavićini 485–500 (Krnica), Pavićini 518–536 (Krnica), Pavićini 540–546 (Krnica), Pavićini 551 (Krnica), Pavićini 555–590 (Krnica), Pavićini 601–651 (Krnica), Pavićini 63–73 (Krnica), Pavićini 655–668 (Krnica), Pavićini 670–675 (Krnica), Pavićini 681–687 (Krnica), Pavićini 695–701 (Krnica), Pavićini 703 (Krnica), Pavićini 705 (Krnica), Pavićini 716 (Krnica), Pavićini 720 (Krnica), Pavićini 722–724 (Krnica), Pavićini 752–764 (Krnica), Pavićini 76–77 (Krnica), Pavićini 8 (Krnica), Pavićini 806–821 (Krnica), Pavićini 82–85 (Krnica), Pavićini 850–902 (Krnica), Pavićini 938–961 (Krnica), Pavićini 98–112 (Krnica), Pazinska ulica 15, Pazinska ulica 17, Pazinska ulica 1–12, Pazinska ulica 31, Peruški (Krnica), Piazza Grande, Piazzetta Lacea, Pod Gruh 38–39, Poljana Sv. Martina, Prilaz Monte Cappelletta, Prolaz kod Kazališta, Prolaz kod Zdenca, Prolaz Sv. Nikole, Radićeva ulica, Rakovčeva ulica 11–13, Rakovčeva ulica 17, Rakovčeva ulica 19, Rakovčeva ulica 21, Rakovčeva ulica 23, Rakovčeva ulica 25, Rakovčeva ulica 27, Rakovčeva ulica 29, Rakovčeva ulica 3, Rakovčeva ulica 31, Rakovčeva ulica 33–35, Rakovčeva ulica 37, Rakovčeva ulica 39, Rakovčeva ulica 5, Rakovčeva ulica 50–56, Rasparaganov uspon, Ravenska ulica, Ribarska ulica, Riva, Rizzijeva ulica, Ročki prilaz, Rovinjska ulica, Santoriova ulica 14, Santoriova ulica 4, Santoriova ulica 6–9, Savudrijska ulica, Scalierova ulica, Serliov prilaz, Širolina ulica, Škaleta, Smareglina ulica, Spinčićeva ulica, Splitska ulica, Stiglicheva ulica 16, Stiglicheva ulica 18–20, Stiglicheva ulica 22, Stiglicheva ulica 24, Stiglicheva ulica 26, Stiglicheva ulica 30, Stiglicheva ulica 3–14, Stube Jurine i Franine, Supilova ulica, Švalbina ulica, Tartinijeva ulica, Tentorova ulica, Teslina ulica, Titova Riva, Tomasinijeva ulica, Trg Kralja Tomislava, Trg Portarata, Trg Prvog Svibnja, Trg Stara Tržnica, Trg Stare Škole 11–15, Trg Sv. Kuzme i Damjana, Trierska ulica, Trinajstićeva ulica 23, Trinajstićeva ulica 32, Trinajstićeva ulica 4–7, Tršćanska ulica 13, Tršćanska ulica 15, Tršćanska ulica 17, Tršćanska ulica 19, Tršćanska ulica 1–3, Tršćanska ulica 23, Tršćanska ulica 25–26, Tršćanska ulica 5–7, Tršćanska ulica 9, Ujevićeva ulica, Ulica 43. Istarske Divizije 3–16, Ulica Bartolomea Dei Vitrei, Ulica Benediktinske Opatije, Ulica Bokokotorskog Ustanka, Ulica Boraca, Ulica Cara Emina, Ulica Castropola 39, Ulica Castropola 41–42, Ulica Castropola 48–54, Ulica Ćirilometodske Družbe, Ulica Croazia, Ulica Don Valentina Cukarića, Ulica Dubrovačke Bratovštine, Ulica Fojbon 1, Ulica Grada Graza, Ulica Hermana Dalmatina, Ulica Horvata Kiša, Ulica Jurina i Franina, Ulica Jurja Žakna, Ulica Kačića Miošića, Ulica Kalpurnija Pizona, Ulica Kamenjak, Ulica Kaštanjer 0, Ulica Kaštanjer 115, Ulica Katalinića Jeretova, Ulica Ljudevita Posavskog 11–13, Ulica Ljudevita Posavskog 15–21, Ulica Ljudevita Posavskog 1–3, Ulica Ljudevita Posavskog 23, Ulica Ljudevita Posavskog 25, Ulica Ljudevita Posavskog 27, Ulica Ljudevita Posavskog 5, Ulica Ljudevita Posavskog 7, Ulica Ljudevita Posavskog 9, Ulica Mate Balote, Ulica Matetića Ronjgova 2, Ulica Matetića Ronjgova 4–5, Ulica Olge Ban, Ulica Porta Stovagnaga, Ulica Rimske Centurijacije 19, Ulica Rimske Centurijacije 1–15, Ulica Rimske Centurijacije 33, Ulica Rimske Centurijacije 51, Ulica Ruže Petrović 1, Ulica Sergijevaca, Ulica Sisplac 11, Ulica Sisplac 13, Ulica Sisplac 15, Ulica Sisplac 17, Ulica Sisplac 19, Ulica Sisplac 21, Ulica Sisplac 23, Ulica Sisplac 25, Ulica Sisplac 27, Ulica Sisplac 29, Ulica Sisplac 2–5, Ulica Sisplac 7–9, Ulica Starih Statuta, Ulica Sv. Ivana, Ulica Sv. Polikarpa, Ulica Velog Jože, Ulica Vergarola 6, Ulica Veruda 17, Ulica Veruda 19, Ulica Veruda 21–23, Ulica Veruda 25, Ulica Veruda 27, Ulica Veruda 29, Ulica Verudella 2, Ulica Viktor Car Emin, Ulica Vladimir Gortan, Ulica Zorzi Ventura, Ulica Žrtava Fašizma, Uskočka ulica 14–16, Uskočka ulica 20–26, Uspon Konzula Istranina, Uspon na Kaštel, Uspon Pavla Đakona, Uspon Sv. Franje Asiškog, Uspon Sv. Roka, Uspon Sv. Stjepana, Uspon Vinceta Iz Kastva, Valturska ulica 78–82, Varaždinska ulica 1–21, Varaždinska ulica 28, Vergerijeva ulica, Veronska ulica, Vicolo Della Bissa, Viška ulica, Vitezićeva ulica, Voltićeva ulica 12, Voltićeva ulica 14, Voltićeva ulica 16–19, Voltićeva ulica 1–10, Vrsarski prilaz, Vukovarska ulica 1–4, Vukovarska ulica 8, Zadarska ulica 1–27, Zadarska ulica 29, Zadarska ulica 32, Zadarska ulica 63, Zagrebačka ulica, Zoranićeva ulica, Župni trg.</t>
        </is>
      </c>
    </row>
    <row r="34">
      <c r="A34" s="19" t="inlineStr">
        <is>
          <t>• Adrese bez rasporeda u tražilici: Clerisseauova ulica, Duga Uvala 0–602 (Krnica), Prhati 10–14, Puntice, Rakalj 1–200 (Krnica), Raška ulica 13–27, Raška ulica 5, Šišan 1–317, Špadi 48–60, Ulica Orban 11, Ulica Orban 13, Ulica Orban 28, Ulica Orban 2–4, Ulica Orban 30–31, Ulica Orban 33, Ulica Orban 35–39, Ulica Orban 41–83, Ulica Orban 6, Vrh 2, Vrh 20, Vrh 27, Vrh 43, Vrh 52, Vrh 54–55, Vrh 61, Želiski 23–35.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4" topLeftCell="A5" activePane="bottomLeft" state="frozen"/>
      <selection pane="bottomLeft" activeCell="A1" sqref="A1"/>
    </sheetView>
  </sheetViews>
  <sheetFormatPr baseColWidth="8" defaultRowHeight="15"/>
  <cols>
    <col width="13" customWidth="1" min="1" max="1"/>
    <col width="12" customWidth="1" min="2" max="2"/>
    <col width="11" customWidth="1" min="3" max="3"/>
    <col width="16" customWidth="1" min="4" max="4"/>
    <col width="16" customWidth="1" min="5" max="5"/>
    <col width="13" customWidth="1" min="6" max="6"/>
    <col width="44" customWidth="1" min="7" max="7"/>
  </cols>
  <sheetData>
    <row r="1">
      <c r="A1" s="1" t="inlineStr">
        <is>
          <t>Raspored odvoza otpada 2026., Zona 28 (Marčana)</t>
        </is>
      </c>
    </row>
    <row r="2">
      <c r="A2" s="20" t="inlineStr">
        <is>
          <t>"x" = odvoz tog dana. Spremnike iznijeti do 07:00. Prošli datumi su posivljeni.</t>
        </is>
      </c>
    </row>
    <row r="4" ht="32" customHeight="1">
      <c r="A4" s="4" t="inlineStr">
        <is>
          <t>Datum</t>
        </is>
      </c>
      <c r="B4" s="4" t="inlineStr">
        <is>
          <t>Dan</t>
        </is>
      </c>
      <c r="C4" s="4" t="inlineStr">
        <is>
          <t>Mjesec</t>
        </is>
      </c>
      <c r="D4" s="12" t="inlineStr">
        <is>
          <t>Miješani komunalni otpad</t>
        </is>
      </c>
      <c r="E4" s="13" t="inlineStr">
        <is>
          <t>Plastika i metal</t>
        </is>
      </c>
      <c r="F4" s="14" t="inlineStr">
        <is>
          <t>Papir i karton</t>
        </is>
      </c>
      <c r="G4" s="4" t="inlineStr">
        <is>
          <t>Napomena</t>
        </is>
      </c>
    </row>
    <row r="5">
      <c r="A5" s="6" t="n">
        <v>46297</v>
      </c>
      <c r="B5" s="7" t="inlineStr">
        <is>
          <t>petak</t>
        </is>
      </c>
      <c r="C5" s="7" t="inlineStr">
        <is>
          <t>listopad</t>
        </is>
      </c>
      <c r="D5" s="7" t="inlineStr">
        <is>
          <t>x</t>
        </is>
      </c>
      <c r="E5" s="7" t="n"/>
      <c r="F5" s="7" t="n"/>
      <c r="G5" s="21" t="n"/>
    </row>
    <row r="6">
      <c r="A6" s="6" t="n">
        <v>46304</v>
      </c>
      <c r="B6" s="7" t="inlineStr">
        <is>
          <t>petak</t>
        </is>
      </c>
      <c r="C6" s="7" t="inlineStr">
        <is>
          <t>listopad</t>
        </is>
      </c>
      <c r="D6" s="7" t="inlineStr">
        <is>
          <t>x</t>
        </is>
      </c>
      <c r="E6" s="7" t="n"/>
      <c r="F6" s="7" t="n"/>
      <c r="G6" s="21" t="n"/>
    </row>
    <row r="7">
      <c r="A7" s="6" t="n">
        <v>46311</v>
      </c>
      <c r="B7" s="7" t="inlineStr">
        <is>
          <t>petak</t>
        </is>
      </c>
      <c r="C7" s="7" t="inlineStr">
        <is>
          <t>listopad</t>
        </is>
      </c>
      <c r="D7" s="7" t="inlineStr">
        <is>
          <t>x</t>
        </is>
      </c>
      <c r="E7" s="7" t="inlineStr">
        <is>
          <t>x</t>
        </is>
      </c>
      <c r="F7" s="7" t="inlineStr">
        <is>
          <t>x</t>
        </is>
      </c>
      <c r="G7" s="21" t="n"/>
    </row>
    <row r="8">
      <c r="A8" s="6" t="n">
        <v>46318</v>
      </c>
      <c r="B8" s="7" t="inlineStr">
        <is>
          <t>petak</t>
        </is>
      </c>
      <c r="C8" s="7" t="inlineStr">
        <is>
          <t>listopad</t>
        </is>
      </c>
      <c r="D8" s="7" t="inlineStr">
        <is>
          <t>x</t>
        </is>
      </c>
      <c r="E8" s="7" t="n"/>
      <c r="F8" s="7" t="n"/>
      <c r="G8" s="21" t="n"/>
    </row>
    <row r="9">
      <c r="A9" s="6" t="n">
        <v>46325</v>
      </c>
      <c r="B9" s="7" t="inlineStr">
        <is>
          <t>petak</t>
        </is>
      </c>
      <c r="C9" s="7" t="inlineStr">
        <is>
          <t>listopad</t>
        </is>
      </c>
      <c r="D9" s="7" t="inlineStr">
        <is>
          <t>x</t>
        </is>
      </c>
      <c r="E9" s="7" t="inlineStr">
        <is>
          <t>x</t>
        </is>
      </c>
      <c r="F9" s="7" t="inlineStr">
        <is>
          <t>x</t>
        </is>
      </c>
      <c r="G9" s="21" t="n"/>
    </row>
    <row r="10">
      <c r="A10" s="6" t="n">
        <v>46332</v>
      </c>
      <c r="B10" s="7" t="inlineStr">
        <is>
          <t>petak</t>
        </is>
      </c>
      <c r="C10" s="7" t="inlineStr">
        <is>
          <t>studeni</t>
        </is>
      </c>
      <c r="D10" s="7" t="inlineStr">
        <is>
          <t>x</t>
        </is>
      </c>
      <c r="E10" s="7" t="n"/>
      <c r="F10" s="7" t="n"/>
      <c r="G10" s="21" t="n"/>
    </row>
    <row r="11">
      <c r="A11" s="6" t="n">
        <v>46339</v>
      </c>
      <c r="B11" s="7" t="inlineStr">
        <is>
          <t>petak</t>
        </is>
      </c>
      <c r="C11" s="7" t="inlineStr">
        <is>
          <t>studeni</t>
        </is>
      </c>
      <c r="D11" s="7" t="inlineStr">
        <is>
          <t>x</t>
        </is>
      </c>
      <c r="E11" s="7" t="inlineStr">
        <is>
          <t>x</t>
        </is>
      </c>
      <c r="F11" s="7" t="inlineStr">
        <is>
          <t>x</t>
        </is>
      </c>
      <c r="G11" s="21" t="n"/>
    </row>
    <row r="12">
      <c r="A12" s="6" t="n">
        <v>46346</v>
      </c>
      <c r="B12" s="7" t="inlineStr">
        <is>
          <t>petak</t>
        </is>
      </c>
      <c r="C12" s="7" t="inlineStr">
        <is>
          <t>studeni</t>
        </is>
      </c>
      <c r="D12" s="7" t="inlineStr">
        <is>
          <t>x</t>
        </is>
      </c>
      <c r="E12" s="7" t="n"/>
      <c r="F12" s="7" t="n"/>
      <c r="G12" s="21" t="n"/>
    </row>
    <row r="13">
      <c r="A13" s="6" t="n">
        <v>46353</v>
      </c>
      <c r="B13" s="7" t="inlineStr">
        <is>
          <t>petak</t>
        </is>
      </c>
      <c r="C13" s="7" t="inlineStr">
        <is>
          <t>studeni</t>
        </is>
      </c>
      <c r="D13" s="7" t="inlineStr">
        <is>
          <t>x</t>
        </is>
      </c>
      <c r="E13" s="7" t="inlineStr">
        <is>
          <t>x</t>
        </is>
      </c>
      <c r="F13" s="7" t="inlineStr">
        <is>
          <t>x</t>
        </is>
      </c>
      <c r="G13" s="21" t="n"/>
    </row>
  </sheetData>
  <autoFilter ref="A4:G13"/>
  <conditionalFormatting sqref="D5:D13">
    <cfRule type="expression" priority="1" dxfId="0">
      <formula>D5="x"</formula>
    </cfRule>
  </conditionalFormatting>
  <conditionalFormatting sqref="E5:E13">
    <cfRule type="expression" priority="2" dxfId="1">
      <formula>E5="x"</formula>
    </cfRule>
  </conditionalFormatting>
  <conditionalFormatting sqref="F5:F13">
    <cfRule type="expression" priority="3" dxfId="2">
      <formula>F5="x"</formula>
    </cfRule>
  </conditionalFormatting>
  <conditionalFormatting sqref="A5:G13">
    <cfRule type="expression" priority="4" dxfId="3" stopIfTrue="0">
      <formula>$A5&lt;TODAY()</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8"/>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6" customWidth="1" min="3" max="3"/>
    <col width="40" customWidth="1" min="4" max="4"/>
  </cols>
  <sheetData>
    <row r="1">
      <c r="A1" s="4" t="inlineStr">
        <is>
          <t>Datum</t>
        </is>
      </c>
      <c r="B1" s="4" t="inlineStr">
        <is>
          <t>Dan</t>
        </is>
      </c>
      <c r="C1" s="4" t="inlineStr">
        <is>
          <t>Vrsta otpada</t>
        </is>
      </c>
      <c r="D1" s="4" t="inlineStr">
        <is>
          <t>Napomena</t>
        </is>
      </c>
    </row>
    <row r="2">
      <c r="A2" s="22" t="n">
        <v>46297</v>
      </c>
      <c r="B2" s="15" t="inlineStr">
        <is>
          <t>petak</t>
        </is>
      </c>
      <c r="C2" s="5" t="inlineStr">
        <is>
          <t>Miješani komunalni otpad</t>
        </is>
      </c>
      <c r="D2" s="15" t="n"/>
    </row>
    <row r="3">
      <c r="A3" s="22" t="n">
        <v>46304</v>
      </c>
      <c r="B3" s="15" t="inlineStr">
        <is>
          <t>petak</t>
        </is>
      </c>
      <c r="C3" s="5" t="inlineStr">
        <is>
          <t>Miješani komunalni otpad</t>
        </is>
      </c>
      <c r="D3" s="15" t="n"/>
    </row>
    <row r="4">
      <c r="A4" s="22" t="n">
        <v>46311</v>
      </c>
      <c r="B4" s="15" t="inlineStr">
        <is>
          <t>petak</t>
        </is>
      </c>
      <c r="C4" s="5" t="inlineStr">
        <is>
          <t>Miješani komunalni otpad</t>
        </is>
      </c>
      <c r="D4" s="15" t="n"/>
    </row>
    <row r="5">
      <c r="A5" s="22" t="n">
        <v>46311</v>
      </c>
      <c r="B5" s="15" t="inlineStr">
        <is>
          <t>petak</t>
        </is>
      </c>
      <c r="C5" s="9" t="inlineStr">
        <is>
          <t>Plastika i metal</t>
        </is>
      </c>
      <c r="D5" s="15" t="n"/>
    </row>
    <row r="6">
      <c r="A6" s="22" t="n">
        <v>46311</v>
      </c>
      <c r="B6" s="15" t="inlineStr">
        <is>
          <t>petak</t>
        </is>
      </c>
      <c r="C6" s="10" t="inlineStr">
        <is>
          <t>Papir i karton</t>
        </is>
      </c>
      <c r="D6" s="15" t="n"/>
    </row>
    <row r="7">
      <c r="A7" s="22" t="n">
        <v>46318</v>
      </c>
      <c r="B7" s="15" t="inlineStr">
        <is>
          <t>petak</t>
        </is>
      </c>
      <c r="C7" s="5" t="inlineStr">
        <is>
          <t>Miješani komunalni otpad</t>
        </is>
      </c>
      <c r="D7" s="15" t="n"/>
    </row>
    <row r="8">
      <c r="A8" s="22" t="n">
        <v>46325</v>
      </c>
      <c r="B8" s="15" t="inlineStr">
        <is>
          <t>petak</t>
        </is>
      </c>
      <c r="C8" s="5" t="inlineStr">
        <is>
          <t>Miješani komunalni otpad</t>
        </is>
      </c>
      <c r="D8" s="15" t="n"/>
    </row>
    <row r="9">
      <c r="A9" s="22" t="n">
        <v>46325</v>
      </c>
      <c r="B9" s="15" t="inlineStr">
        <is>
          <t>petak</t>
        </is>
      </c>
      <c r="C9" s="9" t="inlineStr">
        <is>
          <t>Plastika i metal</t>
        </is>
      </c>
      <c r="D9" s="15" t="n"/>
    </row>
    <row r="10">
      <c r="A10" s="22" t="n">
        <v>46325</v>
      </c>
      <c r="B10" s="15" t="inlineStr">
        <is>
          <t>petak</t>
        </is>
      </c>
      <c r="C10" s="10" t="inlineStr">
        <is>
          <t>Papir i karton</t>
        </is>
      </c>
      <c r="D10" s="15" t="n"/>
    </row>
    <row r="11">
      <c r="A11" s="22" t="n">
        <v>46332</v>
      </c>
      <c r="B11" s="15" t="inlineStr">
        <is>
          <t>petak</t>
        </is>
      </c>
      <c r="C11" s="5" t="inlineStr">
        <is>
          <t>Miješani komunalni otpad</t>
        </is>
      </c>
      <c r="D11" s="15" t="n"/>
    </row>
    <row r="12">
      <c r="A12" s="22" t="n">
        <v>46339</v>
      </c>
      <c r="B12" s="15" t="inlineStr">
        <is>
          <t>petak</t>
        </is>
      </c>
      <c r="C12" s="5" t="inlineStr">
        <is>
          <t>Miješani komunalni otpad</t>
        </is>
      </c>
      <c r="D12" s="15" t="n"/>
    </row>
    <row r="13">
      <c r="A13" s="22" t="n">
        <v>46339</v>
      </c>
      <c r="B13" s="15" t="inlineStr">
        <is>
          <t>petak</t>
        </is>
      </c>
      <c r="C13" s="9" t="inlineStr">
        <is>
          <t>Plastika i metal</t>
        </is>
      </c>
      <c r="D13" s="15" t="n"/>
    </row>
    <row r="14">
      <c r="A14" s="22" t="n">
        <v>46339</v>
      </c>
      <c r="B14" s="15" t="inlineStr">
        <is>
          <t>petak</t>
        </is>
      </c>
      <c r="C14" s="10" t="inlineStr">
        <is>
          <t>Papir i karton</t>
        </is>
      </c>
      <c r="D14" s="15" t="n"/>
    </row>
    <row r="15">
      <c r="A15" s="22" t="n">
        <v>46346</v>
      </c>
      <c r="B15" s="15" t="inlineStr">
        <is>
          <t>petak</t>
        </is>
      </c>
      <c r="C15" s="5" t="inlineStr">
        <is>
          <t>Miješani komunalni otpad</t>
        </is>
      </c>
      <c r="D15" s="15" t="n"/>
    </row>
    <row r="16">
      <c r="A16" s="22" t="n">
        <v>46353</v>
      </c>
      <c r="B16" s="15" t="inlineStr">
        <is>
          <t>petak</t>
        </is>
      </c>
      <c r="C16" s="5" t="inlineStr">
        <is>
          <t>Miješani komunalni otpad</t>
        </is>
      </c>
      <c r="D16" s="15" t="n"/>
    </row>
    <row r="17">
      <c r="A17" s="22" t="n">
        <v>46353</v>
      </c>
      <c r="B17" s="15" t="inlineStr">
        <is>
          <t>petak</t>
        </is>
      </c>
      <c r="C17" s="9" t="inlineStr">
        <is>
          <t>Plastika i metal</t>
        </is>
      </c>
      <c r="D17" s="15" t="n"/>
    </row>
    <row r="18">
      <c r="A18" s="22" t="n">
        <v>46353</v>
      </c>
      <c r="B18" s="15" t="inlineStr">
        <is>
          <t>petak</t>
        </is>
      </c>
      <c r="C18" s="10" t="inlineStr">
        <is>
          <t>Papir i karton</t>
        </is>
      </c>
      <c r="D18" s="15" t="n"/>
    </row>
  </sheetData>
  <autoFilter ref="A1:D1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8"/>
  <sheetViews>
    <sheetView workbookViewId="0">
      <pane ySplit="4" topLeftCell="A5" activePane="bottomLeft" state="frozen"/>
      <selection pane="bottomLeft" activeCell="A1" sqref="A1"/>
    </sheetView>
  </sheetViews>
  <sheetFormatPr baseColWidth="8" defaultRowHeight="15"/>
  <cols>
    <col width="44" customWidth="1" min="1" max="1"/>
  </cols>
  <sheetData>
    <row r="1">
      <c r="A1" s="1" t="inlineStr">
        <is>
          <t>Zona 28 (Marčana): ulice i naselja</t>
        </is>
      </c>
    </row>
    <row r="4">
      <c r="A4" s="4" t="inlineStr">
        <is>
          <t>Ulica / naselje</t>
        </is>
      </c>
    </row>
    <row r="5">
      <c r="A5" s="15" t="inlineStr">
        <is>
          <t>Loborika</t>
        </is>
      </c>
    </row>
    <row r="6">
      <c r="A6" s="15" t="inlineStr">
        <is>
          <t>Radeki-glavica</t>
        </is>
      </c>
    </row>
    <row r="7">
      <c r="A7" s="15" t="inlineStr">
        <is>
          <t>Radeki-polje</t>
        </is>
      </c>
    </row>
    <row r="8">
      <c r="A8" s="15" t="inlineStr">
        <is>
          <t>Stancija Peličeti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2026-10-08T06:37:46Z</dcterms:created>
  <dcterms:modified xmlns:dcterms="http://purl.org/dc/terms/" xmlns:xsi="http://www.w3.org/2001/XMLSchema-instance" xsi:type="dcterms:W3CDTF">2026-10-08T06:37:46Z</dcterms:modified>
</cp:coreProperties>
</file>
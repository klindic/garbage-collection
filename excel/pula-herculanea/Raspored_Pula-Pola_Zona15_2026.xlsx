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'Raspored'!$A$4:$G$16</definedName>
    <definedName name="_xlnm._FilterDatabase" localSheetId="2" hidden="1">'Po vrsti'!$A$1:$D$17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15,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IFERROR(1/(1/_xlfn.MINIFS(Raspored!$A$5:$A$16,Raspored!$D$5:$D$16,"x",Raspored!$A$5:$A$16,"&gt;="&amp;$B$3)),"nema više u 2026.")</f>
        <v/>
      </c>
      <c r="C6" s="7">
        <f>IF(ISNUMBER(B6),INDEX({"nedjelja","ponedjeljak","utorak","srijeda","četvrtak","petak","subota"},WEEKDAY(B6)),"")</f>
        <v/>
      </c>
      <c r="D6" s="8">
        <f>IF(ISNUMBER(B6),B6-$B$3,"")</f>
        <v/>
      </c>
      <c r="E6" s="7">
        <f>COUNTIF(Raspored!$D$5:$D$16,"x")</f>
        <v/>
      </c>
    </row>
    <row r="7">
      <c r="A7" s="9" t="inlineStr">
        <is>
          <t>Plastika i metal</t>
        </is>
      </c>
      <c r="B7" s="6">
        <f>IFERROR(1/(1/_xlfn.MINIFS(Raspored!$A$5:$A$16,Raspored!$E$5:$E$16,"x",Raspored!$A$5:$A$16,"&gt;="&amp;$B$3)),"nema više u 2026.")</f>
        <v/>
      </c>
      <c r="C7" s="7">
        <f>IF(ISNUMBER(B7),INDEX({"nedjelja","ponedjeljak","utorak","srijeda","četvrtak","petak","subota"},WEEKDAY(B7)),"")</f>
        <v/>
      </c>
      <c r="D7" s="8">
        <f>IF(ISNUMBER(B7),B7-$B$3,"")</f>
        <v/>
      </c>
      <c r="E7" s="7">
        <f>COUNTIF(Raspored!$E$5:$E$16,"x")</f>
        <v/>
      </c>
    </row>
    <row r="8">
      <c r="A8" s="10" t="inlineStr">
        <is>
          <t>Papir i karton</t>
        </is>
      </c>
      <c r="B8" s="6">
        <f>IFERROR(1/(1/_xlfn.MINIFS(Raspored!$A$5:$A$16,Raspored!$F$5:$F$16,"x",Raspored!$A$5:$A$16,"&gt;="&amp;$B$3)),"nema više u 2026.")</f>
        <v/>
      </c>
      <c r="C8" s="7">
        <f>IF(ISNUMBER(B8),INDEX({"nedjelja","ponedjeljak","utorak","srijeda","četvrtak","petak","subota"},WEEKDAY(B8)),"")</f>
        <v/>
      </c>
      <c r="D8" s="8">
        <f>IF(ISNUMBER(B8),B8-$B$3,"")</f>
        <v/>
      </c>
      <c r="E8" s="7">
        <f>COUNTIF(Raspored!$F$5:$F$16,"x")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COUNTIFS(Raspored!$C$5:$C$16,$A12,Raspored!$D$5:$D$16,"x")</f>
        <v/>
      </c>
      <c r="C12" s="7">
        <f>COUNTIFS(Raspored!$C$5:$C$16,$A12,Raspored!$E$5:$E$16,"x")</f>
        <v/>
      </c>
      <c r="D12" s="7">
        <f>COUNTIFS(Raspored!$C$5:$C$16,$A12,Raspored!$F$5:$F$16,"x")</f>
        <v/>
      </c>
    </row>
    <row r="13">
      <c r="A13" s="15" t="inlineStr">
        <is>
          <t>veljača</t>
        </is>
      </c>
      <c r="B13" s="7">
        <f>COUNTIFS(Raspored!$C$5:$C$16,$A13,Raspored!$D$5:$D$16,"x")</f>
        <v/>
      </c>
      <c r="C13" s="7">
        <f>COUNTIFS(Raspored!$C$5:$C$16,$A13,Raspored!$E$5:$E$16,"x")</f>
        <v/>
      </c>
      <c r="D13" s="7">
        <f>COUNTIFS(Raspored!$C$5:$C$16,$A13,Raspored!$F$5:$F$16,"x")</f>
        <v/>
      </c>
    </row>
    <row r="14">
      <c r="A14" s="15" t="inlineStr">
        <is>
          <t>ožujak</t>
        </is>
      </c>
      <c r="B14" s="7">
        <f>COUNTIFS(Raspored!$C$5:$C$16,$A14,Raspored!$D$5:$D$16,"x")</f>
        <v/>
      </c>
      <c r="C14" s="7">
        <f>COUNTIFS(Raspored!$C$5:$C$16,$A14,Raspored!$E$5:$E$16,"x")</f>
        <v/>
      </c>
      <c r="D14" s="7">
        <f>COUNTIFS(Raspored!$C$5:$C$16,$A14,Raspored!$F$5:$F$16,"x")</f>
        <v/>
      </c>
    </row>
    <row r="15">
      <c r="A15" s="15" t="inlineStr">
        <is>
          <t>travanj</t>
        </is>
      </c>
      <c r="B15" s="7">
        <f>COUNTIFS(Raspored!$C$5:$C$16,$A15,Raspored!$D$5:$D$16,"x")</f>
        <v/>
      </c>
      <c r="C15" s="7">
        <f>COUNTIFS(Raspored!$C$5:$C$16,$A15,Raspored!$E$5:$E$16,"x")</f>
        <v/>
      </c>
      <c r="D15" s="7">
        <f>COUNTIFS(Raspored!$C$5:$C$16,$A15,Raspored!$F$5:$F$16,"x")</f>
        <v/>
      </c>
    </row>
    <row r="16">
      <c r="A16" s="15" t="inlineStr">
        <is>
          <t>svibanj</t>
        </is>
      </c>
      <c r="B16" s="7">
        <f>COUNTIFS(Raspored!$C$5:$C$16,$A16,Raspored!$D$5:$D$16,"x")</f>
        <v/>
      </c>
      <c r="C16" s="7">
        <f>COUNTIFS(Raspored!$C$5:$C$16,$A16,Raspored!$E$5:$E$16,"x")</f>
        <v/>
      </c>
      <c r="D16" s="7">
        <f>COUNTIFS(Raspored!$C$5:$C$16,$A16,Raspored!$F$5:$F$16,"x")</f>
        <v/>
      </c>
    </row>
    <row r="17">
      <c r="A17" s="15" t="inlineStr">
        <is>
          <t>lipanj</t>
        </is>
      </c>
      <c r="B17" s="7">
        <f>COUNTIFS(Raspored!$C$5:$C$16,$A17,Raspored!$D$5:$D$16,"x")</f>
        <v/>
      </c>
      <c r="C17" s="7">
        <f>COUNTIFS(Raspored!$C$5:$C$16,$A17,Raspored!$E$5:$E$16,"x")</f>
        <v/>
      </c>
      <c r="D17" s="7">
        <f>COUNTIFS(Raspored!$C$5:$C$16,$A17,Raspored!$F$5:$F$16,"x")</f>
        <v/>
      </c>
    </row>
    <row r="18">
      <c r="A18" s="15" t="inlineStr">
        <is>
          <t>srpanj</t>
        </is>
      </c>
      <c r="B18" s="7">
        <f>COUNTIFS(Raspored!$C$5:$C$16,$A18,Raspored!$D$5:$D$16,"x")</f>
        <v/>
      </c>
      <c r="C18" s="7">
        <f>COUNTIFS(Raspored!$C$5:$C$16,$A18,Raspored!$E$5:$E$16,"x")</f>
        <v/>
      </c>
      <c r="D18" s="7">
        <f>COUNTIFS(Raspored!$C$5:$C$16,$A18,Raspored!$F$5:$F$16,"x")</f>
        <v/>
      </c>
    </row>
    <row r="19">
      <c r="A19" s="15" t="inlineStr">
        <is>
          <t>kolovoz</t>
        </is>
      </c>
      <c r="B19" s="7">
        <f>COUNTIFS(Raspored!$C$5:$C$16,$A19,Raspored!$D$5:$D$16,"x")</f>
        <v/>
      </c>
      <c r="C19" s="7">
        <f>COUNTIFS(Raspored!$C$5:$C$16,$A19,Raspored!$E$5:$E$16,"x")</f>
        <v/>
      </c>
      <c r="D19" s="7">
        <f>COUNTIFS(Raspored!$C$5:$C$16,$A19,Raspored!$F$5:$F$16,"x")</f>
        <v/>
      </c>
    </row>
    <row r="20">
      <c r="A20" s="15" t="inlineStr">
        <is>
          <t>rujan</t>
        </is>
      </c>
      <c r="B20" s="7">
        <f>COUNTIFS(Raspored!$C$5:$C$16,$A20,Raspored!$D$5:$D$16,"x")</f>
        <v/>
      </c>
      <c r="C20" s="7">
        <f>COUNTIFS(Raspored!$C$5:$C$16,$A20,Raspored!$E$5:$E$16,"x")</f>
        <v/>
      </c>
      <c r="D20" s="7">
        <f>COUNTIFS(Raspored!$C$5:$C$16,$A20,Raspored!$F$5:$F$16,"x")</f>
        <v/>
      </c>
    </row>
    <row r="21">
      <c r="A21" s="15" t="inlineStr">
        <is>
          <t>listopad</t>
        </is>
      </c>
      <c r="B21" s="7">
        <f>COUNTIFS(Raspored!$C$5:$C$16,$A21,Raspored!$D$5:$D$16,"x")</f>
        <v/>
      </c>
      <c r="C21" s="7">
        <f>COUNTIFS(Raspored!$C$5:$C$16,$A21,Raspored!$E$5:$E$16,"x")</f>
        <v/>
      </c>
      <c r="D21" s="7">
        <f>COUNTIFS(Raspored!$C$5:$C$16,$A21,Raspored!$F$5:$F$16,"x")</f>
        <v/>
      </c>
    </row>
    <row r="22">
      <c r="A22" s="15" t="inlineStr">
        <is>
          <t>studeni</t>
        </is>
      </c>
      <c r="B22" s="7">
        <f>COUNTIFS(Raspored!$C$5:$C$16,$A22,Raspored!$D$5:$D$16,"x")</f>
        <v/>
      </c>
      <c r="C22" s="7">
        <f>COUNTIFS(Raspored!$C$5:$C$16,$A22,Raspored!$E$5:$E$16,"x")</f>
        <v/>
      </c>
      <c r="D22" s="7">
        <f>COUNTIFS(Raspored!$C$5:$C$16,$A22,Raspored!$F$5:$F$16,"x")</f>
        <v/>
      </c>
    </row>
    <row r="23">
      <c r="A23" s="15" t="inlineStr">
        <is>
          <t>prosinac</t>
        </is>
      </c>
      <c r="B23" s="7">
        <f>COUNTIFS(Raspored!$C$5:$C$16,$A23,Raspored!$D$5:$D$16,"x")</f>
        <v/>
      </c>
      <c r="C23" s="7">
        <f>COUNTIFS(Raspored!$C$5:$C$16,$A23,Raspored!$E$5:$E$16,"x")</f>
        <v/>
      </c>
      <c r="D23" s="7">
        <f>COUNTIFS(Raspored!$C$5:$C$16,$A23,Raspored!$F$5:$F$16,"x")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15 (Pula – Pola)</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46301</v>
      </c>
      <c r="B5" s="7" t="inlineStr">
        <is>
          <t>utorak</t>
        </is>
      </c>
      <c r="C5" s="7" t="inlineStr">
        <is>
          <t>listopad</t>
        </is>
      </c>
      <c r="D5" s="7" t="inlineStr">
        <is>
          <t>x</t>
        </is>
      </c>
      <c r="E5" s="7" t="n"/>
      <c r="F5" s="7" t="n"/>
      <c r="G5" s="21" t="n"/>
    </row>
    <row r="6">
      <c r="A6" s="6" t="n">
        <v>46307</v>
      </c>
      <c r="B6" s="7" t="inlineStr">
        <is>
          <t>ponedjeljak</t>
        </is>
      </c>
      <c r="C6" s="7" t="inlineStr">
        <is>
          <t>listopad</t>
        </is>
      </c>
      <c r="D6" s="7" t="n"/>
      <c r="E6" s="7" t="inlineStr">
        <is>
          <t>x</t>
        </is>
      </c>
      <c r="F6" s="7" t="inlineStr">
        <is>
          <t>x</t>
        </is>
      </c>
      <c r="G6" s="21" t="n"/>
    </row>
    <row r="7">
      <c r="A7" s="6" t="n">
        <v>46308</v>
      </c>
      <c r="B7" s="7" t="inlineStr">
        <is>
          <t>utorak</t>
        </is>
      </c>
      <c r="C7" s="7" t="inlineStr">
        <is>
          <t>listopad</t>
        </is>
      </c>
      <c r="D7" s="7" t="inlineStr">
        <is>
          <t>x</t>
        </is>
      </c>
      <c r="E7" s="7" t="n"/>
      <c r="F7" s="7" t="n"/>
      <c r="G7" s="21" t="n"/>
    </row>
    <row r="8">
      <c r="A8" s="6" t="n">
        <v>46315</v>
      </c>
      <c r="B8" s="7" t="inlineStr">
        <is>
          <t>utorak</t>
        </is>
      </c>
      <c r="C8" s="7" t="inlineStr">
        <is>
          <t>listopad</t>
        </is>
      </c>
      <c r="D8" s="7" t="inlineStr">
        <is>
          <t>x</t>
        </is>
      </c>
      <c r="E8" s="7" t="n"/>
      <c r="F8" s="7" t="n"/>
      <c r="G8" s="21" t="n"/>
    </row>
    <row r="9">
      <c r="A9" s="6" t="n">
        <v>46321</v>
      </c>
      <c r="B9" s="7" t="inlineStr">
        <is>
          <t>ponedjeljak</t>
        </is>
      </c>
      <c r="C9" s="7" t="inlineStr">
        <is>
          <t>listopad</t>
        </is>
      </c>
      <c r="D9" s="7" t="n"/>
      <c r="E9" s="7" t="inlineStr">
        <is>
          <t>x</t>
        </is>
      </c>
      <c r="F9" s="7" t="inlineStr">
        <is>
          <t>x</t>
        </is>
      </c>
      <c r="G9" s="21" t="n"/>
    </row>
    <row r="10">
      <c r="A10" s="6" t="n">
        <v>46322</v>
      </c>
      <c r="B10" s="7" t="inlineStr">
        <is>
          <t>utorak</t>
        </is>
      </c>
      <c r="C10" s="7" t="inlineStr">
        <is>
          <t>listopad</t>
        </is>
      </c>
      <c r="D10" s="7" t="inlineStr">
        <is>
          <t>x</t>
        </is>
      </c>
      <c r="E10" s="7" t="n"/>
      <c r="F10" s="7" t="n"/>
      <c r="G10" s="21" t="n"/>
    </row>
    <row r="11">
      <c r="A11" s="6" t="n">
        <v>46329</v>
      </c>
      <c r="B11" s="7" t="inlineStr">
        <is>
          <t>utorak</t>
        </is>
      </c>
      <c r="C11" s="7" t="inlineStr">
        <is>
          <t>studeni</t>
        </is>
      </c>
      <c r="D11" s="7" t="inlineStr">
        <is>
          <t>x</t>
        </is>
      </c>
      <c r="E11" s="7" t="n"/>
      <c r="F11" s="7" t="n"/>
      <c r="G11" s="21" t="n"/>
    </row>
    <row r="12">
      <c r="A12" s="6" t="n">
        <v>46335</v>
      </c>
      <c r="B12" s="7" t="inlineStr">
        <is>
          <t>ponedjeljak</t>
        </is>
      </c>
      <c r="C12" s="7" t="inlineStr">
        <is>
          <t>studeni</t>
        </is>
      </c>
      <c r="D12" s="7" t="n"/>
      <c r="E12" s="7" t="inlineStr">
        <is>
          <t>x</t>
        </is>
      </c>
      <c r="F12" s="7" t="inlineStr">
        <is>
          <t>x</t>
        </is>
      </c>
      <c r="G12" s="21" t="n"/>
    </row>
    <row r="13">
      <c r="A13" s="6" t="n">
        <v>46336</v>
      </c>
      <c r="B13" s="7" t="inlineStr">
        <is>
          <t>utorak</t>
        </is>
      </c>
      <c r="C13" s="7" t="inlineStr">
        <is>
          <t>studeni</t>
        </is>
      </c>
      <c r="D13" s="7" t="inlineStr">
        <is>
          <t>x</t>
        </is>
      </c>
      <c r="E13" s="7" t="n"/>
      <c r="F13" s="7" t="n"/>
      <c r="G13" s="21" t="n"/>
    </row>
    <row r="14">
      <c r="A14" s="6" t="n">
        <v>46343</v>
      </c>
      <c r="B14" s="7" t="inlineStr">
        <is>
          <t>utorak</t>
        </is>
      </c>
      <c r="C14" s="7" t="inlineStr">
        <is>
          <t>studeni</t>
        </is>
      </c>
      <c r="D14" s="7" t="inlineStr">
        <is>
          <t>x</t>
        </is>
      </c>
      <c r="E14" s="7" t="n"/>
      <c r="F14" s="7" t="n"/>
      <c r="G14" s="21" t="n"/>
    </row>
    <row r="15">
      <c r="A15" s="6" t="n">
        <v>46349</v>
      </c>
      <c r="B15" s="7" t="inlineStr">
        <is>
          <t>ponedjeljak</t>
        </is>
      </c>
      <c r="C15" s="7" t="inlineStr">
        <is>
          <t>studeni</t>
        </is>
      </c>
      <c r="D15" s="7" t="n"/>
      <c r="E15" s="7" t="inlineStr">
        <is>
          <t>x</t>
        </is>
      </c>
      <c r="F15" s="7" t="inlineStr">
        <is>
          <t>x</t>
        </is>
      </c>
      <c r="G15" s="21" t="n"/>
    </row>
    <row r="16">
      <c r="A16" s="6" t="n">
        <v>46350</v>
      </c>
      <c r="B16" s="7" t="inlineStr">
        <is>
          <t>utorak</t>
        </is>
      </c>
      <c r="C16" s="7" t="inlineStr">
        <is>
          <t>studeni</t>
        </is>
      </c>
      <c r="D16" s="7" t="inlineStr">
        <is>
          <t>x</t>
        </is>
      </c>
      <c r="E16" s="7" t="n"/>
      <c r="F16" s="7" t="n"/>
      <c r="G16" s="21" t="n"/>
    </row>
  </sheetData>
  <autoFilter ref="A4:G16"/>
  <conditionalFormatting sqref="D5:D16">
    <cfRule type="expression" priority="1" dxfId="0">
      <formula>D5="x"</formula>
    </cfRule>
  </conditionalFormatting>
  <conditionalFormatting sqref="E5:E16">
    <cfRule type="expression" priority="2" dxfId="1">
      <formula>E5="x"</formula>
    </cfRule>
  </conditionalFormatting>
  <conditionalFormatting sqref="F5:F16">
    <cfRule type="expression" priority="3" dxfId="2">
      <formula>F5="x"</formula>
    </cfRule>
  </conditionalFormatting>
  <conditionalFormatting sqref="A5:G16">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46301</v>
      </c>
      <c r="B2" s="15" t="inlineStr">
        <is>
          <t>utorak</t>
        </is>
      </c>
      <c r="C2" s="5" t="inlineStr">
        <is>
          <t>Miješani komunalni otpad</t>
        </is>
      </c>
      <c r="D2" s="15" t="n"/>
    </row>
    <row r="3">
      <c r="A3" s="22" t="n">
        <v>46307</v>
      </c>
      <c r="B3" s="15" t="inlineStr">
        <is>
          <t>ponedjeljak</t>
        </is>
      </c>
      <c r="C3" s="9" t="inlineStr">
        <is>
          <t>Plastika i metal</t>
        </is>
      </c>
      <c r="D3" s="15" t="n"/>
    </row>
    <row r="4">
      <c r="A4" s="22" t="n">
        <v>46307</v>
      </c>
      <c r="B4" s="15" t="inlineStr">
        <is>
          <t>ponedjeljak</t>
        </is>
      </c>
      <c r="C4" s="10" t="inlineStr">
        <is>
          <t>Papir i karton</t>
        </is>
      </c>
      <c r="D4" s="15" t="n"/>
    </row>
    <row r="5">
      <c r="A5" s="22" t="n">
        <v>46308</v>
      </c>
      <c r="B5" s="15" t="inlineStr">
        <is>
          <t>utorak</t>
        </is>
      </c>
      <c r="C5" s="5" t="inlineStr">
        <is>
          <t>Miješani komunalni otpad</t>
        </is>
      </c>
      <c r="D5" s="15" t="n"/>
    </row>
    <row r="6">
      <c r="A6" s="22" t="n">
        <v>46315</v>
      </c>
      <c r="B6" s="15" t="inlineStr">
        <is>
          <t>utorak</t>
        </is>
      </c>
      <c r="C6" s="5" t="inlineStr">
        <is>
          <t>Miješani komunalni otpad</t>
        </is>
      </c>
      <c r="D6" s="15" t="n"/>
    </row>
    <row r="7">
      <c r="A7" s="22" t="n">
        <v>46321</v>
      </c>
      <c r="B7" s="15" t="inlineStr">
        <is>
          <t>ponedjeljak</t>
        </is>
      </c>
      <c r="C7" s="9" t="inlineStr">
        <is>
          <t>Plastika i metal</t>
        </is>
      </c>
      <c r="D7" s="15" t="n"/>
    </row>
    <row r="8">
      <c r="A8" s="22" t="n">
        <v>46321</v>
      </c>
      <c r="B8" s="15" t="inlineStr">
        <is>
          <t>ponedjeljak</t>
        </is>
      </c>
      <c r="C8" s="10" t="inlineStr">
        <is>
          <t>Papir i karton</t>
        </is>
      </c>
      <c r="D8" s="15" t="n"/>
    </row>
    <row r="9">
      <c r="A9" s="22" t="n">
        <v>46322</v>
      </c>
      <c r="B9" s="15" t="inlineStr">
        <is>
          <t>utorak</t>
        </is>
      </c>
      <c r="C9" s="5" t="inlineStr">
        <is>
          <t>Miješani komunalni otpad</t>
        </is>
      </c>
      <c r="D9" s="15" t="n"/>
    </row>
    <row r="10">
      <c r="A10" s="22" t="n">
        <v>46329</v>
      </c>
      <c r="B10" s="15" t="inlineStr">
        <is>
          <t>utorak</t>
        </is>
      </c>
      <c r="C10" s="5" t="inlineStr">
        <is>
          <t>Miješani komunalni otpad</t>
        </is>
      </c>
      <c r="D10" s="15" t="n"/>
    </row>
    <row r="11">
      <c r="A11" s="22" t="n">
        <v>46335</v>
      </c>
      <c r="B11" s="15" t="inlineStr">
        <is>
          <t>ponedjeljak</t>
        </is>
      </c>
      <c r="C11" s="9" t="inlineStr">
        <is>
          <t>Plastika i metal</t>
        </is>
      </c>
      <c r="D11" s="15" t="n"/>
    </row>
    <row r="12">
      <c r="A12" s="22" t="n">
        <v>46335</v>
      </c>
      <c r="B12" s="15" t="inlineStr">
        <is>
          <t>ponedjeljak</t>
        </is>
      </c>
      <c r="C12" s="10" t="inlineStr">
        <is>
          <t>Papir i karton</t>
        </is>
      </c>
      <c r="D12" s="15" t="n"/>
    </row>
    <row r="13">
      <c r="A13" s="22" t="n">
        <v>46336</v>
      </c>
      <c r="B13" s="15" t="inlineStr">
        <is>
          <t>utorak</t>
        </is>
      </c>
      <c r="C13" s="5" t="inlineStr">
        <is>
          <t>Miješani komunalni otpad</t>
        </is>
      </c>
      <c r="D13" s="15" t="n"/>
    </row>
    <row r="14">
      <c r="A14" s="22" t="n">
        <v>46343</v>
      </c>
      <c r="B14" s="15" t="inlineStr">
        <is>
          <t>utorak</t>
        </is>
      </c>
      <c r="C14" s="5" t="inlineStr">
        <is>
          <t>Miješani komunalni otpad</t>
        </is>
      </c>
      <c r="D14" s="15" t="n"/>
    </row>
    <row r="15">
      <c r="A15" s="22" t="n">
        <v>46349</v>
      </c>
      <c r="B15" s="15" t="inlineStr">
        <is>
          <t>ponedjeljak</t>
        </is>
      </c>
      <c r="C15" s="9" t="inlineStr">
        <is>
          <t>Plastika i metal</t>
        </is>
      </c>
      <c r="D15" s="15" t="n"/>
    </row>
    <row r="16">
      <c r="A16" s="22" t="n">
        <v>46349</v>
      </c>
      <c r="B16" s="15" t="inlineStr">
        <is>
          <t>ponedjeljak</t>
        </is>
      </c>
      <c r="C16" s="10" t="inlineStr">
        <is>
          <t>Papir i karton</t>
        </is>
      </c>
      <c r="D16" s="15" t="n"/>
    </row>
    <row r="17">
      <c r="A17" s="22" t="n">
        <v>46350</v>
      </c>
      <c r="B17" s="15" t="inlineStr">
        <is>
          <t>utorak</t>
        </is>
      </c>
      <c r="C17" s="5" t="inlineStr">
        <is>
          <t>Miješani komunalni otpad</t>
        </is>
      </c>
      <c r="D17" s="15" t="n"/>
    </row>
  </sheetData>
  <autoFilter ref="A1:D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96"/>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15 (Pula – Pola): ulice i naselja</t>
        </is>
      </c>
    </row>
    <row r="4">
      <c r="A4" s="4" t="inlineStr">
        <is>
          <t>Ulica / naselje</t>
        </is>
      </c>
    </row>
    <row r="5">
      <c r="A5" s="15" t="inlineStr">
        <is>
          <t>Barbalićeva ulica</t>
        </is>
      </c>
    </row>
    <row r="6">
      <c r="A6" s="15" t="inlineStr">
        <is>
          <t>Bastianova ulica</t>
        </is>
      </c>
    </row>
    <row r="7">
      <c r="A7" s="15" t="inlineStr">
        <is>
          <t>Bujska ulica</t>
        </is>
      </c>
    </row>
    <row r="8">
      <c r="A8" s="15" t="inlineStr">
        <is>
          <t>Cerneccina ulica</t>
        </is>
      </c>
    </row>
    <row r="9">
      <c r="A9" s="15" t="inlineStr">
        <is>
          <t>Coattova ulica</t>
        </is>
      </c>
    </row>
    <row r="10">
      <c r="A10" s="15" t="inlineStr">
        <is>
          <t>Faverijska ulica 18</t>
        </is>
      </c>
    </row>
    <row r="11">
      <c r="A11" s="15" t="inlineStr">
        <is>
          <t>Faverijska ulica 20</t>
        </is>
      </c>
    </row>
    <row r="12">
      <c r="A12" s="15" t="inlineStr">
        <is>
          <t>Faverijska ulica 22–37</t>
        </is>
      </c>
    </row>
    <row r="13">
      <c r="A13" s="15" t="inlineStr">
        <is>
          <t>Flegova ulica</t>
        </is>
      </c>
    </row>
    <row r="14">
      <c r="A14" s="15" t="inlineStr">
        <is>
          <t>Grožnjanska ulica</t>
        </is>
      </c>
    </row>
    <row r="15">
      <c r="A15" s="15" t="inlineStr">
        <is>
          <t>Humska ulica</t>
        </is>
      </c>
    </row>
    <row r="16">
      <c r="A16" s="15" t="inlineStr">
        <is>
          <t>Japodska ulica</t>
        </is>
      </c>
    </row>
    <row r="17">
      <c r="A17" s="15" t="inlineStr">
        <is>
          <t>Karlovačka ulica 11–33</t>
        </is>
      </c>
    </row>
    <row r="18">
      <c r="A18" s="15" t="inlineStr">
        <is>
          <t>Karlovačka ulica 3</t>
        </is>
      </c>
    </row>
    <row r="19">
      <c r="A19" s="15" t="inlineStr">
        <is>
          <t>Karlovačka ulica 6</t>
        </is>
      </c>
    </row>
    <row r="20">
      <c r="A20" s="15" t="inlineStr">
        <is>
          <t>Karlovačka ulica 8</t>
        </is>
      </c>
    </row>
    <row r="21">
      <c r="A21" s="15" t="inlineStr">
        <is>
          <t>Kirčeva ulica</t>
        </is>
      </c>
    </row>
    <row r="22">
      <c r="A22" s="15" t="inlineStr">
        <is>
          <t>Kosova ulica</t>
        </is>
      </c>
    </row>
    <row r="23">
      <c r="A23" s="15" t="inlineStr">
        <is>
          <t>Kumičićeva ulica 13–27</t>
        </is>
      </c>
    </row>
    <row r="24">
      <c r="A24" s="15" t="inlineStr">
        <is>
          <t>Kumičićeva ulica 9</t>
        </is>
      </c>
    </row>
    <row r="25">
      <c r="A25" s="15" t="inlineStr">
        <is>
          <t>Kvarnerska ulica</t>
        </is>
      </c>
    </row>
    <row r="26">
      <c r="A26" s="15" t="inlineStr">
        <is>
          <t>Limska ulica</t>
        </is>
      </c>
    </row>
    <row r="27">
      <c r="A27" s="15" t="inlineStr">
        <is>
          <t>Ližnjanska ulica</t>
        </is>
      </c>
    </row>
    <row r="28">
      <c r="A28" s="15" t="inlineStr">
        <is>
          <t>Mohorovičićeva ulica</t>
        </is>
      </c>
    </row>
    <row r="29">
      <c r="A29" s="15" t="inlineStr">
        <is>
          <t>Monvidalska ulica</t>
        </is>
      </c>
    </row>
    <row r="30">
      <c r="A30" s="15" t="inlineStr">
        <is>
          <t>Mutilska ulica</t>
        </is>
      </c>
    </row>
    <row r="31">
      <c r="A31" s="15" t="inlineStr">
        <is>
          <t>Nobileova ulica</t>
        </is>
      </c>
    </row>
    <row r="32">
      <c r="A32" s="15" t="inlineStr">
        <is>
          <t>Novigradska ulica</t>
        </is>
      </c>
    </row>
    <row r="33">
      <c r="A33" s="15" t="inlineStr">
        <is>
          <t>Pazinska ulica 14</t>
        </is>
      </c>
    </row>
    <row r="34">
      <c r="A34" s="15" t="inlineStr">
        <is>
          <t>Pazinska ulica 16</t>
        </is>
      </c>
    </row>
    <row r="35">
      <c r="A35" s="15" t="inlineStr">
        <is>
          <t>Pazinska ulica 19–29</t>
        </is>
      </c>
    </row>
    <row r="36">
      <c r="A36" s="15" t="inlineStr">
        <is>
          <t>Pazinska ulica 33–35</t>
        </is>
      </c>
    </row>
    <row r="37">
      <c r="A37" s="15" t="inlineStr">
        <is>
          <t>Preradovićeva ulica</t>
        </is>
      </c>
    </row>
    <row r="38">
      <c r="A38" s="15" t="inlineStr">
        <is>
          <t>Prilaz Kralja Salamona</t>
        </is>
      </c>
    </row>
    <row r="39">
      <c r="A39" s="15" t="inlineStr">
        <is>
          <t>Prilaz Plovana Mikule</t>
        </is>
      </c>
    </row>
    <row r="40">
      <c r="A40" s="15" t="inlineStr">
        <is>
          <t>Prilaz Sv. Germana</t>
        </is>
      </c>
    </row>
    <row r="41">
      <c r="A41" s="15" t="inlineStr">
        <is>
          <t>Rakovčeva ulica 14–16</t>
        </is>
      </c>
    </row>
    <row r="42">
      <c r="A42" s="15" t="inlineStr">
        <is>
          <t>Rakovčeva ulica 18</t>
        </is>
      </c>
    </row>
    <row r="43">
      <c r="A43" s="15" t="inlineStr">
        <is>
          <t>Rakovčeva ulica 20</t>
        </is>
      </c>
    </row>
    <row r="44">
      <c r="A44" s="15" t="inlineStr">
        <is>
          <t>Rakovčeva ulica 22</t>
        </is>
      </c>
    </row>
    <row r="45">
      <c r="A45" s="15" t="inlineStr">
        <is>
          <t>Rakovčeva ulica 24</t>
        </is>
      </c>
    </row>
    <row r="46">
      <c r="A46" s="15" t="inlineStr">
        <is>
          <t>Rakovčeva ulica 26</t>
        </is>
      </c>
    </row>
    <row r="47">
      <c r="A47" s="15" t="inlineStr">
        <is>
          <t>Rakovčeva ulica 28</t>
        </is>
      </c>
    </row>
    <row r="48">
      <c r="A48" s="15" t="inlineStr">
        <is>
          <t>Rakovčeva ulica 30</t>
        </is>
      </c>
    </row>
    <row r="49">
      <c r="A49" s="15" t="inlineStr">
        <is>
          <t>Rakovčeva ulica 32</t>
        </is>
      </c>
    </row>
    <row r="50">
      <c r="A50" s="15" t="inlineStr">
        <is>
          <t>Rakovčeva ulica 36</t>
        </is>
      </c>
    </row>
    <row r="51">
      <c r="A51" s="15" t="inlineStr">
        <is>
          <t>Rakovčeva ulica 38</t>
        </is>
      </c>
    </row>
    <row r="52">
      <c r="A52" s="15" t="inlineStr">
        <is>
          <t>Rakovčeva ulica 4</t>
        </is>
      </c>
    </row>
    <row r="53">
      <c r="A53" s="15" t="inlineStr">
        <is>
          <t>Rakovčeva ulica 40–48</t>
        </is>
      </c>
    </row>
    <row r="54">
      <c r="A54" s="15" t="inlineStr">
        <is>
          <t>Rakovčeva ulica 58–60</t>
        </is>
      </c>
    </row>
    <row r="55">
      <c r="A55" s="15" t="inlineStr">
        <is>
          <t>Rakovčeva ulica 6–10</t>
        </is>
      </c>
    </row>
    <row r="56">
      <c r="A56" s="15" t="inlineStr">
        <is>
          <t>Raška ulica 2–3</t>
        </is>
      </c>
    </row>
    <row r="57">
      <c r="A57" s="15" t="inlineStr">
        <is>
          <t>Raška ulica 6–12</t>
        </is>
      </c>
    </row>
    <row r="58">
      <c r="A58" s="15" t="inlineStr">
        <is>
          <t>Santoriova ulica 10–12</t>
        </is>
      </c>
    </row>
    <row r="59">
      <c r="A59" s="15" t="inlineStr">
        <is>
          <t>Santoriova ulica 2</t>
        </is>
      </c>
    </row>
    <row r="60">
      <c r="A60" s="15" t="inlineStr">
        <is>
          <t>Santoriova ulica 26</t>
        </is>
      </c>
    </row>
    <row r="61">
      <c r="A61" s="15" t="inlineStr">
        <is>
          <t>Santoriova ulica 5</t>
        </is>
      </c>
    </row>
    <row r="62">
      <c r="A62" s="15" t="inlineStr">
        <is>
          <t>Savičentska ulica</t>
        </is>
      </c>
    </row>
    <row r="63">
      <c r="A63" s="15" t="inlineStr">
        <is>
          <t>Sisačka ulica</t>
        </is>
      </c>
    </row>
    <row r="64">
      <c r="A64" s="15" t="inlineStr">
        <is>
          <t>Stankovićeva ulica</t>
        </is>
      </c>
    </row>
    <row r="65">
      <c r="A65" s="15" t="inlineStr">
        <is>
          <t>Stiglicheva ulica 15</t>
        </is>
      </c>
    </row>
    <row r="66">
      <c r="A66" s="15" t="inlineStr">
        <is>
          <t>Stiglicheva ulica 17</t>
        </is>
      </c>
    </row>
    <row r="67">
      <c r="A67" s="15" t="inlineStr">
        <is>
          <t>Stiglicheva ulica 21</t>
        </is>
      </c>
    </row>
    <row r="68">
      <c r="A68" s="15" t="inlineStr">
        <is>
          <t>Stiglicheva ulica 23</t>
        </is>
      </c>
    </row>
    <row r="69">
      <c r="A69" s="15" t="inlineStr">
        <is>
          <t>Stiglicheva ulica 25</t>
        </is>
      </c>
    </row>
    <row r="70">
      <c r="A70" s="15" t="inlineStr">
        <is>
          <t>Stiglicheva ulica 27</t>
        </is>
      </c>
    </row>
    <row r="71">
      <c r="A71" s="15" t="inlineStr">
        <is>
          <t>Stiglicheva ulica 31–50</t>
        </is>
      </c>
    </row>
    <row r="72">
      <c r="A72" s="15" t="inlineStr">
        <is>
          <t>Studenčeva ulica</t>
        </is>
      </c>
    </row>
    <row r="73">
      <c r="A73" s="15" t="inlineStr">
        <is>
          <t>Ulica Bože Gumpca</t>
        </is>
      </c>
    </row>
    <row r="74">
      <c r="A74" s="15" t="inlineStr">
        <is>
          <t>Ulica Dragonja</t>
        </is>
      </c>
    </row>
    <row r="75">
      <c r="A75" s="15" t="inlineStr">
        <is>
          <t>Ulica Kaštanjer 1–113</t>
        </is>
      </c>
    </row>
    <row r="76">
      <c r="A76" s="15" t="inlineStr">
        <is>
          <t>Ulica Matetića Ronjgova 3</t>
        </is>
      </c>
    </row>
    <row r="77">
      <c r="A77" s="15" t="inlineStr">
        <is>
          <t>Ulica Matetića Ronjgova 7</t>
        </is>
      </c>
    </row>
    <row r="78">
      <c r="A78" s="15" t="inlineStr">
        <is>
          <t>Ulica Mirna</t>
        </is>
      </c>
    </row>
    <row r="79">
      <c r="A79" s="15" t="inlineStr">
        <is>
          <t>Ulica Rimske Centurijacije 16–18</t>
        </is>
      </c>
    </row>
    <row r="80">
      <c r="A80" s="15" t="inlineStr">
        <is>
          <t>Ulica Rimske Centurijacije 20–32</t>
        </is>
      </c>
    </row>
    <row r="81">
      <c r="A81" s="15" t="inlineStr">
        <is>
          <t>Ulica Rimske Centurijacije 34–50</t>
        </is>
      </c>
    </row>
    <row r="82">
      <c r="A82" s="15" t="inlineStr">
        <is>
          <t>Ulica Rimske Centurijacije 52–95</t>
        </is>
      </c>
    </row>
    <row r="83">
      <c r="A83" s="15" t="inlineStr">
        <is>
          <t>Ulica Rižanske Skupštine</t>
        </is>
      </c>
    </row>
    <row r="84">
      <c r="A84" s="15" t="inlineStr">
        <is>
          <t>Ulica Sv. Mihovila</t>
        </is>
      </c>
    </row>
    <row r="85">
      <c r="A85" s="15" t="inlineStr">
        <is>
          <t>Valturska ulica 1–70</t>
        </is>
      </c>
    </row>
    <row r="86">
      <c r="A86" s="15" t="inlineStr">
        <is>
          <t>Valvazorova ulica</t>
        </is>
      </c>
    </row>
    <row r="87">
      <c r="A87" s="15" t="inlineStr">
        <is>
          <t>Valvidalska ulica</t>
        </is>
      </c>
    </row>
    <row r="88">
      <c r="A88" s="15" t="inlineStr">
        <is>
          <t>Varaždinska ulica 24–27</t>
        </is>
      </c>
    </row>
    <row r="89">
      <c r="A89" s="15" t="inlineStr">
        <is>
          <t>Varaždinska ulica 29–39</t>
        </is>
      </c>
    </row>
    <row r="90">
      <c r="A90" s="15" t="inlineStr">
        <is>
          <t>Vrtlarska ulica</t>
        </is>
      </c>
    </row>
    <row r="91">
      <c r="A91" s="15" t="inlineStr">
        <is>
          <t>Vukovarska ulica 6–7</t>
        </is>
      </c>
    </row>
    <row r="92">
      <c r="A92" s="15" t="inlineStr">
        <is>
          <t>Vukovarska ulica 9–53</t>
        </is>
      </c>
    </row>
    <row r="93">
      <c r="A93" s="15" t="inlineStr">
        <is>
          <t>Zadarska ulica 28</t>
        </is>
      </c>
    </row>
    <row r="94">
      <c r="A94" s="15" t="inlineStr">
        <is>
          <t>Zadarska ulica 30</t>
        </is>
      </c>
    </row>
    <row r="95">
      <c r="A95" s="15" t="inlineStr">
        <is>
          <t>Zadarska ulica 34–61</t>
        </is>
      </c>
    </row>
    <row r="96">
      <c r="A96" s="15" t="inlineStr">
        <is>
          <t>Zlatićev trg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
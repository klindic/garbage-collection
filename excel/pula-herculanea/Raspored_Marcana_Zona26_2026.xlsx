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'Raspored'!$A$4:$G$14</definedName>
    <definedName name="_xlnm._FilterDatabase" localSheetId="2" hidden="1">'Po vrsti'!$A$1:$D$20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IFERROR(1/(1/_xlfn.MINIFS(Raspored!$A$5:$A$14,Raspored!$D$5:$D$14,"x",Raspored!$A$5:$A$14,"&gt;="&amp;$B$3)),"nema više u 2026.")</f>
        <v/>
      </c>
      <c r="C6" s="7">
        <f>IF(ISNUMBER(B6),INDEX({"nedjelja","ponedjeljak","utorak","srijeda","četvrtak","petak","subota"},WEEKDAY(B6)),"")</f>
        <v/>
      </c>
      <c r="D6" s="8">
        <f>IF(ISNUMBER(B6),B6-$B$3,"")</f>
        <v/>
      </c>
      <c r="E6" s="7">
        <f>COUNTIF(Raspored!$D$5:$D$14,"x")</f>
        <v/>
      </c>
    </row>
    <row r="7">
      <c r="A7" s="9" t="inlineStr">
        <is>
          <t>Plastika i metal</t>
        </is>
      </c>
      <c r="B7" s="6">
        <f>IFERROR(1/(1/_xlfn.MINIFS(Raspored!$A$5:$A$14,Raspored!$E$5:$E$14,"x",Raspored!$A$5:$A$14,"&gt;="&amp;$B$3)),"nema više u 2026.")</f>
        <v/>
      </c>
      <c r="C7" s="7">
        <f>IF(ISNUMBER(B7),INDEX({"nedjelja","ponedjeljak","utorak","srijeda","četvrtak","petak","subota"},WEEKDAY(B7)),"")</f>
        <v/>
      </c>
      <c r="D7" s="8">
        <f>IF(ISNUMBER(B7),B7-$B$3,"")</f>
        <v/>
      </c>
      <c r="E7" s="7">
        <f>COUNTIF(Raspored!$E$5:$E$14,"x")</f>
        <v/>
      </c>
    </row>
    <row r="8">
      <c r="A8" s="10" t="inlineStr">
        <is>
          <t>Papir i karton</t>
        </is>
      </c>
      <c r="B8" s="6">
        <f>IFERROR(1/(1/_xlfn.MINIFS(Raspored!$A$5:$A$14,Raspored!$F$5:$F$14,"x",Raspored!$A$5:$A$14,"&gt;="&amp;$B$3)),"nema više u 2026.")</f>
        <v/>
      </c>
      <c r="C8" s="7">
        <f>IF(ISNUMBER(B8),INDEX({"nedjelja","ponedjeljak","utorak","srijeda","četvrtak","petak","subota"},WEEKDAY(B8)),"")</f>
        <v/>
      </c>
      <c r="D8" s="8">
        <f>IF(ISNUMBER(B8),B8-$B$3,"")</f>
        <v/>
      </c>
      <c r="E8" s="7">
        <f>COUNTIF(Raspored!$F$5:$F$14,"x")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COUNTIFS(Raspored!$C$5:$C$14,$A12,Raspored!$D$5:$D$14,"x")</f>
        <v/>
      </c>
      <c r="C12" s="7">
        <f>COUNTIFS(Raspored!$C$5:$C$14,$A12,Raspored!$E$5:$E$14,"x")</f>
        <v/>
      </c>
      <c r="D12" s="7">
        <f>COUNTIFS(Raspored!$C$5:$C$14,$A12,Raspored!$F$5:$F$14,"x")</f>
        <v/>
      </c>
    </row>
    <row r="13">
      <c r="A13" s="15" t="inlineStr">
        <is>
          <t>veljača</t>
        </is>
      </c>
      <c r="B13" s="7">
        <f>COUNTIFS(Raspored!$C$5:$C$14,$A13,Raspored!$D$5:$D$14,"x")</f>
        <v/>
      </c>
      <c r="C13" s="7">
        <f>COUNTIFS(Raspored!$C$5:$C$14,$A13,Raspored!$E$5:$E$14,"x")</f>
        <v/>
      </c>
      <c r="D13" s="7">
        <f>COUNTIFS(Raspored!$C$5:$C$14,$A13,Raspored!$F$5:$F$14,"x")</f>
        <v/>
      </c>
    </row>
    <row r="14">
      <c r="A14" s="15" t="inlineStr">
        <is>
          <t>ožujak</t>
        </is>
      </c>
      <c r="B14" s="7">
        <f>COUNTIFS(Raspored!$C$5:$C$14,$A14,Raspored!$D$5:$D$14,"x")</f>
        <v/>
      </c>
      <c r="C14" s="7">
        <f>COUNTIFS(Raspored!$C$5:$C$14,$A14,Raspored!$E$5:$E$14,"x")</f>
        <v/>
      </c>
      <c r="D14" s="7">
        <f>COUNTIFS(Raspored!$C$5:$C$14,$A14,Raspored!$F$5:$F$14,"x")</f>
        <v/>
      </c>
    </row>
    <row r="15">
      <c r="A15" s="15" t="inlineStr">
        <is>
          <t>travanj</t>
        </is>
      </c>
      <c r="B15" s="7">
        <f>COUNTIFS(Raspored!$C$5:$C$14,$A15,Raspored!$D$5:$D$14,"x")</f>
        <v/>
      </c>
      <c r="C15" s="7">
        <f>COUNTIFS(Raspored!$C$5:$C$14,$A15,Raspored!$E$5:$E$14,"x")</f>
        <v/>
      </c>
      <c r="D15" s="7">
        <f>COUNTIFS(Raspored!$C$5:$C$14,$A15,Raspored!$F$5:$F$14,"x")</f>
        <v/>
      </c>
    </row>
    <row r="16">
      <c r="A16" s="15" t="inlineStr">
        <is>
          <t>svibanj</t>
        </is>
      </c>
      <c r="B16" s="7">
        <f>COUNTIFS(Raspored!$C$5:$C$14,$A16,Raspored!$D$5:$D$14,"x")</f>
        <v/>
      </c>
      <c r="C16" s="7">
        <f>COUNTIFS(Raspored!$C$5:$C$14,$A16,Raspored!$E$5:$E$14,"x")</f>
        <v/>
      </c>
      <c r="D16" s="7">
        <f>COUNTIFS(Raspored!$C$5:$C$14,$A16,Raspored!$F$5:$F$14,"x")</f>
        <v/>
      </c>
    </row>
    <row r="17">
      <c r="A17" s="15" t="inlineStr">
        <is>
          <t>lipanj</t>
        </is>
      </c>
      <c r="B17" s="7">
        <f>COUNTIFS(Raspored!$C$5:$C$14,$A17,Raspored!$D$5:$D$14,"x")</f>
        <v/>
      </c>
      <c r="C17" s="7">
        <f>COUNTIFS(Raspored!$C$5:$C$14,$A17,Raspored!$E$5:$E$14,"x")</f>
        <v/>
      </c>
      <c r="D17" s="7">
        <f>COUNTIFS(Raspored!$C$5:$C$14,$A17,Raspored!$F$5:$F$14,"x")</f>
        <v/>
      </c>
    </row>
    <row r="18">
      <c r="A18" s="15" t="inlineStr">
        <is>
          <t>srpanj</t>
        </is>
      </c>
      <c r="B18" s="7">
        <f>COUNTIFS(Raspored!$C$5:$C$14,$A18,Raspored!$D$5:$D$14,"x")</f>
        <v/>
      </c>
      <c r="C18" s="7">
        <f>COUNTIFS(Raspored!$C$5:$C$14,$A18,Raspored!$E$5:$E$14,"x")</f>
        <v/>
      </c>
      <c r="D18" s="7">
        <f>COUNTIFS(Raspored!$C$5:$C$14,$A18,Raspored!$F$5:$F$14,"x")</f>
        <v/>
      </c>
    </row>
    <row r="19">
      <c r="A19" s="15" t="inlineStr">
        <is>
          <t>kolovoz</t>
        </is>
      </c>
      <c r="B19" s="7">
        <f>COUNTIFS(Raspored!$C$5:$C$14,$A19,Raspored!$D$5:$D$14,"x")</f>
        <v/>
      </c>
      <c r="C19" s="7">
        <f>COUNTIFS(Raspored!$C$5:$C$14,$A19,Raspored!$E$5:$E$14,"x")</f>
        <v/>
      </c>
      <c r="D19" s="7">
        <f>COUNTIFS(Raspored!$C$5:$C$14,$A19,Raspored!$F$5:$F$14,"x")</f>
        <v/>
      </c>
    </row>
    <row r="20">
      <c r="A20" s="15" t="inlineStr">
        <is>
          <t>rujan</t>
        </is>
      </c>
      <c r="B20" s="7">
        <f>COUNTIFS(Raspored!$C$5:$C$14,$A20,Raspored!$D$5:$D$14,"x")</f>
        <v/>
      </c>
      <c r="C20" s="7">
        <f>COUNTIFS(Raspored!$C$5:$C$14,$A20,Raspored!$E$5:$E$14,"x")</f>
        <v/>
      </c>
      <c r="D20" s="7">
        <f>COUNTIFS(Raspored!$C$5:$C$14,$A20,Raspored!$F$5:$F$14,"x")</f>
        <v/>
      </c>
    </row>
    <row r="21">
      <c r="A21" s="15" t="inlineStr">
        <is>
          <t>listopad</t>
        </is>
      </c>
      <c r="B21" s="7">
        <f>COUNTIFS(Raspored!$C$5:$C$14,$A21,Raspored!$D$5:$D$14,"x")</f>
        <v/>
      </c>
      <c r="C21" s="7">
        <f>COUNTIFS(Raspored!$C$5:$C$14,$A21,Raspored!$E$5:$E$14,"x")</f>
        <v/>
      </c>
      <c r="D21" s="7">
        <f>COUNTIFS(Raspored!$C$5:$C$14,$A21,Raspored!$F$5:$F$14,"x")</f>
        <v/>
      </c>
    </row>
    <row r="22">
      <c r="A22" s="15" t="inlineStr">
        <is>
          <t>studeni</t>
        </is>
      </c>
      <c r="B22" s="7">
        <f>COUNTIFS(Raspored!$C$5:$C$14,$A22,Raspored!$D$5:$D$14,"x")</f>
        <v/>
      </c>
      <c r="C22" s="7">
        <f>COUNTIFS(Raspored!$C$5:$C$14,$A22,Raspored!$E$5:$E$14,"x")</f>
        <v/>
      </c>
      <c r="D22" s="7">
        <f>COUNTIFS(Raspored!$C$5:$C$14,$A22,Raspored!$F$5:$F$14,"x")</f>
        <v/>
      </c>
    </row>
    <row r="23">
      <c r="A23" s="15" t="inlineStr">
        <is>
          <t>prosinac</t>
        </is>
      </c>
      <c r="B23" s="7">
        <f>COUNTIFS(Raspored!$C$5:$C$14,$A23,Raspored!$D$5:$D$14,"x")</f>
        <v/>
      </c>
      <c r="C23" s="7">
        <f>COUNTIFS(Raspored!$C$5:$C$14,$A23,Raspored!$E$5:$E$14,"x")</f>
        <v/>
      </c>
      <c r="D23" s="7">
        <f>COUNTIFS(Raspored!$C$5:$C$14,$A23,Raspored!$F$5:$F$14,"x")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26 (Marčana)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inlineStr">
        <is>
          <t>x</t>
        </is>
      </c>
      <c r="E5" s="7" t="n"/>
      <c r="F5" s="7" t="n"/>
      <c r="G5" s="21" t="n"/>
    </row>
    <row r="6">
      <c r="A6" s="6" t="n">
        <v>46298</v>
      </c>
      <c r="B6" s="7" t="inlineStr">
        <is>
          <t>subota</t>
        </is>
      </c>
      <c r="C6" s="7" t="inlineStr">
        <is>
          <t>listopad</t>
        </is>
      </c>
      <c r="D6" s="7" t="n"/>
      <c r="E6" s="7" t="inlineStr">
        <is>
          <t>x</t>
        </is>
      </c>
      <c r="F6" s="7" t="inlineStr">
        <is>
          <t>x</t>
        </is>
      </c>
      <c r="G6" s="21" t="n"/>
    </row>
    <row r="7">
      <c r="A7" s="6" t="n">
        <v>46303</v>
      </c>
      <c r="B7" s="7" t="inlineStr">
        <is>
          <t>četvrtak</t>
        </is>
      </c>
      <c r="C7" s="7" t="inlineStr">
        <is>
          <t>listopad</t>
        </is>
      </c>
      <c r="D7" s="7" t="inlineStr">
        <is>
          <t>x</t>
        </is>
      </c>
      <c r="E7" s="7" t="n"/>
      <c r="F7" s="7" t="n"/>
      <c r="G7" s="21" t="n"/>
    </row>
    <row r="8">
      <c r="A8" s="6" t="n">
        <v>46310</v>
      </c>
      <c r="B8" s="7" t="inlineStr">
        <is>
          <t>četvrtak</t>
        </is>
      </c>
      <c r="C8" s="7" t="inlineStr">
        <is>
          <t>listopad</t>
        </is>
      </c>
      <c r="D8" s="7" t="inlineStr">
        <is>
          <t>x</t>
        </is>
      </c>
      <c r="E8" s="7" t="inlineStr">
        <is>
          <t>x</t>
        </is>
      </c>
      <c r="F8" s="7" t="inlineStr">
        <is>
          <t>x</t>
        </is>
      </c>
      <c r="G8" s="21" t="n"/>
    </row>
    <row r="9">
      <c r="A9" s="6" t="n">
        <v>46317</v>
      </c>
      <c r="B9" s="7" t="inlineStr">
        <is>
          <t>četvrtak</t>
        </is>
      </c>
      <c r="C9" s="7" t="inlineStr">
        <is>
          <t>listopad</t>
        </is>
      </c>
      <c r="D9" s="7" t="inlineStr">
        <is>
          <t>x</t>
        </is>
      </c>
      <c r="E9" s="7" t="n"/>
      <c r="F9" s="7" t="n"/>
      <c r="G9" s="21" t="n"/>
    </row>
    <row r="10">
      <c r="A10" s="6" t="n">
        <v>46324</v>
      </c>
      <c r="B10" s="7" t="inlineStr">
        <is>
          <t>četvrtak</t>
        </is>
      </c>
      <c r="C10" s="7" t="inlineStr">
        <is>
          <t>listopad</t>
        </is>
      </c>
      <c r="D10" s="7" t="inlineStr">
        <is>
          <t>x</t>
        </is>
      </c>
      <c r="E10" s="7" t="inlineStr">
        <is>
          <t>x</t>
        </is>
      </c>
      <c r="F10" s="7" t="inlineStr">
        <is>
          <t>x</t>
        </is>
      </c>
      <c r="G10" s="21" t="n"/>
    </row>
    <row r="11">
      <c r="A11" s="6" t="n">
        <v>46331</v>
      </c>
      <c r="B11" s="7" t="inlineStr">
        <is>
          <t>četvrtak</t>
        </is>
      </c>
      <c r="C11" s="7" t="inlineStr">
        <is>
          <t>studeni</t>
        </is>
      </c>
      <c r="D11" s="7" t="inlineStr">
        <is>
          <t>x</t>
        </is>
      </c>
      <c r="E11" s="7" t="n"/>
      <c r="F11" s="7" t="n"/>
      <c r="G11" s="21" t="n"/>
    </row>
    <row r="12">
      <c r="A12" s="6" t="n">
        <v>46338</v>
      </c>
      <c r="B12" s="7" t="inlineStr">
        <is>
          <t>četvrtak</t>
        </is>
      </c>
      <c r="C12" s="7" t="inlineStr">
        <is>
          <t>studeni</t>
        </is>
      </c>
      <c r="D12" s="7" t="inlineStr">
        <is>
          <t>x</t>
        </is>
      </c>
      <c r="E12" s="7" t="inlineStr">
        <is>
          <t>x</t>
        </is>
      </c>
      <c r="F12" s="7" t="inlineStr">
        <is>
          <t>x</t>
        </is>
      </c>
      <c r="G12" s="21" t="n"/>
    </row>
    <row r="13">
      <c r="A13" s="6" t="n">
        <v>46345</v>
      </c>
      <c r="B13" s="7" t="inlineStr">
        <is>
          <t>četvrtak</t>
        </is>
      </c>
      <c r="C13" s="7" t="inlineStr">
        <is>
          <t>studeni</t>
        </is>
      </c>
      <c r="D13" s="7" t="inlineStr">
        <is>
          <t>x</t>
        </is>
      </c>
      <c r="E13" s="7" t="n"/>
      <c r="F13" s="7" t="n"/>
      <c r="G13" s="21" t="n"/>
    </row>
    <row r="14">
      <c r="A14" s="6" t="n">
        <v>46352</v>
      </c>
      <c r="B14" s="7" t="inlineStr">
        <is>
          <t>četvrtak</t>
        </is>
      </c>
      <c r="C14" s="7" t="inlineStr">
        <is>
          <t>studeni</t>
        </is>
      </c>
      <c r="D14" s="7" t="inlineStr">
        <is>
          <t>x</t>
        </is>
      </c>
      <c r="E14" s="7" t="inlineStr">
        <is>
          <t>x</t>
        </is>
      </c>
      <c r="F14" s="7" t="inlineStr">
        <is>
          <t>x</t>
        </is>
      </c>
      <c r="G14" s="21" t="n"/>
    </row>
  </sheetData>
  <autoFilter ref="A4:G14"/>
  <conditionalFormatting sqref="D5:D14">
    <cfRule type="expression" priority="1" dxfId="0">
      <formula>D5="x"</formula>
    </cfRule>
  </conditionalFormatting>
  <conditionalFormatting sqref="E5:E14">
    <cfRule type="expression" priority="2" dxfId="1">
      <formula>E5="x"</formula>
    </cfRule>
  </conditionalFormatting>
  <conditionalFormatting sqref="F5:F14">
    <cfRule type="expression" priority="3" dxfId="2">
      <formula>F5="x"</formula>
    </cfRule>
  </conditionalFormatting>
  <conditionalFormatting sqref="A5:G14">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5" t="inlineStr">
        <is>
          <t>Miješani komunalni otpad</t>
        </is>
      </c>
      <c r="D2" s="15" t="n"/>
    </row>
    <row r="3">
      <c r="A3" s="22" t="n">
        <v>46298</v>
      </c>
      <c r="B3" s="15" t="inlineStr">
        <is>
          <t>subota</t>
        </is>
      </c>
      <c r="C3" s="9" t="inlineStr">
        <is>
          <t>Plastika i metal</t>
        </is>
      </c>
      <c r="D3" s="15" t="n"/>
    </row>
    <row r="4">
      <c r="A4" s="22" t="n">
        <v>46298</v>
      </c>
      <c r="B4" s="15" t="inlineStr">
        <is>
          <t>subota</t>
        </is>
      </c>
      <c r="C4" s="10" t="inlineStr">
        <is>
          <t>Papir i karton</t>
        </is>
      </c>
      <c r="D4" s="15" t="n"/>
    </row>
    <row r="5">
      <c r="A5" s="22" t="n">
        <v>46303</v>
      </c>
      <c r="B5" s="15" t="inlineStr">
        <is>
          <t>četvrtak</t>
        </is>
      </c>
      <c r="C5" s="5" t="inlineStr">
        <is>
          <t>Miješani komunalni otpad</t>
        </is>
      </c>
      <c r="D5" s="15" t="n"/>
    </row>
    <row r="6">
      <c r="A6" s="22" t="n">
        <v>46310</v>
      </c>
      <c r="B6" s="15" t="inlineStr">
        <is>
          <t>četvrtak</t>
        </is>
      </c>
      <c r="C6" s="5" t="inlineStr">
        <is>
          <t>Miješani komunalni otpad</t>
        </is>
      </c>
      <c r="D6" s="15" t="n"/>
    </row>
    <row r="7">
      <c r="A7" s="22" t="n">
        <v>46310</v>
      </c>
      <c r="B7" s="15" t="inlineStr">
        <is>
          <t>četvrtak</t>
        </is>
      </c>
      <c r="C7" s="9" t="inlineStr">
        <is>
          <t>Plastika i metal</t>
        </is>
      </c>
      <c r="D7" s="15" t="n"/>
    </row>
    <row r="8">
      <c r="A8" s="22" t="n">
        <v>46310</v>
      </c>
      <c r="B8" s="15" t="inlineStr">
        <is>
          <t>četvrtak</t>
        </is>
      </c>
      <c r="C8" s="10" t="inlineStr">
        <is>
          <t>Papir i karton</t>
        </is>
      </c>
      <c r="D8" s="15" t="n"/>
    </row>
    <row r="9">
      <c r="A9" s="22" t="n">
        <v>46317</v>
      </c>
      <c r="B9" s="15" t="inlineStr">
        <is>
          <t>četvrtak</t>
        </is>
      </c>
      <c r="C9" s="5" t="inlineStr">
        <is>
          <t>Miješani komunalni otpad</t>
        </is>
      </c>
      <c r="D9" s="15" t="n"/>
    </row>
    <row r="10">
      <c r="A10" s="22" t="n">
        <v>46324</v>
      </c>
      <c r="B10" s="15" t="inlineStr">
        <is>
          <t>četvrtak</t>
        </is>
      </c>
      <c r="C10" s="5" t="inlineStr">
        <is>
          <t>Miješani komunalni otpad</t>
        </is>
      </c>
      <c r="D10" s="15" t="n"/>
    </row>
    <row r="11">
      <c r="A11" s="22" t="n">
        <v>46324</v>
      </c>
      <c r="B11" s="15" t="inlineStr">
        <is>
          <t>četvrtak</t>
        </is>
      </c>
      <c r="C11" s="9" t="inlineStr">
        <is>
          <t>Plastika i metal</t>
        </is>
      </c>
      <c r="D11" s="15" t="n"/>
    </row>
    <row r="12">
      <c r="A12" s="22" t="n">
        <v>46324</v>
      </c>
      <c r="B12" s="15" t="inlineStr">
        <is>
          <t>četvrtak</t>
        </is>
      </c>
      <c r="C12" s="10" t="inlineStr">
        <is>
          <t>Papir i karton</t>
        </is>
      </c>
      <c r="D12" s="15" t="n"/>
    </row>
    <row r="13">
      <c r="A13" s="22" t="n">
        <v>46331</v>
      </c>
      <c r="B13" s="15" t="inlineStr">
        <is>
          <t>četvrtak</t>
        </is>
      </c>
      <c r="C13" s="5" t="inlineStr">
        <is>
          <t>Miješani komunalni otpad</t>
        </is>
      </c>
      <c r="D13" s="15" t="n"/>
    </row>
    <row r="14">
      <c r="A14" s="22" t="n">
        <v>46338</v>
      </c>
      <c r="B14" s="15" t="inlineStr">
        <is>
          <t>četvrtak</t>
        </is>
      </c>
      <c r="C14" s="5" t="inlineStr">
        <is>
          <t>Miješani komunalni otpad</t>
        </is>
      </c>
      <c r="D14" s="15" t="n"/>
    </row>
    <row r="15">
      <c r="A15" s="22" t="n">
        <v>46338</v>
      </c>
      <c r="B15" s="15" t="inlineStr">
        <is>
          <t>četvrtak</t>
        </is>
      </c>
      <c r="C15" s="9" t="inlineStr">
        <is>
          <t>Plastika i metal</t>
        </is>
      </c>
      <c r="D15" s="15" t="n"/>
    </row>
    <row r="16">
      <c r="A16" s="22" t="n">
        <v>46338</v>
      </c>
      <c r="B16" s="15" t="inlineStr">
        <is>
          <t>četvrtak</t>
        </is>
      </c>
      <c r="C16" s="10" t="inlineStr">
        <is>
          <t>Papir i karton</t>
        </is>
      </c>
      <c r="D16" s="15" t="n"/>
    </row>
    <row r="17">
      <c r="A17" s="22" t="n">
        <v>46345</v>
      </c>
      <c r="B17" s="15" t="inlineStr">
        <is>
          <t>četvrtak</t>
        </is>
      </c>
      <c r="C17" s="5" t="inlineStr">
        <is>
          <t>Miješani komunalni otpad</t>
        </is>
      </c>
      <c r="D17" s="15" t="n"/>
    </row>
    <row r="18">
      <c r="A18" s="22" t="n">
        <v>46352</v>
      </c>
      <c r="B18" s="15" t="inlineStr">
        <is>
          <t>četvrtak</t>
        </is>
      </c>
      <c r="C18" s="5" t="inlineStr">
        <is>
          <t>Miješani komunalni otpad</t>
        </is>
      </c>
      <c r="D18" s="15" t="n"/>
    </row>
    <row r="19">
      <c r="A19" s="22" t="n">
        <v>46352</v>
      </c>
      <c r="B19" s="15" t="inlineStr">
        <is>
          <t>četvrtak</t>
        </is>
      </c>
      <c r="C19" s="9" t="inlineStr">
        <is>
          <t>Plastika i metal</t>
        </is>
      </c>
      <c r="D19" s="15" t="n"/>
    </row>
    <row r="20">
      <c r="A20" s="22" t="n">
        <v>46352</v>
      </c>
      <c r="B20" s="15" t="inlineStr">
        <is>
          <t>četvrtak</t>
        </is>
      </c>
      <c r="C20" s="10" t="inlineStr">
        <is>
          <t>Papir i karton</t>
        </is>
      </c>
      <c r="D20" s="15" t="n"/>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26 (Marčana): ulice i naselja</t>
        </is>
      </c>
    </row>
    <row r="4">
      <c r="A4" s="4" t="inlineStr">
        <is>
          <t>Ulica / naselje</t>
        </is>
      </c>
    </row>
    <row r="5">
      <c r="A5" s="15" t="inlineStr">
        <is>
          <t>Balići</t>
        </is>
      </c>
    </row>
    <row r="6">
      <c r="A6" s="15" t="inlineStr">
        <is>
          <t>Kuftići</t>
        </is>
      </c>
    </row>
    <row r="7">
      <c r="A7" s="15" t="inlineStr">
        <is>
          <t>Orbanići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
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'Raspored'!$A$4:$H$16</definedName>
    <definedName name="_xlnm._FilterDatabase" localSheetId="2" hidden="1">'Po vrsti'!$A$1:$D$25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16,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IFERROR(1/(1/_xlfn.MINIFS(Raspored!$A$5:$A$16,Raspored!$D$5:$D$16,"x",Raspored!$A$5:$A$16,"&gt;="&amp;$B$3)),"nema više u 2026.")</f>
        <v/>
      </c>
      <c r="C6" s="7">
        <f>IF(ISNUMBER(B6),INDEX({"nedjelja","ponedjeljak","utorak","srijeda","četvrtak","petak","subota"},WEEKDAY(B6)),"")</f>
        <v/>
      </c>
      <c r="D6" s="8">
        <f>IF(ISNUMBER(B6),B6-$B$3,"")</f>
        <v/>
      </c>
      <c r="E6" s="7">
        <f>COUNTIF(Raspored!$D$5:$D$16,"x")</f>
        <v/>
      </c>
    </row>
    <row r="7">
      <c r="A7" s="9" t="inlineStr">
        <is>
          <t>Biootpad</t>
        </is>
      </c>
      <c r="B7" s="6">
        <f>IFERROR(1/(1/_xlfn.MINIFS(Raspored!$A$5:$A$16,Raspored!$E$5:$E$16,"x",Raspored!$A$5:$A$16,"&gt;="&amp;$B$3)),"nema više u 2026.")</f>
        <v/>
      </c>
      <c r="C7" s="7">
        <f>IF(ISNUMBER(B7),INDEX({"nedjelja","ponedjeljak","utorak","srijeda","četvrtak","petak","subota"},WEEKDAY(B7)),"")</f>
        <v/>
      </c>
      <c r="D7" s="8">
        <f>IF(ISNUMBER(B7),B7-$B$3,"")</f>
        <v/>
      </c>
      <c r="E7" s="7">
        <f>COUNTIF(Raspored!$E$5:$E$16,"x")</f>
        <v/>
      </c>
    </row>
    <row r="8">
      <c r="A8" s="10" t="inlineStr">
        <is>
          <t>Plastika i metal</t>
        </is>
      </c>
      <c r="B8" s="6">
        <f>IFERROR(1/(1/_xlfn.MINIFS(Raspored!$A$5:$A$16,Raspored!$F$5:$F$16,"x",Raspored!$A$5:$A$16,"&gt;="&amp;$B$3)),"nema više u 2026.")</f>
        <v/>
      </c>
      <c r="C8" s="7">
        <f>IF(ISNUMBER(B8),INDEX({"nedjelja","ponedjeljak","utorak","srijeda","četvrtak","petak","subota"},WEEKDAY(B8)),"")</f>
        <v/>
      </c>
      <c r="D8" s="8">
        <f>IF(ISNUMBER(B8),B8-$B$3,"")</f>
        <v/>
      </c>
      <c r="E8" s="7">
        <f>COUNTIF(Raspored!$F$5:$F$16,"x")</f>
        <v/>
      </c>
    </row>
    <row r="9">
      <c r="A9" s="11" t="inlineStr">
        <is>
          <t>Papir i karton</t>
        </is>
      </c>
      <c r="B9" s="6">
        <f>IFERROR(1/(1/_xlfn.MINIFS(Raspored!$A$5:$A$16,Raspored!$G$5:$G$16,"x",Raspored!$A$5:$A$16,"&gt;="&amp;$B$3)),"nema više u 2026.")</f>
        <v/>
      </c>
      <c r="C9" s="7">
        <f>IF(ISNUMBER(B9),INDEX({"nedjelja","ponedjeljak","utorak","srijeda","četvrtak","petak","subota"},WEEKDAY(B9)),"")</f>
        <v/>
      </c>
      <c r="D9" s="8">
        <f>IF(ISNUMBER(B9),B9-$B$3,"")</f>
        <v/>
      </c>
      <c r="E9" s="7">
        <f>COUNTIF(Raspored!$G$5:$G$16,"x")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COUNTIFS(Raspored!$C$5:$C$16,$A13,Raspored!$D$5:$D$16,"x")</f>
        <v/>
      </c>
      <c r="C13" s="7">
        <f>COUNTIFS(Raspored!$C$5:$C$16,$A13,Raspored!$E$5:$E$16,"x")</f>
        <v/>
      </c>
      <c r="D13" s="7">
        <f>COUNTIFS(Raspored!$C$5:$C$16,$A13,Raspored!$F$5:$F$16,"x")</f>
        <v/>
      </c>
      <c r="E13" s="7">
        <f>COUNTIFS(Raspored!$C$5:$C$16,$A13,Raspored!$G$5:$G$16,"x")</f>
        <v/>
      </c>
    </row>
    <row r="14">
      <c r="A14" s="17" t="inlineStr">
        <is>
          <t>veljača</t>
        </is>
      </c>
      <c r="B14" s="7">
        <f>COUNTIFS(Raspored!$C$5:$C$16,$A14,Raspored!$D$5:$D$16,"x")</f>
        <v/>
      </c>
      <c r="C14" s="7">
        <f>COUNTIFS(Raspored!$C$5:$C$16,$A14,Raspored!$E$5:$E$16,"x")</f>
        <v/>
      </c>
      <c r="D14" s="7">
        <f>COUNTIFS(Raspored!$C$5:$C$16,$A14,Raspored!$F$5:$F$16,"x")</f>
        <v/>
      </c>
      <c r="E14" s="7">
        <f>COUNTIFS(Raspored!$C$5:$C$16,$A14,Raspored!$G$5:$G$16,"x")</f>
        <v/>
      </c>
    </row>
    <row r="15">
      <c r="A15" s="17" t="inlineStr">
        <is>
          <t>ožujak</t>
        </is>
      </c>
      <c r="B15" s="7">
        <f>COUNTIFS(Raspored!$C$5:$C$16,$A15,Raspored!$D$5:$D$16,"x")</f>
        <v/>
      </c>
      <c r="C15" s="7">
        <f>COUNTIFS(Raspored!$C$5:$C$16,$A15,Raspored!$E$5:$E$16,"x")</f>
        <v/>
      </c>
      <c r="D15" s="7">
        <f>COUNTIFS(Raspored!$C$5:$C$16,$A15,Raspored!$F$5:$F$16,"x")</f>
        <v/>
      </c>
      <c r="E15" s="7">
        <f>COUNTIFS(Raspored!$C$5:$C$16,$A15,Raspored!$G$5:$G$16,"x")</f>
        <v/>
      </c>
    </row>
    <row r="16">
      <c r="A16" s="17" t="inlineStr">
        <is>
          <t>travanj</t>
        </is>
      </c>
      <c r="B16" s="7">
        <f>COUNTIFS(Raspored!$C$5:$C$16,$A16,Raspored!$D$5:$D$16,"x")</f>
        <v/>
      </c>
      <c r="C16" s="7">
        <f>COUNTIFS(Raspored!$C$5:$C$16,$A16,Raspored!$E$5:$E$16,"x")</f>
        <v/>
      </c>
      <c r="D16" s="7">
        <f>COUNTIFS(Raspored!$C$5:$C$16,$A16,Raspored!$F$5:$F$16,"x")</f>
        <v/>
      </c>
      <c r="E16" s="7">
        <f>COUNTIFS(Raspored!$C$5:$C$16,$A16,Raspored!$G$5:$G$16,"x")</f>
        <v/>
      </c>
    </row>
    <row r="17">
      <c r="A17" s="17" t="inlineStr">
        <is>
          <t>svibanj</t>
        </is>
      </c>
      <c r="B17" s="7">
        <f>COUNTIFS(Raspored!$C$5:$C$16,$A17,Raspored!$D$5:$D$16,"x")</f>
        <v/>
      </c>
      <c r="C17" s="7">
        <f>COUNTIFS(Raspored!$C$5:$C$16,$A17,Raspored!$E$5:$E$16,"x")</f>
        <v/>
      </c>
      <c r="D17" s="7">
        <f>COUNTIFS(Raspored!$C$5:$C$16,$A17,Raspored!$F$5:$F$16,"x")</f>
        <v/>
      </c>
      <c r="E17" s="7">
        <f>COUNTIFS(Raspored!$C$5:$C$16,$A17,Raspored!$G$5:$G$16,"x")</f>
        <v/>
      </c>
    </row>
    <row r="18">
      <c r="A18" s="17" t="inlineStr">
        <is>
          <t>lipanj</t>
        </is>
      </c>
      <c r="B18" s="7">
        <f>COUNTIFS(Raspored!$C$5:$C$16,$A18,Raspored!$D$5:$D$16,"x")</f>
        <v/>
      </c>
      <c r="C18" s="7">
        <f>COUNTIFS(Raspored!$C$5:$C$16,$A18,Raspored!$E$5:$E$16,"x")</f>
        <v/>
      </c>
      <c r="D18" s="7">
        <f>COUNTIFS(Raspored!$C$5:$C$16,$A18,Raspored!$F$5:$F$16,"x")</f>
        <v/>
      </c>
      <c r="E18" s="7">
        <f>COUNTIFS(Raspored!$C$5:$C$16,$A18,Raspored!$G$5:$G$16,"x")</f>
        <v/>
      </c>
    </row>
    <row r="19">
      <c r="A19" s="17" t="inlineStr">
        <is>
          <t>srpanj</t>
        </is>
      </c>
      <c r="B19" s="7">
        <f>COUNTIFS(Raspored!$C$5:$C$16,$A19,Raspored!$D$5:$D$16,"x")</f>
        <v/>
      </c>
      <c r="C19" s="7">
        <f>COUNTIFS(Raspored!$C$5:$C$16,$A19,Raspored!$E$5:$E$16,"x")</f>
        <v/>
      </c>
      <c r="D19" s="7">
        <f>COUNTIFS(Raspored!$C$5:$C$16,$A19,Raspored!$F$5:$F$16,"x")</f>
        <v/>
      </c>
      <c r="E19" s="7">
        <f>COUNTIFS(Raspored!$C$5:$C$16,$A19,Raspored!$G$5:$G$16,"x")</f>
        <v/>
      </c>
    </row>
    <row r="20">
      <c r="A20" s="17" t="inlineStr">
        <is>
          <t>kolovoz</t>
        </is>
      </c>
      <c r="B20" s="7">
        <f>COUNTIFS(Raspored!$C$5:$C$16,$A20,Raspored!$D$5:$D$16,"x")</f>
        <v/>
      </c>
      <c r="C20" s="7">
        <f>COUNTIFS(Raspored!$C$5:$C$16,$A20,Raspored!$E$5:$E$16,"x")</f>
        <v/>
      </c>
      <c r="D20" s="7">
        <f>COUNTIFS(Raspored!$C$5:$C$16,$A20,Raspored!$F$5:$F$16,"x")</f>
        <v/>
      </c>
      <c r="E20" s="7">
        <f>COUNTIFS(Raspored!$C$5:$C$16,$A20,Raspored!$G$5:$G$16,"x")</f>
        <v/>
      </c>
    </row>
    <row r="21">
      <c r="A21" s="17" t="inlineStr">
        <is>
          <t>rujan</t>
        </is>
      </c>
      <c r="B21" s="7">
        <f>COUNTIFS(Raspored!$C$5:$C$16,$A21,Raspored!$D$5:$D$16,"x")</f>
        <v/>
      </c>
      <c r="C21" s="7">
        <f>COUNTIFS(Raspored!$C$5:$C$16,$A21,Raspored!$E$5:$E$16,"x")</f>
        <v/>
      </c>
      <c r="D21" s="7">
        <f>COUNTIFS(Raspored!$C$5:$C$16,$A21,Raspored!$F$5:$F$16,"x")</f>
        <v/>
      </c>
      <c r="E21" s="7">
        <f>COUNTIFS(Raspored!$C$5:$C$16,$A21,Raspored!$G$5:$G$16,"x")</f>
        <v/>
      </c>
    </row>
    <row r="22">
      <c r="A22" s="17" t="inlineStr">
        <is>
          <t>listopad</t>
        </is>
      </c>
      <c r="B22" s="7">
        <f>COUNTIFS(Raspored!$C$5:$C$16,$A22,Raspored!$D$5:$D$16,"x")</f>
        <v/>
      </c>
      <c r="C22" s="7">
        <f>COUNTIFS(Raspored!$C$5:$C$16,$A22,Raspored!$E$5:$E$16,"x")</f>
        <v/>
      </c>
      <c r="D22" s="7">
        <f>COUNTIFS(Raspored!$C$5:$C$16,$A22,Raspored!$F$5:$F$16,"x")</f>
        <v/>
      </c>
      <c r="E22" s="7">
        <f>COUNTIFS(Raspored!$C$5:$C$16,$A22,Raspored!$G$5:$G$16,"x")</f>
        <v/>
      </c>
    </row>
    <row r="23">
      <c r="A23" s="17" t="inlineStr">
        <is>
          <t>studeni</t>
        </is>
      </c>
      <c r="B23" s="7">
        <f>COUNTIFS(Raspored!$C$5:$C$16,$A23,Raspored!$D$5:$D$16,"x")</f>
        <v/>
      </c>
      <c r="C23" s="7">
        <f>COUNTIFS(Raspored!$C$5:$C$16,$A23,Raspored!$E$5:$E$16,"x")</f>
        <v/>
      </c>
      <c r="D23" s="7">
        <f>COUNTIFS(Raspored!$C$5:$C$16,$A23,Raspored!$F$5:$F$16,"x")</f>
        <v/>
      </c>
      <c r="E23" s="7">
        <f>COUNTIFS(Raspored!$C$5:$C$16,$A23,Raspored!$G$5:$G$16,"x")</f>
        <v/>
      </c>
    </row>
    <row r="24">
      <c r="A24" s="17" t="inlineStr">
        <is>
          <t>prosinac</t>
        </is>
      </c>
      <c r="B24" s="7">
        <f>COUNTIFS(Raspored!$C$5:$C$16,$A24,Raspored!$D$5:$D$16,"x")</f>
        <v/>
      </c>
      <c r="C24" s="7">
        <f>COUNTIFS(Raspored!$C$5:$C$16,$A24,Raspored!$E$5:$E$16,"x")</f>
        <v/>
      </c>
      <c r="D24" s="7">
        <f>COUNTIFS(Raspored!$C$5:$C$16,$A24,Raspored!$F$5:$F$16,"x")</f>
        <v/>
      </c>
      <c r="E24" s="7">
        <f>COUNTIFS(Raspored!$C$5:$C$16,$A24,Raspored!$G$5:$G$16,"x")</f>
        <v/>
      </c>
    </row>
    <row r="25">
      <c r="A25" s="18" t="inlineStr">
        <is>
          <t>Ukupno</t>
        </is>
      </c>
      <c r="B25" s="19">
        <f>SUM(B13:B24)</f>
        <v/>
      </c>
      <c r="C25" s="19">
        <f>SUM(C13:C24)</f>
        <v/>
      </c>
      <c r="D25" s="19">
        <f>SUM(D13:D24)</f>
        <v/>
      </c>
      <c r="E25" s="19">
        <f>SUM(E13:E24)</f>
        <v/>
      </c>
    </row>
    <row r="27">
      <c r="A27" s="20" t="inlineStr">
        <is>
          <t>Napomene:</t>
        </is>
      </c>
    </row>
    <row r="28">
      <c r="A28" s="21" t="inlineStr">
        <is>
          <t>• Biootpad se odvozi samo u dijelu mjesnih odbora (prema tražilici).</t>
        </is>
      </c>
    </row>
    <row r="29">
      <c r="A29" s="21" t="inlineStr">
        <is>
          <t>• Raspored po adresi (kućnom broju) na https://www.herculanea.hr/hr/usluge/cistoca/kalendar-odvoza/; objavljuju se samo tekući i sljedeći mjesec, pa se raspored nadopunjuje svakim pokretanjem skripte.</t>
        </is>
      </c>
    </row>
    <row r="30">
      <c r="A30" s="21" t="inlineStr">
        <is>
          <t>• U središtu Pule i na drugim adresama sa zajedničkim spremnicima nema rasporeda za kućanstva: otpad se odlaže u zajedničke spremnike (lokacije spremnika na herculanea.hr).</t>
        </is>
      </c>
    </row>
    <row r="31">
      <c r="A31" s="21" t="inlineStr">
        <is>
          <t>• Spremnike treba iznijeti večer prije odvoza.</t>
        </is>
      </c>
    </row>
    <row r="32">
      <c r="A32" s="21" t="inlineStr">
        <is>
          <t>• Pomaci zbog blagdana nisu posebno označeni; datumi su preuzeti kako su objavljeni.</t>
        </is>
      </c>
    </row>
    <row r="33">
      <c r="A33" s="21" t="inlineStr">
        <is>
          <t>• Za neke adrese tražilica daje raspored samo bez kućnog broja (npr. Šišan), a s kućnim brojem javlja da nema rasporeda; takve adrese su u zoni pod svojim imenom, a brojevi u popisu adresa bez rasporeda.</t>
        </is>
      </c>
    </row>
    <row r="34">
      <c r="A34" s="21"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5">
      <c r="A35" s="21"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16 (Pula – Pola)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46301</v>
      </c>
      <c r="B5" s="7" t="inlineStr">
        <is>
          <t>utorak</t>
        </is>
      </c>
      <c r="C5" s="7" t="inlineStr">
        <is>
          <t>listopad</t>
        </is>
      </c>
      <c r="D5" s="7" t="n"/>
      <c r="E5" s="7" t="n"/>
      <c r="F5" s="7" t="inlineStr">
        <is>
          <t>x</t>
        </is>
      </c>
      <c r="G5" s="7" t="inlineStr">
        <is>
          <t>x</t>
        </is>
      </c>
      <c r="H5" s="23" t="n"/>
    </row>
    <row r="6">
      <c r="A6" s="6" t="n">
        <v>46302</v>
      </c>
      <c r="B6" s="7" t="inlineStr">
        <is>
          <t>srijeda</t>
        </is>
      </c>
      <c r="C6" s="7" t="inlineStr">
        <is>
          <t>listopad</t>
        </is>
      </c>
      <c r="D6" s="7" t="inlineStr">
        <is>
          <t>x</t>
        </is>
      </c>
      <c r="E6" s="7" t="inlineStr">
        <is>
          <t>x</t>
        </is>
      </c>
      <c r="F6" s="7" t="n"/>
      <c r="G6" s="7" t="n"/>
      <c r="H6" s="23" t="n"/>
    </row>
    <row r="7">
      <c r="A7" s="6" t="n">
        <v>46309</v>
      </c>
      <c r="B7" s="7" t="inlineStr">
        <is>
          <t>srijeda</t>
        </is>
      </c>
      <c r="C7" s="7" t="inlineStr">
        <is>
          <t>listopad</t>
        </is>
      </c>
      <c r="D7" s="7" t="inlineStr">
        <is>
          <t>x</t>
        </is>
      </c>
      <c r="E7" s="7" t="inlineStr">
        <is>
          <t>x</t>
        </is>
      </c>
      <c r="F7" s="7" t="n"/>
      <c r="G7" s="7" t="n"/>
      <c r="H7" s="23" t="n"/>
    </row>
    <row r="8">
      <c r="A8" s="6" t="n">
        <v>46315</v>
      </c>
      <c r="B8" s="7" t="inlineStr">
        <is>
          <t>utorak</t>
        </is>
      </c>
      <c r="C8" s="7" t="inlineStr">
        <is>
          <t>listopad</t>
        </is>
      </c>
      <c r="D8" s="7" t="n"/>
      <c r="E8" s="7" t="n"/>
      <c r="F8" s="7" t="inlineStr">
        <is>
          <t>x</t>
        </is>
      </c>
      <c r="G8" s="7" t="inlineStr">
        <is>
          <t>x</t>
        </is>
      </c>
      <c r="H8" s="23" t="n"/>
    </row>
    <row r="9">
      <c r="A9" s="6" t="n">
        <v>46316</v>
      </c>
      <c r="B9" s="7" t="inlineStr">
        <is>
          <t>srijeda</t>
        </is>
      </c>
      <c r="C9" s="7" t="inlineStr">
        <is>
          <t>listopad</t>
        </is>
      </c>
      <c r="D9" s="7" t="inlineStr">
        <is>
          <t>x</t>
        </is>
      </c>
      <c r="E9" s="7" t="inlineStr">
        <is>
          <t>x</t>
        </is>
      </c>
      <c r="F9" s="7" t="n"/>
      <c r="G9" s="7" t="n"/>
      <c r="H9" s="23" t="n"/>
    </row>
    <row r="10">
      <c r="A10" s="6" t="n">
        <v>46323</v>
      </c>
      <c r="B10" s="7" t="inlineStr">
        <is>
          <t>srijeda</t>
        </is>
      </c>
      <c r="C10" s="7" t="inlineStr">
        <is>
          <t>listopad</t>
        </is>
      </c>
      <c r="D10" s="7" t="inlineStr">
        <is>
          <t>x</t>
        </is>
      </c>
      <c r="E10" s="7" t="inlineStr">
        <is>
          <t>x</t>
        </is>
      </c>
      <c r="F10" s="7" t="n"/>
      <c r="G10" s="7" t="n"/>
      <c r="H10" s="23" t="n"/>
    </row>
    <row r="11">
      <c r="A11" s="6" t="n">
        <v>46329</v>
      </c>
      <c r="B11" s="7" t="inlineStr">
        <is>
          <t>utorak</t>
        </is>
      </c>
      <c r="C11" s="7" t="inlineStr">
        <is>
          <t>studeni</t>
        </is>
      </c>
      <c r="D11" s="7" t="n"/>
      <c r="E11" s="7" t="n"/>
      <c r="F11" s="7" t="inlineStr">
        <is>
          <t>x</t>
        </is>
      </c>
      <c r="G11" s="7" t="inlineStr">
        <is>
          <t>x</t>
        </is>
      </c>
      <c r="H11" s="23" t="n"/>
    </row>
    <row r="12">
      <c r="A12" s="6" t="n">
        <v>46330</v>
      </c>
      <c r="B12" s="7" t="inlineStr">
        <is>
          <t>srijeda</t>
        </is>
      </c>
      <c r="C12" s="7" t="inlineStr">
        <is>
          <t>studeni</t>
        </is>
      </c>
      <c r="D12" s="7" t="inlineStr">
        <is>
          <t>x</t>
        </is>
      </c>
      <c r="E12" s="7" t="inlineStr">
        <is>
          <t>x</t>
        </is>
      </c>
      <c r="F12" s="7" t="n"/>
      <c r="G12" s="7" t="n"/>
      <c r="H12" s="23" t="n"/>
    </row>
    <row r="13">
      <c r="A13" s="6" t="n">
        <v>46337</v>
      </c>
      <c r="B13" s="7" t="inlineStr">
        <is>
          <t>srijeda</t>
        </is>
      </c>
      <c r="C13" s="7" t="inlineStr">
        <is>
          <t>studeni</t>
        </is>
      </c>
      <c r="D13" s="7" t="inlineStr">
        <is>
          <t>x</t>
        </is>
      </c>
      <c r="E13" s="7" t="inlineStr">
        <is>
          <t>x</t>
        </is>
      </c>
      <c r="F13" s="7" t="n"/>
      <c r="G13" s="7" t="n"/>
      <c r="H13" s="23" t="n"/>
    </row>
    <row r="14">
      <c r="A14" s="6" t="n">
        <v>46343</v>
      </c>
      <c r="B14" s="7" t="inlineStr">
        <is>
          <t>utorak</t>
        </is>
      </c>
      <c r="C14" s="7" t="inlineStr">
        <is>
          <t>studeni</t>
        </is>
      </c>
      <c r="D14" s="7" t="n"/>
      <c r="E14" s="7" t="n"/>
      <c r="F14" s="7" t="inlineStr">
        <is>
          <t>x</t>
        </is>
      </c>
      <c r="G14" s="7" t="inlineStr">
        <is>
          <t>x</t>
        </is>
      </c>
      <c r="H14" s="23" t="n"/>
    </row>
    <row r="15">
      <c r="A15" s="6" t="n">
        <v>46344</v>
      </c>
      <c r="B15" s="7" t="inlineStr">
        <is>
          <t>srijeda</t>
        </is>
      </c>
      <c r="C15" s="7" t="inlineStr">
        <is>
          <t>studeni</t>
        </is>
      </c>
      <c r="D15" s="7" t="inlineStr">
        <is>
          <t>x</t>
        </is>
      </c>
      <c r="E15" s="7" t="inlineStr">
        <is>
          <t>x</t>
        </is>
      </c>
      <c r="F15" s="7" t="n"/>
      <c r="G15" s="7" t="n"/>
      <c r="H15" s="23" t="n"/>
    </row>
    <row r="16">
      <c r="A16" s="6" t="n">
        <v>46351</v>
      </c>
      <c r="B16" s="7" t="inlineStr">
        <is>
          <t>srijeda</t>
        </is>
      </c>
      <c r="C16" s="7" t="inlineStr">
        <is>
          <t>studeni</t>
        </is>
      </c>
      <c r="D16" s="7" t="inlineStr">
        <is>
          <t>x</t>
        </is>
      </c>
      <c r="E16" s="7" t="inlineStr">
        <is>
          <t>x</t>
        </is>
      </c>
      <c r="F16" s="7" t="n"/>
      <c r="G16" s="7" t="n"/>
      <c r="H16" s="23" t="n"/>
    </row>
  </sheetData>
  <autoFilter ref="A4:H16"/>
  <conditionalFormatting sqref="D5:D16">
    <cfRule type="expression" priority="1" dxfId="0">
      <formula>D5="x"</formula>
    </cfRule>
  </conditionalFormatting>
  <conditionalFormatting sqref="E5:E16">
    <cfRule type="expression" priority="2" dxfId="1">
      <formula>E5="x"</formula>
    </cfRule>
  </conditionalFormatting>
  <conditionalFormatting sqref="F5:F16">
    <cfRule type="expression" priority="3" dxfId="2">
      <formula>F5="x"</formula>
    </cfRule>
  </conditionalFormatting>
  <conditionalFormatting sqref="G5:G16">
    <cfRule type="expression" priority="4" dxfId="3">
      <formula>G5="x"</formula>
    </cfRule>
  </conditionalFormatting>
  <conditionalFormatting sqref="A5:H1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46301</v>
      </c>
      <c r="B2" s="17" t="inlineStr">
        <is>
          <t>utorak</t>
        </is>
      </c>
      <c r="C2" s="10" t="inlineStr">
        <is>
          <t>Plastika i metal</t>
        </is>
      </c>
      <c r="D2" s="17" t="n"/>
    </row>
    <row r="3">
      <c r="A3" s="24" t="n">
        <v>46301</v>
      </c>
      <c r="B3" s="17" t="inlineStr">
        <is>
          <t>utorak</t>
        </is>
      </c>
      <c r="C3" s="11" t="inlineStr">
        <is>
          <t>Papir i karton</t>
        </is>
      </c>
      <c r="D3" s="17" t="n"/>
    </row>
    <row r="4">
      <c r="A4" s="24" t="n">
        <v>46302</v>
      </c>
      <c r="B4" s="17" t="inlineStr">
        <is>
          <t>srijeda</t>
        </is>
      </c>
      <c r="C4" s="5" t="inlineStr">
        <is>
          <t>Miješani komunalni otpad</t>
        </is>
      </c>
      <c r="D4" s="17" t="n"/>
    </row>
    <row r="5">
      <c r="A5" s="24" t="n">
        <v>46302</v>
      </c>
      <c r="B5" s="17" t="inlineStr">
        <is>
          <t>srijeda</t>
        </is>
      </c>
      <c r="C5" s="9" t="inlineStr">
        <is>
          <t>Biootpad</t>
        </is>
      </c>
      <c r="D5" s="17" t="n"/>
    </row>
    <row r="6">
      <c r="A6" s="24" t="n">
        <v>46309</v>
      </c>
      <c r="B6" s="17" t="inlineStr">
        <is>
          <t>srijeda</t>
        </is>
      </c>
      <c r="C6" s="5" t="inlineStr">
        <is>
          <t>Miješani komunalni otpad</t>
        </is>
      </c>
      <c r="D6" s="17" t="n"/>
    </row>
    <row r="7">
      <c r="A7" s="24" t="n">
        <v>46309</v>
      </c>
      <c r="B7" s="17" t="inlineStr">
        <is>
          <t>srijeda</t>
        </is>
      </c>
      <c r="C7" s="9" t="inlineStr">
        <is>
          <t>Biootpad</t>
        </is>
      </c>
      <c r="D7" s="17" t="n"/>
    </row>
    <row r="8">
      <c r="A8" s="24" t="n">
        <v>46315</v>
      </c>
      <c r="B8" s="17" t="inlineStr">
        <is>
          <t>utorak</t>
        </is>
      </c>
      <c r="C8" s="10" t="inlineStr">
        <is>
          <t>Plastika i metal</t>
        </is>
      </c>
      <c r="D8" s="17" t="n"/>
    </row>
    <row r="9">
      <c r="A9" s="24" t="n">
        <v>46315</v>
      </c>
      <c r="B9" s="17" t="inlineStr">
        <is>
          <t>utorak</t>
        </is>
      </c>
      <c r="C9" s="11" t="inlineStr">
        <is>
          <t>Papir i karton</t>
        </is>
      </c>
      <c r="D9" s="17" t="n"/>
    </row>
    <row r="10">
      <c r="A10" s="24" t="n">
        <v>46316</v>
      </c>
      <c r="B10" s="17" t="inlineStr">
        <is>
          <t>srijeda</t>
        </is>
      </c>
      <c r="C10" s="5" t="inlineStr">
        <is>
          <t>Miješani komunalni otpad</t>
        </is>
      </c>
      <c r="D10" s="17" t="n"/>
    </row>
    <row r="11">
      <c r="A11" s="24" t="n">
        <v>46316</v>
      </c>
      <c r="B11" s="17" t="inlineStr">
        <is>
          <t>srijeda</t>
        </is>
      </c>
      <c r="C11" s="9" t="inlineStr">
        <is>
          <t>Biootpad</t>
        </is>
      </c>
      <c r="D11" s="17" t="n"/>
    </row>
    <row r="12">
      <c r="A12" s="24" t="n">
        <v>46323</v>
      </c>
      <c r="B12" s="17" t="inlineStr">
        <is>
          <t>srijeda</t>
        </is>
      </c>
      <c r="C12" s="5" t="inlineStr">
        <is>
          <t>Miješani komunalni otpad</t>
        </is>
      </c>
      <c r="D12" s="17" t="n"/>
    </row>
    <row r="13">
      <c r="A13" s="24" t="n">
        <v>46323</v>
      </c>
      <c r="B13" s="17" t="inlineStr">
        <is>
          <t>srijeda</t>
        </is>
      </c>
      <c r="C13" s="9" t="inlineStr">
        <is>
          <t>Biootpad</t>
        </is>
      </c>
      <c r="D13" s="17" t="n"/>
    </row>
    <row r="14">
      <c r="A14" s="24" t="n">
        <v>46329</v>
      </c>
      <c r="B14" s="17" t="inlineStr">
        <is>
          <t>utorak</t>
        </is>
      </c>
      <c r="C14" s="10" t="inlineStr">
        <is>
          <t>Plastika i metal</t>
        </is>
      </c>
      <c r="D14" s="17" t="n"/>
    </row>
    <row r="15">
      <c r="A15" s="24" t="n">
        <v>46329</v>
      </c>
      <c r="B15" s="17" t="inlineStr">
        <is>
          <t>utorak</t>
        </is>
      </c>
      <c r="C15" s="11" t="inlineStr">
        <is>
          <t>Papir i karton</t>
        </is>
      </c>
      <c r="D15" s="17" t="n"/>
    </row>
    <row r="16">
      <c r="A16" s="24" t="n">
        <v>46330</v>
      </c>
      <c r="B16" s="17" t="inlineStr">
        <is>
          <t>srijeda</t>
        </is>
      </c>
      <c r="C16" s="5" t="inlineStr">
        <is>
          <t>Miješani komunalni otpad</t>
        </is>
      </c>
      <c r="D16" s="17" t="n"/>
    </row>
    <row r="17">
      <c r="A17" s="24" t="n">
        <v>46330</v>
      </c>
      <c r="B17" s="17" t="inlineStr">
        <is>
          <t>srijeda</t>
        </is>
      </c>
      <c r="C17" s="9" t="inlineStr">
        <is>
          <t>Biootpad</t>
        </is>
      </c>
      <c r="D17" s="17" t="n"/>
    </row>
    <row r="18">
      <c r="A18" s="24" t="n">
        <v>46337</v>
      </c>
      <c r="B18" s="17" t="inlineStr">
        <is>
          <t>srijeda</t>
        </is>
      </c>
      <c r="C18" s="5" t="inlineStr">
        <is>
          <t>Miješani komunalni otpad</t>
        </is>
      </c>
      <c r="D18" s="17" t="n"/>
    </row>
    <row r="19">
      <c r="A19" s="24" t="n">
        <v>46337</v>
      </c>
      <c r="B19" s="17" t="inlineStr">
        <is>
          <t>srijeda</t>
        </is>
      </c>
      <c r="C19" s="9" t="inlineStr">
        <is>
          <t>Biootpad</t>
        </is>
      </c>
      <c r="D19" s="17" t="n"/>
    </row>
    <row r="20">
      <c r="A20" s="24" t="n">
        <v>46343</v>
      </c>
      <c r="B20" s="17" t="inlineStr">
        <is>
          <t>utorak</t>
        </is>
      </c>
      <c r="C20" s="10" t="inlineStr">
        <is>
          <t>Plastika i metal</t>
        </is>
      </c>
      <c r="D20" s="17" t="n"/>
    </row>
    <row r="21">
      <c r="A21" s="24" t="n">
        <v>46343</v>
      </c>
      <c r="B21" s="17" t="inlineStr">
        <is>
          <t>utorak</t>
        </is>
      </c>
      <c r="C21" s="11" t="inlineStr">
        <is>
          <t>Papir i karton</t>
        </is>
      </c>
      <c r="D21" s="17" t="n"/>
    </row>
    <row r="22">
      <c r="A22" s="24" t="n">
        <v>46344</v>
      </c>
      <c r="B22" s="17" t="inlineStr">
        <is>
          <t>srijeda</t>
        </is>
      </c>
      <c r="C22" s="5" t="inlineStr">
        <is>
          <t>Miješani komunalni otpad</t>
        </is>
      </c>
      <c r="D22" s="17" t="n"/>
    </row>
    <row r="23">
      <c r="A23" s="24" t="n">
        <v>46344</v>
      </c>
      <c r="B23" s="17" t="inlineStr">
        <is>
          <t>srijeda</t>
        </is>
      </c>
      <c r="C23" s="9" t="inlineStr">
        <is>
          <t>Biootpad</t>
        </is>
      </c>
      <c r="D23" s="17" t="n"/>
    </row>
    <row r="24">
      <c r="A24" s="24" t="n">
        <v>46351</v>
      </c>
      <c r="B24" s="17" t="inlineStr">
        <is>
          <t>srijeda</t>
        </is>
      </c>
      <c r="C24" s="5" t="inlineStr">
        <is>
          <t>Miješani komunalni otpad</t>
        </is>
      </c>
      <c r="D24" s="17" t="n"/>
    </row>
    <row r="25">
      <c r="A25" s="24" t="n">
        <v>46351</v>
      </c>
      <c r="B25" s="17" t="inlineStr">
        <is>
          <t>srijeda</t>
        </is>
      </c>
      <c r="C25" s="9" t="inlineStr">
        <is>
          <t>Biootpad</t>
        </is>
      </c>
      <c r="D25" s="17" t="n"/>
    </row>
  </sheetData>
  <autoFilter ref="A1:D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3"/>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16 (Pula – Pola): ulice i naselja</t>
        </is>
      </c>
    </row>
    <row r="4">
      <c r="A4" s="4" t="inlineStr">
        <is>
          <t>Ulica / naselje</t>
        </is>
      </c>
    </row>
    <row r="5">
      <c r="A5" s="17" t="inlineStr">
        <is>
          <t>Benussijeva ulica</t>
        </is>
      </c>
    </row>
    <row r="6">
      <c r="A6" s="17" t="inlineStr">
        <is>
          <t>Bratulićev prilaz</t>
        </is>
      </c>
    </row>
    <row r="7">
      <c r="A7" s="17" t="inlineStr">
        <is>
          <t>Caprinov prilaz</t>
        </is>
      </c>
    </row>
    <row r="8">
      <c r="A8" s="17" t="inlineStr">
        <is>
          <t>Carlijeva ulica</t>
        </is>
      </c>
    </row>
    <row r="9">
      <c r="A9" s="17" t="inlineStr">
        <is>
          <t>Cesta Prekom. Brigada</t>
        </is>
      </c>
    </row>
    <row r="10">
      <c r="A10" s="17" t="inlineStr">
        <is>
          <t>Coceicheva Ul.</t>
        </is>
      </c>
    </row>
    <row r="11">
      <c r="A11" s="17" t="inlineStr">
        <is>
          <t>De Franceschijeva ulica</t>
        </is>
      </c>
    </row>
    <row r="12">
      <c r="A12" s="17" t="inlineStr">
        <is>
          <t>Facchinettijeva Ul.</t>
        </is>
      </c>
    </row>
    <row r="13">
      <c r="A13" s="17" t="inlineStr">
        <is>
          <t>Gervaisova ulica</t>
        </is>
      </c>
    </row>
    <row r="14">
      <c r="A14" s="17" t="inlineStr">
        <is>
          <t>Jelušićev prilaz</t>
        </is>
      </c>
    </row>
    <row r="15">
      <c r="A15" s="17" t="inlineStr">
        <is>
          <t>Mardeganijeva ulica</t>
        </is>
      </c>
    </row>
    <row r="16">
      <c r="A16" s="17" t="inlineStr">
        <is>
          <t>Palisina ulica</t>
        </is>
      </c>
    </row>
    <row r="17">
      <c r="A17" s="17" t="inlineStr">
        <is>
          <t>Prilaz Puljskih Španjolskih Boraca</t>
        </is>
      </c>
    </row>
    <row r="18">
      <c r="A18" s="17" t="inlineStr">
        <is>
          <t>Rapiciov prilaz</t>
        </is>
      </c>
    </row>
    <row r="19">
      <c r="A19" s="17" t="inlineStr">
        <is>
          <t>Rohreggerova ulica</t>
        </is>
      </c>
    </row>
    <row r="20">
      <c r="A20" s="17" t="inlineStr">
        <is>
          <t>Schiavuzzijev prilaz</t>
        </is>
      </c>
    </row>
    <row r="21">
      <c r="A21" s="17" t="inlineStr">
        <is>
          <t>Šenoina ulica</t>
        </is>
      </c>
    </row>
    <row r="22">
      <c r="A22" s="17" t="inlineStr">
        <is>
          <t>Ulica Monte Paradiso</t>
        </is>
      </c>
    </row>
    <row r="23">
      <c r="A23" s="17" t="inlineStr">
        <is>
          <t>Ulica Vidikovac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
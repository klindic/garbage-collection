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IFERROR(1/(1/_xlfn.MINIFS(Raspored!$A$5:$A$90,Raspored!$D$5:$D$90,"x",Raspored!$A$5:$A$90,"&gt;="&amp;$B$3)),"nema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COUNTIF(Raspored!$D$5:$D$90,"x")</f>
        <v/>
      </c>
    </row>
    <row r="7">
      <c r="A7" s="9" t="inlineStr">
        <is>
          <t>Plastika i metal</t>
        </is>
      </c>
      <c r="B7" s="6">
        <f>IFERROR(1/(1/_xlfn.MINIFS(Raspored!$A$5:$A$90,Raspored!$E$5:$E$90,"x",Raspored!$A$5:$A$90,"&gt;="&amp;$B$3)),"nema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COUNTIF(Raspored!$E$5:$E$90,"x")</f>
        <v/>
      </c>
    </row>
    <row r="8">
      <c r="A8" s="10" t="inlineStr">
        <is>
          <t>Papir i karton</t>
        </is>
      </c>
      <c r="B8" s="6">
        <f>IFERROR(1/(1/_xlfn.MINIFS(Raspored!$A$5:$A$90,Raspored!$F$5:$F$90,"x",Raspored!$A$5:$A$90,"&gt;="&amp;$B$3)),"nema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COUNTIF(Raspored!$F$5:$F$90,"x")</f>
        <v/>
      </c>
    </row>
    <row r="9">
      <c r="A9" s="11" t="inlineStr">
        <is>
          <t>Staklo</t>
        </is>
      </c>
      <c r="B9" s="6">
        <f>IFERROR(1/(1/_xlfn.MINIFS(Raspored!$A$5:$A$90,Raspored!$G$5:$G$90,"x",Raspored!$A$5:$A$90,"&gt;="&amp;$B$3)),"nema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COUNTIFS(Raspored!$C$5:$C$90,$A13,Raspored!$D$5:$D$90,"x")</f>
        <v/>
      </c>
      <c r="C13" s="7">
        <f>COUNTIFS(Raspored!$C$5:$C$90,$A13,Raspored!$E$5:$E$90,"x")</f>
        <v/>
      </c>
      <c r="D13" s="7">
        <f>COUNTIFS(Raspored!$C$5:$C$90,$A13,Raspored!$F$5:$F$90,"x")</f>
        <v/>
      </c>
      <c r="E13" s="7">
        <f>COUNTIFS(Raspored!$C$5:$C$90,$A13,Raspored!$G$5:$G$90,"x")</f>
        <v/>
      </c>
    </row>
    <row r="14">
      <c r="A14" s="17" t="inlineStr">
        <is>
          <t>veljača</t>
        </is>
      </c>
      <c r="B14" s="7">
        <f>COUNTIFS(Raspored!$C$5:$C$90,$A14,Raspored!$D$5:$D$90,"x")</f>
        <v/>
      </c>
      <c r="C14" s="7">
        <f>COUNTIFS(Raspored!$C$5:$C$90,$A14,Raspored!$E$5:$E$90,"x")</f>
        <v/>
      </c>
      <c r="D14" s="7">
        <f>COUNTIFS(Raspored!$C$5:$C$90,$A14,Raspored!$F$5:$F$90,"x")</f>
        <v/>
      </c>
      <c r="E14" s="7">
        <f>COUNTIFS(Raspored!$C$5:$C$90,$A14,Raspored!$G$5:$G$90,"x")</f>
        <v/>
      </c>
    </row>
    <row r="15">
      <c r="A15" s="17" t="inlineStr">
        <is>
          <t>ožujak</t>
        </is>
      </c>
      <c r="B15" s="7">
        <f>COUNTIFS(Raspored!$C$5:$C$90,$A15,Raspored!$D$5:$D$90,"x")</f>
        <v/>
      </c>
      <c r="C15" s="7">
        <f>COUNTIFS(Raspored!$C$5:$C$90,$A15,Raspored!$E$5:$E$90,"x")</f>
        <v/>
      </c>
      <c r="D15" s="7">
        <f>COUNTIFS(Raspored!$C$5:$C$90,$A15,Raspored!$F$5:$F$90,"x")</f>
        <v/>
      </c>
      <c r="E15" s="7">
        <f>COUNTIFS(Raspored!$C$5:$C$90,$A15,Raspored!$G$5:$G$90,"x")</f>
        <v/>
      </c>
    </row>
    <row r="16">
      <c r="A16" s="17" t="inlineStr">
        <is>
          <t>travanj</t>
        </is>
      </c>
      <c r="B16" s="7">
        <f>COUNTIFS(Raspored!$C$5:$C$90,$A16,Raspored!$D$5:$D$90,"x")</f>
        <v/>
      </c>
      <c r="C16" s="7">
        <f>COUNTIFS(Raspored!$C$5:$C$90,$A16,Raspored!$E$5:$E$90,"x")</f>
        <v/>
      </c>
      <c r="D16" s="7">
        <f>COUNTIFS(Raspored!$C$5:$C$90,$A16,Raspored!$F$5:$F$90,"x")</f>
        <v/>
      </c>
      <c r="E16" s="7">
        <f>COUNTIFS(Raspored!$C$5:$C$90,$A16,Raspored!$G$5:$G$90,"x")</f>
        <v/>
      </c>
    </row>
    <row r="17">
      <c r="A17" s="17" t="inlineStr">
        <is>
          <t>svibanj</t>
        </is>
      </c>
      <c r="B17" s="7">
        <f>COUNTIFS(Raspored!$C$5:$C$90,$A17,Raspored!$D$5:$D$90,"x")</f>
        <v/>
      </c>
      <c r="C17" s="7">
        <f>COUNTIFS(Raspored!$C$5:$C$90,$A17,Raspored!$E$5:$E$90,"x")</f>
        <v/>
      </c>
      <c r="D17" s="7">
        <f>COUNTIFS(Raspored!$C$5:$C$90,$A17,Raspored!$F$5:$F$90,"x")</f>
        <v/>
      </c>
      <c r="E17" s="7">
        <f>COUNTIFS(Raspored!$C$5:$C$90,$A17,Raspored!$G$5:$G$90,"x")</f>
        <v/>
      </c>
    </row>
    <row r="18">
      <c r="A18" s="17" t="inlineStr">
        <is>
          <t>lipanj</t>
        </is>
      </c>
      <c r="B18" s="7">
        <f>COUNTIFS(Raspored!$C$5:$C$90,$A18,Raspored!$D$5:$D$90,"x")</f>
        <v/>
      </c>
      <c r="C18" s="7">
        <f>COUNTIFS(Raspored!$C$5:$C$90,$A18,Raspored!$E$5:$E$90,"x")</f>
        <v/>
      </c>
      <c r="D18" s="7">
        <f>COUNTIFS(Raspored!$C$5:$C$90,$A18,Raspored!$F$5:$F$90,"x")</f>
        <v/>
      </c>
      <c r="E18" s="7">
        <f>COUNTIFS(Raspored!$C$5:$C$90,$A18,Raspored!$G$5:$G$90,"x")</f>
        <v/>
      </c>
    </row>
    <row r="19">
      <c r="A19" s="17" t="inlineStr">
        <is>
          <t>srpanj</t>
        </is>
      </c>
      <c r="B19" s="7">
        <f>COUNTIFS(Raspored!$C$5:$C$90,$A19,Raspored!$D$5:$D$90,"x")</f>
        <v/>
      </c>
      <c r="C19" s="7">
        <f>COUNTIFS(Raspored!$C$5:$C$90,$A19,Raspored!$E$5:$E$90,"x")</f>
        <v/>
      </c>
      <c r="D19" s="7">
        <f>COUNTIFS(Raspored!$C$5:$C$90,$A19,Raspored!$F$5:$F$90,"x")</f>
        <v/>
      </c>
      <c r="E19" s="7">
        <f>COUNTIFS(Raspored!$C$5:$C$90,$A19,Raspored!$G$5:$G$90,"x")</f>
        <v/>
      </c>
    </row>
    <row r="20">
      <c r="A20" s="17" t="inlineStr">
        <is>
          <t>kolovoz</t>
        </is>
      </c>
      <c r="B20" s="7">
        <f>COUNTIFS(Raspored!$C$5:$C$90,$A20,Raspored!$D$5:$D$90,"x")</f>
        <v/>
      </c>
      <c r="C20" s="7">
        <f>COUNTIFS(Raspored!$C$5:$C$90,$A20,Raspored!$E$5:$E$90,"x")</f>
        <v/>
      </c>
      <c r="D20" s="7">
        <f>COUNTIFS(Raspored!$C$5:$C$90,$A20,Raspored!$F$5:$F$90,"x")</f>
        <v/>
      </c>
      <c r="E20" s="7">
        <f>COUNTIFS(Raspored!$C$5:$C$90,$A20,Raspored!$G$5:$G$90,"x")</f>
        <v/>
      </c>
    </row>
    <row r="21">
      <c r="A21" s="17" t="inlineStr">
        <is>
          <t>rujan</t>
        </is>
      </c>
      <c r="B21" s="7">
        <f>COUNTIFS(Raspored!$C$5:$C$90,$A21,Raspored!$D$5:$D$90,"x")</f>
        <v/>
      </c>
      <c r="C21" s="7">
        <f>COUNTIFS(Raspored!$C$5:$C$90,$A21,Raspored!$E$5:$E$90,"x")</f>
        <v/>
      </c>
      <c r="D21" s="7">
        <f>COUNTIFS(Raspored!$C$5:$C$90,$A21,Raspored!$F$5:$F$90,"x")</f>
        <v/>
      </c>
      <c r="E21" s="7">
        <f>COUNTIFS(Raspored!$C$5:$C$90,$A21,Raspored!$G$5:$G$90,"x")</f>
        <v/>
      </c>
    </row>
    <row r="22">
      <c r="A22" s="17" t="inlineStr">
        <is>
          <t>listopad</t>
        </is>
      </c>
      <c r="B22" s="7">
        <f>COUNTIFS(Raspored!$C$5:$C$90,$A22,Raspored!$D$5:$D$90,"x")</f>
        <v/>
      </c>
      <c r="C22" s="7">
        <f>COUNTIFS(Raspored!$C$5:$C$90,$A22,Raspored!$E$5:$E$90,"x")</f>
        <v/>
      </c>
      <c r="D22" s="7">
        <f>COUNTIFS(Raspored!$C$5:$C$90,$A22,Raspored!$F$5:$F$90,"x")</f>
        <v/>
      </c>
      <c r="E22" s="7">
        <f>COUNTIFS(Raspored!$C$5:$C$90,$A22,Raspored!$G$5:$G$90,"x")</f>
        <v/>
      </c>
    </row>
    <row r="23">
      <c r="A23" s="17" t="inlineStr">
        <is>
          <t>studeni</t>
        </is>
      </c>
      <c r="B23" s="7">
        <f>COUNTIFS(Raspored!$C$5:$C$90,$A23,Raspored!$D$5:$D$90,"x")</f>
        <v/>
      </c>
      <c r="C23" s="7">
        <f>COUNTIFS(Raspored!$C$5:$C$90,$A23,Raspored!$E$5:$E$90,"x")</f>
        <v/>
      </c>
      <c r="D23" s="7">
        <f>COUNTIFS(Raspored!$C$5:$C$90,$A23,Raspored!$F$5:$F$90,"x")</f>
        <v/>
      </c>
      <c r="E23" s="7">
        <f>COUNTIFS(Raspored!$C$5:$C$90,$A23,Raspored!$G$5:$G$90,"x")</f>
        <v/>
      </c>
    </row>
    <row r="24">
      <c r="A24" s="17" t="inlineStr">
        <is>
          <t>prosinac</t>
        </is>
      </c>
      <c r="B24" s="7">
        <f>COUNTIFS(Raspored!$C$5:$C$90,$A24,Raspored!$D$5:$D$90,"x")</f>
        <v/>
      </c>
      <c r="C24" s="7">
        <f>COUNTIFS(Raspored!$C$5:$C$90,$A24,Raspored!$E$5:$E$90,"x")</f>
        <v/>
      </c>
      <c r="D24" s="7">
        <f>COUNTIFS(Raspored!$C$5:$C$90,$A24,Raspored!$F$5:$F$90,"x")</f>
        <v/>
      </c>
      <c r="E24" s="7">
        <f>COUNTIFS(Raspored!$C$5:$C$90,$A24,Raspored!$G$5:$G$90,"x")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Na ovoj ruti raspored ne navodi odvoz biootpada.</t>
        </is>
      </c>
    </row>
    <row r="30">
      <c r="A30" s="21" t="inlineStr">
        <is>
          <t>• Datumi u rasporedu već uključuju pomake zbog blagdana; takvi su datumi označeni kao pomaknuti.</t>
        </is>
      </c>
    </row>
    <row r="31">
      <c r="A31" s="21" t="inlineStr">
        <is>
          <t>• Raspored vrijedi za ulice i naselja navedena na pojedinoj ruti; za naselja koja nisu navedena provjerite raspored kod Novokoma.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(Novska)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46071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46072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46085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46086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46093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46099</v>
      </c>
      <c r="B23" s="7" t="inlineStr">
        <is>
          <t>srijeda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46100</v>
      </c>
      <c r="B24" s="7" t="inlineStr">
        <is>
          <t>četvrtak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46113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46120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46121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46127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46128</v>
      </c>
      <c r="B30" s="7" t="inlineStr">
        <is>
          <t>četvrtak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46134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46135</v>
      </c>
      <c r="B32" s="7" t="inlineStr">
        <is>
          <t>četvrtak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46141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46148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46149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46155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46156</v>
      </c>
      <c r="B37" s="7" t="inlineStr">
        <is>
          <t>četvrtak</t>
        </is>
      </c>
      <c r="C37" s="7" t="inlineStr">
        <is>
          <t>svibanj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46162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46163</v>
      </c>
      <c r="B39" s="7" t="inlineStr">
        <is>
          <t>četvrtak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46169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46176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24" t="n">
        <v>46179</v>
      </c>
      <c r="B42" s="25" t="inlineStr">
        <is>
          <t>subota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n"/>
      <c r="H42" s="23" t="inlineStr">
        <is>
          <t>Pomaknuto zbog neradnog dana u tjednu</t>
        </is>
      </c>
    </row>
    <row r="43">
      <c r="A43" s="6" t="n">
        <v>46183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46184</v>
      </c>
      <c r="B44" s="7" t="inlineStr">
        <is>
          <t>četvrtak</t>
        </is>
      </c>
      <c r="C44" s="7" t="inlineStr">
        <is>
          <t>lipanj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46190</v>
      </c>
      <c r="B45" s="7" t="inlineStr">
        <is>
          <t>srijeda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46191</v>
      </c>
      <c r="B46" s="7" t="inlineStr">
        <is>
          <t>četvrtak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46197</v>
      </c>
      <c r="B47" s="7" t="inlineStr">
        <is>
          <t>srijeda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46204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46211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46212</v>
      </c>
      <c r="B50" s="7" t="inlineStr">
        <is>
          <t>četvrtak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46218</v>
      </c>
      <c r="B51" s="7" t="inlineStr">
        <is>
          <t>srijeda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46219</v>
      </c>
      <c r="B52" s="7" t="inlineStr">
        <is>
          <t>četvrtak</t>
        </is>
      </c>
      <c r="C52" s="7" t="inlineStr">
        <is>
          <t>srpanj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46226</v>
      </c>
      <c r="B54" s="7" t="inlineStr">
        <is>
          <t>četvrtak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24" t="n">
        <v>46240</v>
      </c>
      <c r="B56" s="25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inlineStr">
        <is>
          <t>Pomaknuto zbog neradnog dana u tjednu</t>
        </is>
      </c>
    </row>
    <row r="57">
      <c r="A57" s="6" t="n">
        <v>46246</v>
      </c>
      <c r="B57" s="7" t="inlineStr">
        <is>
          <t>srijeda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46247</v>
      </c>
      <c r="B58" s="7" t="inlineStr">
        <is>
          <t>četvrtak</t>
        </is>
      </c>
      <c r="C58" s="7" t="inlineStr">
        <is>
          <t>kolovoz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46253</v>
      </c>
      <c r="B59" s="7" t="inlineStr">
        <is>
          <t>srijeda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46254</v>
      </c>
      <c r="B60" s="7" t="inlineStr">
        <is>
          <t>četvrtak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46260</v>
      </c>
      <c r="B61" s="7" t="inlineStr">
        <is>
          <t>srijeda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46267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46274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46275</v>
      </c>
      <c r="B64" s="7" t="inlineStr">
        <is>
          <t>četvrtak</t>
        </is>
      </c>
      <c r="C64" s="7" t="inlineStr">
        <is>
          <t>rujan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46281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46282</v>
      </c>
      <c r="B66" s="7" t="inlineStr">
        <is>
          <t>četvrtak</t>
        </is>
      </c>
      <c r="C66" s="7" t="inlineStr">
        <is>
          <t>rujan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46288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46289</v>
      </c>
      <c r="B68" s="7" t="inlineStr">
        <is>
          <t>četvrtak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46295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46302</v>
      </c>
      <c r="B70" s="7" t="inlineStr">
        <is>
          <t>srijeda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46303</v>
      </c>
      <c r="B71" s="7" t="inlineStr">
        <is>
          <t>četvrtak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46309</v>
      </c>
      <c r="B72" s="7" t="inlineStr">
        <is>
          <t>srijeda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46310</v>
      </c>
      <c r="B73" s="7" t="inlineStr">
        <is>
          <t>četvrtak</t>
        </is>
      </c>
      <c r="C73" s="7" t="inlineStr">
        <is>
          <t>listopad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46316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46317</v>
      </c>
      <c r="B75" s="7" t="inlineStr">
        <is>
          <t>četvrtak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46323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46330</v>
      </c>
      <c r="B77" s="7" t="inlineStr">
        <is>
          <t>srijeda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46331</v>
      </c>
      <c r="B78" s="7" t="inlineStr">
        <is>
          <t>četvrtak</t>
        </is>
      </c>
      <c r="C78" s="7" t="inlineStr">
        <is>
          <t>studeni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46337</v>
      </c>
      <c r="B79" s="7" t="inlineStr">
        <is>
          <t>srijeda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46338</v>
      </c>
      <c r="B80" s="7" t="inlineStr">
        <is>
          <t>četvrtak</t>
        </is>
      </c>
      <c r="C80" s="7" t="inlineStr">
        <is>
          <t>studeni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24" t="n">
        <v>46345</v>
      </c>
      <c r="B81" s="25" t="inlineStr">
        <is>
          <t>četvrtak</t>
        </is>
      </c>
      <c r="C81" s="7" t="inlineStr">
        <is>
          <t>studeni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inlineStr">
        <is>
          <t>Pomaknuto zbog neradnog dana u tjednu</t>
        </is>
      </c>
    </row>
    <row r="82">
      <c r="A82" s="6" t="n">
        <v>46351</v>
      </c>
      <c r="B82" s="7" t="inlineStr">
        <is>
          <t>srijeda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46358</v>
      </c>
      <c r="B83" s="7" t="inlineStr">
        <is>
          <t>srijeda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46365</v>
      </c>
      <c r="B84" s="7" t="inlineStr">
        <is>
          <t>srijeda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46366</v>
      </c>
      <c r="B85" s="7" t="inlineStr">
        <is>
          <t>četvrtak</t>
        </is>
      </c>
      <c r="C85" s="7" t="inlineStr">
        <is>
          <t>prosinac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46372</v>
      </c>
      <c r="B86" s="7" t="inlineStr">
        <is>
          <t>srijeda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46373</v>
      </c>
      <c r="B87" s="7" t="inlineStr">
        <is>
          <t>četvrtak</t>
        </is>
      </c>
      <c r="C87" s="7" t="inlineStr">
        <is>
          <t>prosinac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46379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46380</v>
      </c>
      <c r="B89" s="7" t="inlineStr">
        <is>
          <t>četvrtak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46386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23" t="n"/>
    </row>
  </sheetData>
  <autoFilter ref="A4:H90"/>
  <conditionalFormatting sqref="D5:D90">
    <cfRule type="expression" priority="1" dxfId="0">
      <formula>D5="x"</formula>
    </cfRule>
  </conditionalFormatting>
  <conditionalFormatting sqref="E5:E90">
    <cfRule type="expression" priority="2" dxfId="1">
      <formula>E5="x"</formula>
    </cfRule>
  </conditionalFormatting>
  <conditionalFormatting sqref="F5:F90">
    <cfRule type="expression" priority="3" dxfId="2">
      <formula>F5="x"</formula>
    </cfRule>
  </conditionalFormatting>
  <conditionalFormatting sqref="G5:G90">
    <cfRule type="expression" priority="4" dxfId="3">
      <formula>G5="x"</formula>
    </cfRule>
  </conditionalFormatting>
  <conditionalFormatting sqref="A5:H9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46030</v>
      </c>
      <c r="B3" s="17" t="inlineStr">
        <is>
          <t>četvrtak</t>
        </is>
      </c>
      <c r="C3" s="10" t="inlineStr">
        <is>
          <t>Papir i karton</t>
        </is>
      </c>
      <c r="D3" s="17" t="n"/>
    </row>
    <row r="4">
      <c r="A4" s="26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11" t="inlineStr">
        <is>
          <t>Staklo</t>
        </is>
      </c>
      <c r="D5" s="17" t="n"/>
    </row>
    <row r="6">
      <c r="A6" s="26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46044</v>
      </c>
      <c r="B7" s="17" t="inlineStr">
        <is>
          <t>četvrtak</t>
        </is>
      </c>
      <c r="C7" s="9" t="inlineStr">
        <is>
          <t>Plastika i metal</t>
        </is>
      </c>
      <c r="D7" s="17" t="n"/>
    </row>
    <row r="8">
      <c r="A8" s="26" t="n">
        <v>46050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46057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46058</v>
      </c>
      <c r="B10" s="17" t="inlineStr">
        <is>
          <t>četvrtak</t>
        </is>
      </c>
      <c r="C10" s="10" t="inlineStr">
        <is>
          <t>Papir i karton</t>
        </is>
      </c>
      <c r="D10" s="17" t="n"/>
    </row>
    <row r="11">
      <c r="A11" s="26" t="n">
        <v>46064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46065</v>
      </c>
      <c r="B12" s="17" t="inlineStr">
        <is>
          <t>četvrtak</t>
        </is>
      </c>
      <c r="C12" s="11" t="inlineStr">
        <is>
          <t>Staklo</t>
        </is>
      </c>
      <c r="D12" s="17" t="n"/>
    </row>
    <row r="13">
      <c r="A13" s="26" t="n">
        <v>46071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46072</v>
      </c>
      <c r="B14" s="17" t="inlineStr">
        <is>
          <t>četvrtak</t>
        </is>
      </c>
      <c r="C14" s="9" t="inlineStr">
        <is>
          <t>Plastika i metal</t>
        </is>
      </c>
      <c r="D14" s="17" t="n"/>
    </row>
    <row r="15">
      <c r="A15" s="26" t="n">
        <v>46078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46085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46086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6" t="n">
        <v>46092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46093</v>
      </c>
      <c r="B19" s="17" t="inlineStr">
        <is>
          <t>četvrtak</t>
        </is>
      </c>
      <c r="C19" s="11" t="inlineStr">
        <is>
          <t>Staklo</t>
        </is>
      </c>
      <c r="D19" s="17" t="n"/>
    </row>
    <row r="20">
      <c r="A20" s="26" t="n">
        <v>46099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46100</v>
      </c>
      <c r="B21" s="17" t="inlineStr">
        <is>
          <t>četvrtak</t>
        </is>
      </c>
      <c r="C21" s="9" t="inlineStr">
        <is>
          <t>Plastika i metal</t>
        </is>
      </c>
      <c r="D21" s="17" t="n"/>
    </row>
    <row r="22">
      <c r="A22" s="26" t="n">
        <v>46106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46113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46120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46121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6" t="n">
        <v>46127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46128</v>
      </c>
      <c r="B27" s="17" t="inlineStr">
        <is>
          <t>četvrtak</t>
        </is>
      </c>
      <c r="C27" s="11" t="inlineStr">
        <is>
          <t>Staklo</t>
        </is>
      </c>
      <c r="D27" s="17" t="n"/>
    </row>
    <row r="28">
      <c r="A28" s="26" t="n">
        <v>46134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46135</v>
      </c>
      <c r="B29" s="17" t="inlineStr">
        <is>
          <t>četvrtak</t>
        </is>
      </c>
      <c r="C29" s="9" t="inlineStr">
        <is>
          <t>Plastika i metal</t>
        </is>
      </c>
      <c r="D29" s="17" t="n"/>
    </row>
    <row r="30">
      <c r="A30" s="26" t="n">
        <v>46141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46148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46149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46155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46156</v>
      </c>
      <c r="B34" s="17" t="inlineStr">
        <is>
          <t>četvrtak</t>
        </is>
      </c>
      <c r="C34" s="11" t="inlineStr">
        <is>
          <t>Staklo</t>
        </is>
      </c>
      <c r="D34" s="17" t="n"/>
    </row>
    <row r="35">
      <c r="A35" s="26" t="n">
        <v>46162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46163</v>
      </c>
      <c r="B36" s="17" t="inlineStr">
        <is>
          <t>četvrtak</t>
        </is>
      </c>
      <c r="C36" s="9" t="inlineStr">
        <is>
          <t>Plastika i metal</t>
        </is>
      </c>
      <c r="D36" s="17" t="n"/>
    </row>
    <row r="37">
      <c r="A37" s="26" t="n">
        <v>46169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46176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46179</v>
      </c>
      <c r="B39" s="17" t="inlineStr">
        <is>
          <t>subota</t>
        </is>
      </c>
      <c r="C39" s="10" t="inlineStr">
        <is>
          <t>Papir i karton</t>
        </is>
      </c>
      <c r="D39" s="17" t="inlineStr">
        <is>
          <t>Pomaknuto zbog neradnog dana u tjednu</t>
        </is>
      </c>
    </row>
    <row r="40">
      <c r="A40" s="26" t="n">
        <v>46183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46184</v>
      </c>
      <c r="B41" s="17" t="inlineStr">
        <is>
          <t>četvrtak</t>
        </is>
      </c>
      <c r="C41" s="11" t="inlineStr">
        <is>
          <t>Staklo</t>
        </is>
      </c>
      <c r="D41" s="17" t="n"/>
    </row>
    <row r="42">
      <c r="A42" s="26" t="n">
        <v>46190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46191</v>
      </c>
      <c r="B43" s="17" t="inlineStr">
        <is>
          <t>četvrtak</t>
        </is>
      </c>
      <c r="C43" s="9" t="inlineStr">
        <is>
          <t>Plastika i metal</t>
        </is>
      </c>
      <c r="D43" s="17" t="n"/>
    </row>
    <row r="44">
      <c r="A44" s="26" t="n">
        <v>46197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46204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46211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46212</v>
      </c>
      <c r="B47" s="17" t="inlineStr">
        <is>
          <t>četvrtak</t>
        </is>
      </c>
      <c r="C47" s="10" t="inlineStr">
        <is>
          <t>Papir i karton</t>
        </is>
      </c>
      <c r="D47" s="17" t="n"/>
    </row>
    <row r="48">
      <c r="A48" s="26" t="n">
        <v>46218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46219</v>
      </c>
      <c r="B49" s="17" t="inlineStr">
        <is>
          <t>četvrtak</t>
        </is>
      </c>
      <c r="C49" s="11" t="inlineStr">
        <is>
          <t>Staklo</t>
        </is>
      </c>
      <c r="D49" s="17" t="n"/>
    </row>
    <row r="50">
      <c r="A50" s="26" t="n">
        <v>46225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46226</v>
      </c>
      <c r="B51" s="17" t="inlineStr">
        <is>
          <t>četvrtak</t>
        </is>
      </c>
      <c r="C51" s="9" t="inlineStr">
        <is>
          <t>Plastika i metal</t>
        </is>
      </c>
      <c r="D51" s="17" t="n"/>
    </row>
    <row r="52">
      <c r="A52" s="26" t="n">
        <v>46232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46240</v>
      </c>
      <c r="B53" s="17" t="inlineStr">
        <is>
          <t>četvrtak</t>
        </is>
      </c>
      <c r="C53" s="5" t="inlineStr">
        <is>
          <t>Miješani komunalni otpad</t>
        </is>
      </c>
      <c r="D53" s="17" t="inlineStr">
        <is>
          <t>Pomaknuto zbog neradnog dana u tjednu</t>
        </is>
      </c>
    </row>
    <row r="54">
      <c r="A54" s="26" t="n">
        <v>46240</v>
      </c>
      <c r="B54" s="17" t="inlineStr">
        <is>
          <t>četvrtak</t>
        </is>
      </c>
      <c r="C54" s="10" t="inlineStr">
        <is>
          <t>Papir i karton</t>
        </is>
      </c>
      <c r="D54" s="17" t="inlineStr">
        <is>
          <t>Pomaknuto zbog neradnog dana u tjednu</t>
        </is>
      </c>
    </row>
    <row r="55">
      <c r="A55" s="26" t="n">
        <v>46246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46247</v>
      </c>
      <c r="B56" s="17" t="inlineStr">
        <is>
          <t>četvrtak</t>
        </is>
      </c>
      <c r="C56" s="11" t="inlineStr">
        <is>
          <t>Staklo</t>
        </is>
      </c>
      <c r="D56" s="17" t="n"/>
    </row>
    <row r="57">
      <c r="A57" s="26" t="n">
        <v>46253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46254</v>
      </c>
      <c r="B58" s="17" t="inlineStr">
        <is>
          <t>četvrtak</t>
        </is>
      </c>
      <c r="C58" s="9" t="inlineStr">
        <is>
          <t>Plastika i metal</t>
        </is>
      </c>
      <c r="D58" s="17" t="n"/>
    </row>
    <row r="59">
      <c r="A59" s="26" t="n">
        <v>46260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46267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46274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46275</v>
      </c>
      <c r="B62" s="17" t="inlineStr">
        <is>
          <t>četvrtak</t>
        </is>
      </c>
      <c r="C62" s="10" t="inlineStr">
        <is>
          <t>Papir i karton</t>
        </is>
      </c>
      <c r="D62" s="17" t="n"/>
    </row>
    <row r="63">
      <c r="A63" s="26" t="n">
        <v>46281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46282</v>
      </c>
      <c r="B64" s="17" t="inlineStr">
        <is>
          <t>četvrtak</t>
        </is>
      </c>
      <c r="C64" s="11" t="inlineStr">
        <is>
          <t>Staklo</t>
        </is>
      </c>
      <c r="D64" s="17" t="n"/>
    </row>
    <row r="65">
      <c r="A65" s="26" t="n">
        <v>46288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46289</v>
      </c>
      <c r="B66" s="17" t="inlineStr">
        <is>
          <t>četvrtak</t>
        </is>
      </c>
      <c r="C66" s="9" t="inlineStr">
        <is>
          <t>Plastika i metal</t>
        </is>
      </c>
      <c r="D66" s="17" t="n"/>
    </row>
    <row r="67">
      <c r="A67" s="26" t="n">
        <v>46295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46302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46303</v>
      </c>
      <c r="B69" s="17" t="inlineStr">
        <is>
          <t>četvrtak</t>
        </is>
      </c>
      <c r="C69" s="10" t="inlineStr">
        <is>
          <t>Papir i karton</t>
        </is>
      </c>
      <c r="D69" s="17" t="n"/>
    </row>
    <row r="70">
      <c r="A70" s="26" t="n">
        <v>46309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46310</v>
      </c>
      <c r="B71" s="17" t="inlineStr">
        <is>
          <t>četvrtak</t>
        </is>
      </c>
      <c r="C71" s="11" t="inlineStr">
        <is>
          <t>Staklo</t>
        </is>
      </c>
      <c r="D71" s="17" t="n"/>
    </row>
    <row r="72">
      <c r="A72" s="26" t="n">
        <v>46316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46317</v>
      </c>
      <c r="B73" s="17" t="inlineStr">
        <is>
          <t>četvrtak</t>
        </is>
      </c>
      <c r="C73" s="9" t="inlineStr">
        <is>
          <t>Plastika i metal</t>
        </is>
      </c>
      <c r="D73" s="17" t="n"/>
    </row>
    <row r="74">
      <c r="A74" s="26" t="n">
        <v>46323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6" t="n">
        <v>46330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46331</v>
      </c>
      <c r="B76" s="17" t="inlineStr">
        <is>
          <t>četvrtak</t>
        </is>
      </c>
      <c r="C76" s="10" t="inlineStr">
        <is>
          <t>Papir i karton</t>
        </is>
      </c>
      <c r="D76" s="17" t="n"/>
    </row>
    <row r="77">
      <c r="A77" s="26" t="n">
        <v>46337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46338</v>
      </c>
      <c r="B78" s="17" t="inlineStr">
        <is>
          <t>četvrtak</t>
        </is>
      </c>
      <c r="C78" s="11" t="inlineStr">
        <is>
          <t>Staklo</t>
        </is>
      </c>
      <c r="D78" s="17" t="n"/>
    </row>
    <row r="79">
      <c r="A79" s="26" t="n">
        <v>46345</v>
      </c>
      <c r="B79" s="17" t="inlineStr">
        <is>
          <t>četvrtak</t>
        </is>
      </c>
      <c r="C79" s="5" t="inlineStr">
        <is>
          <t>Miješani komunalni otpad</t>
        </is>
      </c>
      <c r="D79" s="17" t="inlineStr">
        <is>
          <t>Pomaknuto zbog neradnog dana u tjednu</t>
        </is>
      </c>
    </row>
    <row r="80">
      <c r="A80" s="26" t="n">
        <v>46345</v>
      </c>
      <c r="B80" s="17" t="inlineStr">
        <is>
          <t>četvrtak</t>
        </is>
      </c>
      <c r="C80" s="9" t="inlineStr">
        <is>
          <t>Plastika i metal</t>
        </is>
      </c>
      <c r="D80" s="17" t="inlineStr">
        <is>
          <t>Pomaknuto zbog neradnog dana u tjednu</t>
        </is>
      </c>
    </row>
    <row r="81">
      <c r="A81" s="26" t="n">
        <v>46351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46358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6" t="n">
        <v>46365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46366</v>
      </c>
      <c r="B84" s="17" t="inlineStr">
        <is>
          <t>četvrtak</t>
        </is>
      </c>
      <c r="C84" s="10" t="inlineStr">
        <is>
          <t>Papir i karton</t>
        </is>
      </c>
      <c r="D84" s="17" t="n"/>
    </row>
    <row r="85">
      <c r="A85" s="26" t="n">
        <v>46372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46373</v>
      </c>
      <c r="B86" s="17" t="inlineStr">
        <is>
          <t>četvrtak</t>
        </is>
      </c>
      <c r="C86" s="11" t="inlineStr">
        <is>
          <t>Staklo</t>
        </is>
      </c>
      <c r="D86" s="17" t="n"/>
    </row>
    <row r="87">
      <c r="A87" s="26" t="n">
        <v>46379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46380</v>
      </c>
      <c r="B88" s="17" t="inlineStr">
        <is>
          <t>četvrtak</t>
        </is>
      </c>
      <c r="C88" s="9" t="inlineStr">
        <is>
          <t>Plastika i metal</t>
        </is>
      </c>
      <c r="D88" s="17" t="n"/>
    </row>
    <row r="89">
      <c r="A89" s="26" t="n">
        <v>46386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(Novska): ulice i naselja</t>
        </is>
      </c>
    </row>
    <row r="4">
      <c r="A4" s="4" t="inlineStr">
        <is>
          <t>Ulica / naselje</t>
        </is>
      </c>
    </row>
    <row r="5">
      <c r="A5" s="17" t="inlineStr">
        <is>
          <t>S. Grabovac</t>
        </is>
      </c>
    </row>
    <row r="6">
      <c r="A6" s="17" t="inlineStr">
        <is>
          <t>Paklenica</t>
        </is>
      </c>
    </row>
    <row r="7">
      <c r="A7" s="17" t="inlineStr">
        <is>
          <t>Voćarica</t>
        </is>
      </c>
    </row>
    <row r="8">
      <c r="A8" s="17" t="inlineStr">
        <is>
          <t>Jazavica</t>
        </is>
      </c>
    </row>
    <row r="9">
      <c r="A9" s="17" t="inlineStr">
        <is>
          <t>Roždanik</t>
        </is>
      </c>
    </row>
    <row r="10">
      <c r="A10" s="17" t="inlineStr">
        <is>
          <t>Rajić</t>
        </is>
      </c>
    </row>
    <row r="11">
      <c r="A11" s="17" t="inlineStr">
        <is>
          <t>Borovac</t>
        </is>
      </c>
    </row>
    <row r="12">
      <c r="A12" s="17" t="inlineStr">
        <is>
          <t>Stari Grabovac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2026-10-07T18:26:28Z</dcterms:created>
  <dcterms:modified xmlns:dcterms="http://purl.org/dc/terms/" xmlns:xsi="http://www.w3.org/2001/XMLSchema-instance" xsi:type="dcterms:W3CDTF">2026-10-07T18:26:28Z</dcterms:modified>
</cp:coreProperties>
</file>
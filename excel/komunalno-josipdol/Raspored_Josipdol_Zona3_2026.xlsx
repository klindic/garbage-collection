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'Raspored'!$A$4:$G$70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IFERROR(1/(1/_xlfn.MINIFS(Raspored!$A$5:$A$70,Raspored!$D$5:$D$70,"x",Raspored!$A$5:$A$70,"&gt;="&amp;$B$3)),"nema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COUNTIF(Raspored!$D$5:$D$70,"x")</f>
        <v/>
      </c>
    </row>
    <row r="7">
      <c r="A7" s="9" t="inlineStr">
        <is>
          <t>Plastika i metalna ambalaža (žuta)</t>
        </is>
      </c>
      <c r="B7" s="6">
        <f>IFERROR(1/(1/_xlfn.MINIFS(Raspored!$A$5:$A$70,Raspored!$E$5:$E$70,"x",Raspored!$A$5:$A$70,"&gt;="&amp;$B$3)),"nema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COUNTIF(Raspored!$E$5:$E$70,"x")</f>
        <v/>
      </c>
    </row>
    <row r="8">
      <c r="A8" s="10" t="inlineStr">
        <is>
          <t>Papir i karton (plava)</t>
        </is>
      </c>
      <c r="B8" s="6">
        <f>IFERROR(1/(1/_xlfn.MINIFS(Raspored!$A$5:$A$70,Raspored!$F$5:$F$70,"x",Raspored!$A$5:$A$70,"&gt;="&amp;$B$3)),"nema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metalna ambalaža (žuta)</t>
        </is>
      </c>
      <c r="D11" s="14" t="inlineStr">
        <is>
          <t>Papir i karton (plava)</t>
        </is>
      </c>
    </row>
    <row r="12">
      <c r="A12" s="15" t="inlineStr">
        <is>
          <t>siječanj</t>
        </is>
      </c>
      <c r="B12" s="7">
        <f>COUNTIFS(Raspored!$C$5:$C$70,$A12,Raspored!$D$5:$D$70,"x")</f>
        <v/>
      </c>
      <c r="C12" s="7">
        <f>COUNTIFS(Raspored!$C$5:$C$70,$A12,Raspored!$E$5:$E$70,"x")</f>
        <v/>
      </c>
      <c r="D12" s="7">
        <f>COUNTIFS(Raspored!$C$5:$C$70,$A12,Raspored!$F$5:$F$70,"x")</f>
        <v/>
      </c>
    </row>
    <row r="13">
      <c r="A13" s="15" t="inlineStr">
        <is>
          <t>veljača</t>
        </is>
      </c>
      <c r="B13" s="7">
        <f>COUNTIFS(Raspored!$C$5:$C$70,$A13,Raspored!$D$5:$D$70,"x")</f>
        <v/>
      </c>
      <c r="C13" s="7">
        <f>COUNTIFS(Raspored!$C$5:$C$70,$A13,Raspored!$E$5:$E$70,"x")</f>
        <v/>
      </c>
      <c r="D13" s="7">
        <f>COUNTIFS(Raspored!$C$5:$C$70,$A13,Raspored!$F$5:$F$70,"x")</f>
        <v/>
      </c>
    </row>
    <row r="14">
      <c r="A14" s="15" t="inlineStr">
        <is>
          <t>ožujak</t>
        </is>
      </c>
      <c r="B14" s="7">
        <f>COUNTIFS(Raspored!$C$5:$C$70,$A14,Raspored!$D$5:$D$70,"x")</f>
        <v/>
      </c>
      <c r="C14" s="7">
        <f>COUNTIFS(Raspored!$C$5:$C$70,$A14,Raspored!$E$5:$E$70,"x")</f>
        <v/>
      </c>
      <c r="D14" s="7">
        <f>COUNTIFS(Raspored!$C$5:$C$70,$A14,Raspored!$F$5:$F$70,"x")</f>
        <v/>
      </c>
    </row>
    <row r="15">
      <c r="A15" s="15" t="inlineStr">
        <is>
          <t>travanj</t>
        </is>
      </c>
      <c r="B15" s="7">
        <f>COUNTIFS(Raspored!$C$5:$C$70,$A15,Raspored!$D$5:$D$70,"x")</f>
        <v/>
      </c>
      <c r="C15" s="7">
        <f>COUNTIFS(Raspored!$C$5:$C$70,$A15,Raspored!$E$5:$E$70,"x")</f>
        <v/>
      </c>
      <c r="D15" s="7">
        <f>COUNTIFS(Raspored!$C$5:$C$70,$A15,Raspored!$F$5:$F$70,"x")</f>
        <v/>
      </c>
    </row>
    <row r="16">
      <c r="A16" s="15" t="inlineStr">
        <is>
          <t>svibanj</t>
        </is>
      </c>
      <c r="B16" s="7">
        <f>COUNTIFS(Raspored!$C$5:$C$70,$A16,Raspored!$D$5:$D$70,"x")</f>
        <v/>
      </c>
      <c r="C16" s="7">
        <f>COUNTIFS(Raspored!$C$5:$C$70,$A16,Raspored!$E$5:$E$70,"x")</f>
        <v/>
      </c>
      <c r="D16" s="7">
        <f>COUNTIFS(Raspored!$C$5:$C$70,$A16,Raspored!$F$5:$F$70,"x")</f>
        <v/>
      </c>
    </row>
    <row r="17">
      <c r="A17" s="15" t="inlineStr">
        <is>
          <t>lipanj</t>
        </is>
      </c>
      <c r="B17" s="7">
        <f>COUNTIFS(Raspored!$C$5:$C$70,$A17,Raspored!$D$5:$D$70,"x")</f>
        <v/>
      </c>
      <c r="C17" s="7">
        <f>COUNTIFS(Raspored!$C$5:$C$70,$A17,Raspored!$E$5:$E$70,"x")</f>
        <v/>
      </c>
      <c r="D17" s="7">
        <f>COUNTIFS(Raspored!$C$5:$C$70,$A17,Raspored!$F$5:$F$70,"x")</f>
        <v/>
      </c>
    </row>
    <row r="18">
      <c r="A18" s="15" t="inlineStr">
        <is>
          <t>srpanj</t>
        </is>
      </c>
      <c r="B18" s="7">
        <f>COUNTIFS(Raspored!$C$5:$C$70,$A18,Raspored!$D$5:$D$70,"x")</f>
        <v/>
      </c>
      <c r="C18" s="7">
        <f>COUNTIFS(Raspored!$C$5:$C$70,$A18,Raspored!$E$5:$E$70,"x")</f>
        <v/>
      </c>
      <c r="D18" s="7">
        <f>COUNTIFS(Raspored!$C$5:$C$70,$A18,Raspored!$F$5:$F$70,"x")</f>
        <v/>
      </c>
    </row>
    <row r="19">
      <c r="A19" s="15" t="inlineStr">
        <is>
          <t>kolovoz</t>
        </is>
      </c>
      <c r="B19" s="7">
        <f>COUNTIFS(Raspored!$C$5:$C$70,$A19,Raspored!$D$5:$D$70,"x")</f>
        <v/>
      </c>
      <c r="C19" s="7">
        <f>COUNTIFS(Raspored!$C$5:$C$70,$A19,Raspored!$E$5:$E$70,"x")</f>
        <v/>
      </c>
      <c r="D19" s="7">
        <f>COUNTIFS(Raspored!$C$5:$C$70,$A19,Raspored!$F$5:$F$70,"x")</f>
        <v/>
      </c>
    </row>
    <row r="20">
      <c r="A20" s="15" t="inlineStr">
        <is>
          <t>rujan</t>
        </is>
      </c>
      <c r="B20" s="7">
        <f>COUNTIFS(Raspored!$C$5:$C$70,$A20,Raspored!$D$5:$D$70,"x")</f>
        <v/>
      </c>
      <c r="C20" s="7">
        <f>COUNTIFS(Raspored!$C$5:$C$70,$A20,Raspored!$E$5:$E$70,"x")</f>
        <v/>
      </c>
      <c r="D20" s="7">
        <f>COUNTIFS(Raspored!$C$5:$C$70,$A20,Raspored!$F$5:$F$70,"x")</f>
        <v/>
      </c>
    </row>
    <row r="21">
      <c r="A21" s="15" t="inlineStr">
        <is>
          <t>listopad</t>
        </is>
      </c>
      <c r="B21" s="7">
        <f>COUNTIFS(Raspored!$C$5:$C$70,$A21,Raspored!$D$5:$D$70,"x")</f>
        <v/>
      </c>
      <c r="C21" s="7">
        <f>COUNTIFS(Raspored!$C$5:$C$70,$A21,Raspored!$E$5:$E$70,"x")</f>
        <v/>
      </c>
      <c r="D21" s="7">
        <f>COUNTIFS(Raspored!$C$5:$C$70,$A21,Raspored!$F$5:$F$70,"x")</f>
        <v/>
      </c>
    </row>
    <row r="22">
      <c r="A22" s="15" t="inlineStr">
        <is>
          <t>studeni</t>
        </is>
      </c>
      <c r="B22" s="7">
        <f>COUNTIFS(Raspored!$C$5:$C$70,$A22,Raspored!$D$5:$D$70,"x")</f>
        <v/>
      </c>
      <c r="C22" s="7">
        <f>COUNTIFS(Raspored!$C$5:$C$70,$A22,Raspored!$E$5:$E$70,"x")</f>
        <v/>
      </c>
      <c r="D22" s="7">
        <f>COUNTIFS(Raspored!$C$5:$C$70,$A22,Raspored!$F$5:$F$70,"x")</f>
        <v/>
      </c>
    </row>
    <row r="23">
      <c r="A23" s="15" t="inlineStr">
        <is>
          <t>prosinac</t>
        </is>
      </c>
      <c r="B23" s="7">
        <f>COUNTIFS(Raspored!$C$5:$C$70,$A23,Raspored!$D$5:$D$70,"x")</f>
        <v/>
      </c>
      <c r="C23" s="7">
        <f>COUNTIFS(Raspored!$C$5:$C$70,$A23,Raspored!$E$5:$E$70,"x")</f>
        <v/>
      </c>
      <c r="D23" s="7">
        <f>COUNTIFS(Raspored!$C$5:$C$70,$A23,Raspored!$F$5:$F$70,"x")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jednom tjedno prema danu naselja (ponedjeljak, utorak ili četvrtak); srijedom i petkom nema odvoza.</t>
        </is>
      </c>
    </row>
    <row r="29">
      <c r="A29" s="19" t="inlineStr">
        <is>
          <t>• Plastika i metalna ambalaža te papir i karton odvoze se istim danom, zadnji petak u mjesecu za sva naselja (u prosincu 18.12. zbog Božića).</t>
        </is>
      </c>
    </row>
    <row r="30">
      <c r="A30" s="19" t="inlineStr">
        <is>
          <t>• Promjene termina (blagdani, kvarovi vozila) objavljuju se na komunalnojosipdol.hr i Facebook profilu; objavljene promjene su upisane. Za blagdane bez obavijesti datumi nisu pomaknuti.</t>
        </is>
      </c>
    </row>
    <row r="31">
      <c r="A31" s="19" t="inlineStr">
        <is>
          <t>• Komunalno Josipdol d.o.o., Ogulinska 12, Josipdol, tel. 047 581 298, komunalno@josipdol.hr.</t>
        </is>
      </c>
    </row>
    <row r="32">
      <c r="A32" s="19" t="inlineStr">
        <is>
          <t>• Zbog kvara vozila odvoz miješanog otpada nije obavljen 16.02., 17.02. (ti datumi su izostavljeni).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(Josipdol)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metalna ambalaža (žuta)</t>
        </is>
      </c>
      <c r="F4" s="14" t="inlineStr">
        <is>
          <t>Papir i karton (plava)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46024</v>
      </c>
      <c r="B6" s="23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46108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46114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46136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46142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46149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46177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46199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46205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46240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46262</v>
      </c>
      <c r="B48" s="7" t="inlineStr">
        <is>
          <t>petak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46268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46296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46303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46331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46359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22" t="n">
        <v>46374</v>
      </c>
      <c r="B68" s="23" t="inlineStr">
        <is>
          <t>petak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21" t="inlineStr">
        <is>
          <t>Pomaknuto zbog neradnog dana u tjednu</t>
        </is>
      </c>
    </row>
    <row r="69">
      <c r="A69" s="6" t="n">
        <v>46380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46387</v>
      </c>
      <c r="B70" s="7" t="inlineStr">
        <is>
          <t>četvrtak</t>
        </is>
      </c>
      <c r="C70" s="7" t="inlineStr">
        <is>
          <t>prosinac</t>
        </is>
      </c>
      <c r="D70" s="7" t="inlineStr">
        <is>
          <t>x</t>
        </is>
      </c>
      <c r="E70" s="7" t="n"/>
      <c r="F70" s="7" t="n"/>
      <c r="G70" s="21" t="n"/>
    </row>
  </sheetData>
  <autoFilter ref="A4:G70"/>
  <conditionalFormatting sqref="D5:D70">
    <cfRule type="expression" priority="1" dxfId="0">
      <formula>D5="x"</formula>
    </cfRule>
  </conditionalFormatting>
  <conditionalFormatting sqref="E5:E70">
    <cfRule type="expression" priority="2" dxfId="1">
      <formula>E5="x"</formula>
    </cfRule>
  </conditionalFormatting>
  <conditionalFormatting sqref="F5:F70">
    <cfRule type="expression" priority="3" dxfId="2">
      <formula>F5="x"</formula>
    </cfRule>
  </conditionalFormatting>
  <conditionalFormatting sqref="A5:G7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9" t="inlineStr">
        <is>
          <t>Plastika i metalna ambalaža (žuta)</t>
        </is>
      </c>
      <c r="D8" s="15" t="n"/>
    </row>
    <row r="9">
      <c r="A9" s="24" t="n">
        <v>46052</v>
      </c>
      <c r="B9" s="15" t="inlineStr">
        <is>
          <t>petak</t>
        </is>
      </c>
      <c r="C9" s="10" t="inlineStr">
        <is>
          <t>Papir i karton (plava)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9" t="inlineStr">
        <is>
          <t>Plastika i metalna ambalaža (žuta)</t>
        </is>
      </c>
      <c r="D14" s="15" t="n"/>
    </row>
    <row r="15">
      <c r="A15" s="24" t="n">
        <v>46080</v>
      </c>
      <c r="B15" s="15" t="inlineStr">
        <is>
          <t>petak</t>
        </is>
      </c>
      <c r="C15" s="10" t="inlineStr">
        <is>
          <t>Papir i karton (plava)</t>
        </is>
      </c>
      <c r="D15" s="15" t="n"/>
    </row>
    <row r="16">
      <c r="A16" s="24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9" t="inlineStr">
        <is>
          <t>Plastika i metalna ambalaža (žuta)</t>
        </is>
      </c>
      <c r="D20" s="15" t="n"/>
    </row>
    <row r="21">
      <c r="A21" s="24" t="n">
        <v>46108</v>
      </c>
      <c r="B21" s="15" t="inlineStr">
        <is>
          <t>petak</t>
        </is>
      </c>
      <c r="C21" s="10" t="inlineStr">
        <is>
          <t>Papir i karton (plava)</t>
        </is>
      </c>
      <c r="D21" s="15" t="n"/>
    </row>
    <row r="22">
      <c r="A22" s="24" t="n">
        <v>46114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9" t="inlineStr">
        <is>
          <t>Plastika i metalna ambalaža (žuta)</t>
        </is>
      </c>
      <c r="D26" s="15" t="n"/>
    </row>
    <row r="27">
      <c r="A27" s="24" t="n">
        <v>46136</v>
      </c>
      <c r="B27" s="15" t="inlineStr">
        <is>
          <t>petak</t>
        </is>
      </c>
      <c r="C27" s="10" t="inlineStr">
        <is>
          <t>Papir i karton (plava)</t>
        </is>
      </c>
      <c r="D27" s="15" t="n"/>
    </row>
    <row r="28">
      <c r="A28" s="24" t="n">
        <v>46142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46170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9" t="inlineStr">
        <is>
          <t>Plastika i metalna ambalaža (žuta)</t>
        </is>
      </c>
      <c r="D33" s="15" t="n"/>
    </row>
    <row r="34">
      <c r="A34" s="24" t="n">
        <v>46171</v>
      </c>
      <c r="B34" s="15" t="inlineStr">
        <is>
          <t>petak</t>
        </is>
      </c>
      <c r="C34" s="10" t="inlineStr">
        <is>
          <t>Papir i karton (plava)</t>
        </is>
      </c>
      <c r="D34" s="15" t="n"/>
    </row>
    <row r="35">
      <c r="A35" s="24" t="n">
        <v>46177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9" t="inlineStr">
        <is>
          <t>Plastika i metalna ambalaža (žuta)</t>
        </is>
      </c>
      <c r="D39" s="15" t="n"/>
    </row>
    <row r="40">
      <c r="A40" s="24" t="n">
        <v>46199</v>
      </c>
      <c r="B40" s="15" t="inlineStr">
        <is>
          <t>petak</t>
        </is>
      </c>
      <c r="C40" s="10" t="inlineStr">
        <is>
          <t>Papir i karton (plava)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46233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9" t="inlineStr">
        <is>
          <t>Plastika i metalna ambalaža (žuta)</t>
        </is>
      </c>
      <c r="D46" s="15" t="n"/>
    </row>
    <row r="47">
      <c r="A47" s="24" t="n">
        <v>46234</v>
      </c>
      <c r="B47" s="15" t="inlineStr">
        <is>
          <t>petak</t>
        </is>
      </c>
      <c r="C47" s="10" t="inlineStr">
        <is>
          <t>Papir i karton (plava)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46261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9" t="inlineStr">
        <is>
          <t>Plastika i metalna ambalaža (žuta)</t>
        </is>
      </c>
      <c r="D52" s="15" t="n"/>
    </row>
    <row r="53">
      <c r="A53" s="24" t="n">
        <v>46262</v>
      </c>
      <c r="B53" s="15" t="inlineStr">
        <is>
          <t>petak</t>
        </is>
      </c>
      <c r="C53" s="10" t="inlineStr">
        <is>
          <t>Papir i karton (plava)</t>
        </is>
      </c>
      <c r="D53" s="15" t="n"/>
    </row>
    <row r="54">
      <c r="A54" s="24" t="n">
        <v>46268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9" t="inlineStr">
        <is>
          <t>Plastika i metalna ambalaža (žuta)</t>
        </is>
      </c>
      <c r="D58" s="15" t="n"/>
    </row>
    <row r="59">
      <c r="A59" s="24" t="n">
        <v>46290</v>
      </c>
      <c r="B59" s="15" t="inlineStr">
        <is>
          <t>petak</t>
        </is>
      </c>
      <c r="C59" s="10" t="inlineStr">
        <is>
          <t>Papir i karton (plava)</t>
        </is>
      </c>
      <c r="D59" s="15" t="n"/>
    </row>
    <row r="60">
      <c r="A60" s="24" t="n">
        <v>46296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46303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46317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46324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9" t="inlineStr">
        <is>
          <t>Plastika i metalna ambalaža (žuta)</t>
        </is>
      </c>
      <c r="D65" s="15" t="n"/>
    </row>
    <row r="66">
      <c r="A66" s="24" t="n">
        <v>46325</v>
      </c>
      <c r="B66" s="15" t="inlineStr">
        <is>
          <t>petak</t>
        </is>
      </c>
      <c r="C66" s="10" t="inlineStr">
        <is>
          <t>Papir i karton (plava)</t>
        </is>
      </c>
      <c r="D66" s="15" t="n"/>
    </row>
    <row r="67">
      <c r="A67" s="24" t="n">
        <v>46331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9" t="inlineStr">
        <is>
          <t>Plastika i metalna ambalaža (žuta)</t>
        </is>
      </c>
      <c r="D71" s="15" t="n"/>
    </row>
    <row r="72">
      <c r="A72" s="24" t="n">
        <v>46353</v>
      </c>
      <c r="B72" s="15" t="inlineStr">
        <is>
          <t>petak</t>
        </is>
      </c>
      <c r="C72" s="10" t="inlineStr">
        <is>
          <t>Papir i karton (plava)</t>
        </is>
      </c>
      <c r="D72" s="15" t="n"/>
    </row>
    <row r="73">
      <c r="A73" s="24" t="n">
        <v>46359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46366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9" t="inlineStr">
        <is>
          <t>Plastika i metalna ambalaža (žuta)</t>
        </is>
      </c>
      <c r="D76" s="15" t="inlineStr">
        <is>
          <t>Pomaknuto zbog neradnog dana u tjednu</t>
        </is>
      </c>
    </row>
    <row r="77">
      <c r="A77" s="24" t="n">
        <v>46374</v>
      </c>
      <c r="B77" s="15" t="inlineStr">
        <is>
          <t>petak</t>
        </is>
      </c>
      <c r="C77" s="10" t="inlineStr">
        <is>
          <t>Papir i karton (plava)</t>
        </is>
      </c>
      <c r="D77" s="15" t="inlineStr">
        <is>
          <t>Pomaknuto zbog neradnog dana u tjednu</t>
        </is>
      </c>
    </row>
    <row r="78">
      <c r="A78" s="24" t="n">
        <v>46380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46387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(Josipdol): ulice i naselja</t>
        </is>
      </c>
    </row>
    <row r="4">
      <c r="A4" s="4" t="inlineStr">
        <is>
          <t>Ulica / naselje</t>
        </is>
      </c>
    </row>
    <row r="5">
      <c r="A5" s="15" t="inlineStr">
        <is>
          <t>Josipdol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
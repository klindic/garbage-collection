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COUNTIFS(Raspored!$C$5:$C$109,$A10,Raspored!$D$5:$D$109,"x")</f>
        <v/>
      </c>
    </row>
    <row r="11">
      <c r="A11" s="11" t="inlineStr">
        <is>
          <t>veljača</t>
        </is>
      </c>
      <c r="B11" s="7">
        <f>COUNTIFS(Raspored!$C$5:$C$109,$A11,Raspored!$D$5:$D$109,"x")</f>
        <v/>
      </c>
    </row>
    <row r="12">
      <c r="A12" s="11" t="inlineStr">
        <is>
          <t>ožujak</t>
        </is>
      </c>
      <c r="B12" s="7">
        <f>COUNTIFS(Raspored!$C$5:$C$109,$A12,Raspored!$D$5:$D$109,"x")</f>
        <v/>
      </c>
    </row>
    <row r="13">
      <c r="A13" s="11" t="inlineStr">
        <is>
          <t>travanj</t>
        </is>
      </c>
      <c r="B13" s="7">
        <f>COUNTIFS(Raspored!$C$5:$C$109,$A13,Raspored!$D$5:$D$109,"x")</f>
        <v/>
      </c>
    </row>
    <row r="14">
      <c r="A14" s="11" t="inlineStr">
        <is>
          <t>svibanj</t>
        </is>
      </c>
      <c r="B14" s="7">
        <f>COUNTIFS(Raspored!$C$5:$C$109,$A14,Raspored!$D$5:$D$109,"x")</f>
        <v/>
      </c>
    </row>
    <row r="15">
      <c r="A15" s="11" t="inlineStr">
        <is>
          <t>lipanj</t>
        </is>
      </c>
      <c r="B15" s="7">
        <f>COUNTIFS(Raspored!$C$5:$C$109,$A15,Raspored!$D$5:$D$109,"x")</f>
        <v/>
      </c>
    </row>
    <row r="16">
      <c r="A16" s="11" t="inlineStr">
        <is>
          <t>srpanj</t>
        </is>
      </c>
      <c r="B16" s="7">
        <f>COUNTIFS(Raspored!$C$5:$C$109,$A16,Raspored!$D$5:$D$109,"x")</f>
        <v/>
      </c>
    </row>
    <row r="17">
      <c r="A17" s="11" t="inlineStr">
        <is>
          <t>kolovoz</t>
        </is>
      </c>
      <c r="B17" s="7">
        <f>COUNTIFS(Raspored!$C$5:$C$109,$A17,Raspored!$D$5:$D$109,"x")</f>
        <v/>
      </c>
    </row>
    <row r="18">
      <c r="A18" s="11" t="inlineStr">
        <is>
          <t>rujan</t>
        </is>
      </c>
      <c r="B18" s="7">
        <f>COUNTIFS(Raspored!$C$5:$C$109,$A18,Raspored!$D$5:$D$109,"x")</f>
        <v/>
      </c>
    </row>
    <row r="19">
      <c r="A19" s="11" t="inlineStr">
        <is>
          <t>listopad</t>
        </is>
      </c>
      <c r="B19" s="7">
        <f>COUNTIFS(Raspored!$C$5:$C$109,$A19,Raspored!$D$5:$D$109,"x")</f>
        <v/>
      </c>
    </row>
    <row r="20">
      <c r="A20" s="11" t="inlineStr">
        <is>
          <t>studeni</t>
        </is>
      </c>
      <c r="B20" s="7">
        <f>COUNTIFS(Raspored!$C$5:$C$109,$A20,Raspored!$D$5:$D$109,"x")</f>
        <v/>
      </c>
    </row>
    <row r="21">
      <c r="A21" s="11" t="inlineStr">
        <is>
          <t>prosinac</t>
        </is>
      </c>
      <c r="B21" s="7">
        <f>COUNTIFS(Raspored!$C$5:$C$109,$A21,Raspored!$D$5:$D$109,"x")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četvrtkom).</t>
        </is>
      </c>
    </row>
    <row r="26">
      <c r="A26" s="15" t="inlineStr">
        <is>
          <t>• Miješani otpad iz kontejnera stambenih zgrada; plan ne navodi odvoz reciklabilnog otpada za kontejnere.</t>
        </is>
      </c>
    </row>
    <row r="27">
      <c r="A27" s="15" t="inlineStr">
        <is>
          <t>• Biootpad se na ovom području ne odvozi; preporučuje se kućno kompostiranje.</t>
        </is>
      </c>
    </row>
    <row r="28">
      <c r="A28" s="15" t="inlineStr">
        <is>
          <t>• Miješani komunalni otpad odvozi se jednom tjedno, a reciklabilni otpad (plavi i žuti spremnik) jednom mjesečno, okvirno od 07:00 do 15:30.</t>
        </is>
      </c>
    </row>
    <row r="29">
      <c r="A29" s="15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0">
      <c r="A30" s="15" t="inlineStr">
        <is>
          <t>• Glomazni otpad na zahtjev: 099/211-1146 (do 10 sati), info@komunalac-glina.hr.</t>
        </is>
      </c>
    </row>
    <row r="31">
      <c r="A31" s="15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2">
      <c r="A32" s="15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7 (Glina)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17" t="n">
        <v>46024</v>
      </c>
      <c r="B5" s="18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9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9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9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9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9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19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9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19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9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1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9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19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9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19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9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19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9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19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9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19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9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19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9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19" t="n"/>
    </row>
    <row r="32">
      <c r="A32" s="17" t="n">
        <v>46119</v>
      </c>
      <c r="B32" s="18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9" t="inlineStr">
        <is>
          <t>Pomaknuto zbog neradnog dana u tjednu</t>
        </is>
      </c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19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9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19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9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19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19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19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19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19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19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19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19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19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19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19" t="n"/>
    </row>
    <row r="49">
      <c r="A49" s="17" t="n">
        <v>46178</v>
      </c>
      <c r="B49" s="18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9" t="inlineStr">
        <is>
          <t>Pomaknuto zbog neradnog dana u tjednu</t>
        </is>
      </c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19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19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19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19" t="n"/>
    </row>
    <row r="54">
      <c r="A54" s="17" t="n">
        <v>46196</v>
      </c>
      <c r="B54" s="18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9" t="inlineStr">
        <is>
          <t>Pomaknuto zbog neradnog dana u tjednu</t>
        </is>
      </c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19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19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19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19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19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19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19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19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19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19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19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19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19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19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19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19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19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19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19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19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19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19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19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19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19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19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19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19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19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19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19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19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19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19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19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19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19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19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19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19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19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19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19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19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19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19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19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19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19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19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19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19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19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19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19" t="n"/>
    </row>
  </sheetData>
  <autoFilter ref="A4:E109"/>
  <conditionalFormatting sqref="D5:D109">
    <cfRule type="expression" priority="1" dxfId="0">
      <formula>D5="x"</formula>
    </cfRule>
  </conditionalFormatting>
  <conditionalFormatting sqref="A5:E10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inlineStr">
        <is>
          <t>Pomaknuto zbog neradnog dana u tjednu</t>
        </is>
      </c>
    </row>
    <row r="3">
      <c r="A3" s="20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20" t="n">
        <v>46030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20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20" t="n">
        <v>46037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20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20" t="n">
        <v>46044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20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20" t="n">
        <v>46051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20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20" t="n">
        <v>46058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20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20" t="n">
        <v>46065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20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20" t="n">
        <v>46072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20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20" t="n">
        <v>46079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20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20" t="n">
        <v>46086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20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20" t="n">
        <v>46093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20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20" t="n">
        <v>46100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20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20" t="n">
        <v>46107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20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20" t="n">
        <v>46114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20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inlineStr">
        <is>
          <t>Pomaknuto zbog neradnog dana u tjednu</t>
        </is>
      </c>
    </row>
    <row r="30">
      <c r="A30" s="20" t="n">
        <v>46121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20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20" t="n">
        <v>46128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20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20" t="n">
        <v>46135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20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20" t="n">
        <v>46142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20" t="n">
        <v>46146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20" t="n">
        <v>46149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20" t="n">
        <v>46153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20" t="n">
        <v>46156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20" t="n">
        <v>46160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20" t="n">
        <v>46163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20" t="n">
        <v>46167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20" t="n">
        <v>46170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20" t="n">
        <v>46174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20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inlineStr">
        <is>
          <t>Pomaknuto zbog neradnog dana u tjednu</t>
        </is>
      </c>
    </row>
    <row r="47">
      <c r="A47" s="20" t="n">
        <v>46181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20" t="n">
        <v>46184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20" t="n">
        <v>46188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20" t="n">
        <v>46191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20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inlineStr">
        <is>
          <t>Pomaknuto zbog neradnog dana u tjednu</t>
        </is>
      </c>
    </row>
    <row r="52">
      <c r="A52" s="20" t="n">
        <v>46198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20" t="n">
        <v>46202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20" t="n">
        <v>46205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  <row r="55">
      <c r="A55" s="20" t="n">
        <v>46209</v>
      </c>
      <c r="B55" s="11" t="inlineStr">
        <is>
          <t>ponedjeljak</t>
        </is>
      </c>
      <c r="C55" s="5" t="inlineStr">
        <is>
          <t>Miješani komunalni otpad</t>
        </is>
      </c>
      <c r="D55" s="11" t="n"/>
    </row>
    <row r="56">
      <c r="A56" s="20" t="n">
        <v>46212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20" t="n">
        <v>46216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20" t="n">
        <v>46219</v>
      </c>
      <c r="B58" s="11" t="inlineStr">
        <is>
          <t>četvrtak</t>
        </is>
      </c>
      <c r="C58" s="5" t="inlineStr">
        <is>
          <t>Miješani komunalni otpad</t>
        </is>
      </c>
      <c r="D58" s="11" t="n"/>
    </row>
    <row r="59">
      <c r="A59" s="20" t="n">
        <v>46223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20" t="n">
        <v>46226</v>
      </c>
      <c r="B60" s="11" t="inlineStr">
        <is>
          <t>četvrtak</t>
        </is>
      </c>
      <c r="C60" s="5" t="inlineStr">
        <is>
          <t>Miješani komunalni otpad</t>
        </is>
      </c>
      <c r="D60" s="11" t="n"/>
    </row>
    <row r="61">
      <c r="A61" s="20" t="n">
        <v>46230</v>
      </c>
      <c r="B61" s="11" t="inlineStr">
        <is>
          <t>ponedjeljak</t>
        </is>
      </c>
      <c r="C61" s="5" t="inlineStr">
        <is>
          <t>Miješani komunalni otpad</t>
        </is>
      </c>
      <c r="D61" s="11" t="n"/>
    </row>
    <row r="62">
      <c r="A62" s="20" t="n">
        <v>46233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20" t="n">
        <v>46237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20" t="n">
        <v>46240</v>
      </c>
      <c r="B64" s="11" t="inlineStr">
        <is>
          <t>četvrtak</t>
        </is>
      </c>
      <c r="C64" s="5" t="inlineStr">
        <is>
          <t>Miješani komunalni otpad</t>
        </is>
      </c>
      <c r="D64" s="11" t="n"/>
    </row>
    <row r="65">
      <c r="A65" s="20" t="n">
        <v>46244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20" t="n">
        <v>46247</v>
      </c>
      <c r="B66" s="11" t="inlineStr">
        <is>
          <t>četvrtak</t>
        </is>
      </c>
      <c r="C66" s="5" t="inlineStr">
        <is>
          <t>Miješani komunalni otpad</t>
        </is>
      </c>
      <c r="D66" s="11" t="n"/>
    </row>
    <row r="67">
      <c r="A67" s="20" t="n">
        <v>46251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20" t="n">
        <v>46254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20" t="n">
        <v>46258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20" t="n">
        <v>46261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20" t="n">
        <v>46265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20" t="n">
        <v>46268</v>
      </c>
      <c r="B72" s="11" t="inlineStr">
        <is>
          <t>četvrtak</t>
        </is>
      </c>
      <c r="C72" s="5" t="inlineStr">
        <is>
          <t>Miješani komunalni otpad</t>
        </is>
      </c>
      <c r="D72" s="11" t="n"/>
    </row>
    <row r="73">
      <c r="A73" s="20" t="n">
        <v>46272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20" t="n">
        <v>46275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20" t="n">
        <v>46279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20" t="n">
        <v>46282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20" t="n">
        <v>46286</v>
      </c>
      <c r="B77" s="11" t="inlineStr">
        <is>
          <t>ponedjeljak</t>
        </is>
      </c>
      <c r="C77" s="5" t="inlineStr">
        <is>
          <t>Miješani komunalni otpad</t>
        </is>
      </c>
      <c r="D77" s="11" t="n"/>
    </row>
    <row r="78">
      <c r="A78" s="20" t="n">
        <v>46289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  <row r="79">
      <c r="A79" s="20" t="n">
        <v>46293</v>
      </c>
      <c r="B79" s="11" t="inlineStr">
        <is>
          <t>ponedjeljak</t>
        </is>
      </c>
      <c r="C79" s="5" t="inlineStr">
        <is>
          <t>Miješani komunalni otpad</t>
        </is>
      </c>
      <c r="D79" s="11" t="n"/>
    </row>
    <row r="80">
      <c r="A80" s="20" t="n">
        <v>46296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20" t="n">
        <v>46300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20" t="n">
        <v>46303</v>
      </c>
      <c r="B82" s="11" t="inlineStr">
        <is>
          <t>četvrtak</t>
        </is>
      </c>
      <c r="C82" s="5" t="inlineStr">
        <is>
          <t>Miješani komunalni otpad</t>
        </is>
      </c>
      <c r="D82" s="11" t="n"/>
    </row>
    <row r="83">
      <c r="A83" s="20" t="n">
        <v>46307</v>
      </c>
      <c r="B83" s="11" t="inlineStr">
        <is>
          <t>ponedjeljak</t>
        </is>
      </c>
      <c r="C83" s="5" t="inlineStr">
        <is>
          <t>Miješani komunalni otpad</t>
        </is>
      </c>
      <c r="D83" s="11" t="n"/>
    </row>
    <row r="84">
      <c r="A84" s="20" t="n">
        <v>46310</v>
      </c>
      <c r="B84" s="11" t="inlineStr">
        <is>
          <t>četvrtak</t>
        </is>
      </c>
      <c r="C84" s="5" t="inlineStr">
        <is>
          <t>Miješani komunalni otpad</t>
        </is>
      </c>
      <c r="D84" s="11" t="n"/>
    </row>
    <row r="85">
      <c r="A85" s="20" t="n">
        <v>46314</v>
      </c>
      <c r="B85" s="11" t="inlineStr">
        <is>
          <t>ponedjeljak</t>
        </is>
      </c>
      <c r="C85" s="5" t="inlineStr">
        <is>
          <t>Miješani komunalni otpad</t>
        </is>
      </c>
      <c r="D85" s="11" t="n"/>
    </row>
    <row r="86">
      <c r="A86" s="20" t="n">
        <v>46317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20" t="n">
        <v>46321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20" t="n">
        <v>46324</v>
      </c>
      <c r="B88" s="11" t="inlineStr">
        <is>
          <t>četvrtak</t>
        </is>
      </c>
      <c r="C88" s="5" t="inlineStr">
        <is>
          <t>Miješani komunalni otpad</t>
        </is>
      </c>
      <c r="D88" s="11" t="n"/>
    </row>
    <row r="89">
      <c r="A89" s="20" t="n">
        <v>46328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20" t="n">
        <v>46331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20" t="n">
        <v>46335</v>
      </c>
      <c r="B91" s="11" t="inlineStr">
        <is>
          <t>ponedjeljak</t>
        </is>
      </c>
      <c r="C91" s="5" t="inlineStr">
        <is>
          <t>Miješani komunalni otpad</t>
        </is>
      </c>
      <c r="D91" s="11" t="n"/>
    </row>
    <row r="92">
      <c r="A92" s="20" t="n">
        <v>46338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20" t="n">
        <v>46342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20" t="n">
        <v>46345</v>
      </c>
      <c r="B94" s="11" t="inlineStr">
        <is>
          <t>četvrtak</t>
        </is>
      </c>
      <c r="C94" s="5" t="inlineStr">
        <is>
          <t>Miješani komunalni otpad</t>
        </is>
      </c>
      <c r="D94" s="11" t="n"/>
    </row>
    <row r="95">
      <c r="A95" s="20" t="n">
        <v>46349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20" t="n">
        <v>46352</v>
      </c>
      <c r="B96" s="11" t="inlineStr">
        <is>
          <t>četvrtak</t>
        </is>
      </c>
      <c r="C96" s="5" t="inlineStr">
        <is>
          <t>Miješani komunalni otpad</t>
        </is>
      </c>
      <c r="D96" s="11" t="n"/>
    </row>
    <row r="97">
      <c r="A97" s="20" t="n">
        <v>46356</v>
      </c>
      <c r="B97" s="11" t="inlineStr">
        <is>
          <t>ponedjeljak</t>
        </is>
      </c>
      <c r="C97" s="5" t="inlineStr">
        <is>
          <t>Miješani komunalni otpad</t>
        </is>
      </c>
      <c r="D97" s="11" t="n"/>
    </row>
    <row r="98">
      <c r="A98" s="20" t="n">
        <v>46359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20" t="n">
        <v>46363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20" t="n">
        <v>46366</v>
      </c>
      <c r="B100" s="11" t="inlineStr">
        <is>
          <t>četvrtak</t>
        </is>
      </c>
      <c r="C100" s="5" t="inlineStr">
        <is>
          <t>Miješani komunalni otpad</t>
        </is>
      </c>
      <c r="D100" s="11" t="n"/>
    </row>
    <row r="101">
      <c r="A101" s="20" t="n">
        <v>46370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20" t="n">
        <v>46373</v>
      </c>
      <c r="B102" s="11" t="inlineStr">
        <is>
          <t>četvrtak</t>
        </is>
      </c>
      <c r="C102" s="5" t="inlineStr">
        <is>
          <t>Miješani komunalni otpad</t>
        </is>
      </c>
      <c r="D102" s="11" t="n"/>
    </row>
    <row r="103">
      <c r="A103" s="20" t="n">
        <v>46377</v>
      </c>
      <c r="B103" s="11" t="inlineStr">
        <is>
          <t>ponedjeljak</t>
        </is>
      </c>
      <c r="C103" s="5" t="inlineStr">
        <is>
          <t>Miješani komunalni otpad</t>
        </is>
      </c>
      <c r="D103" s="11" t="n"/>
    </row>
    <row r="104">
      <c r="A104" s="20" t="n">
        <v>46380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20" t="n">
        <v>46384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20" t="n">
        <v>46387</v>
      </c>
      <c r="B106" s="11" t="inlineStr">
        <is>
          <t>četvrtak</t>
        </is>
      </c>
      <c r="C106" s="5" t="inlineStr">
        <is>
          <t>Miješani komunalni otpad</t>
        </is>
      </c>
      <c r="D106" s="11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(Glina): ulice i naselja</t>
        </is>
      </c>
    </row>
    <row r="4">
      <c r="A4" s="4" t="inlineStr">
        <is>
          <t>Ulica / naselje</t>
        </is>
      </c>
    </row>
    <row r="5">
      <c r="A5" s="11" t="inlineStr">
        <is>
          <t>Trg Bana J. Jelačića (kontejneri stambenih zgrada)</t>
        </is>
      </c>
    </row>
    <row r="6">
      <c r="A6" s="11" t="inlineStr">
        <is>
          <t>S. i A. Radića (kontejneri stambenih zgrada)</t>
        </is>
      </c>
    </row>
    <row r="7">
      <c r="A7" s="11" t="inlineStr">
        <is>
          <t>Trg dr. F. Tuđmana (kontejneri stambenih zgrada)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
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'Raspored'!$A$4:$I$20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0">
      <c r="A10" s="12" t="inlineStr">
        <is>
          <t>Glomazni otpad</t>
        </is>
      </c>
      <c r="B10" s="6">
        <f>IFERROR(1/(1/_xlfn.MINIFS(Raspored!$A$5:$A$20,Raspored!$H$5:$H$20,"x",Raspored!$A$5:$A$20,"&gt;="&amp;$B$3)),"nema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  <c r="F14" s="7">
        <f>COUNTIFS(Raspored!$C$5:$C$20,$A14,Raspored!$H$5:$H$20,"x")</f>
        <v/>
      </c>
    </row>
    <row r="15">
      <c r="A15" s="19" t="inlineStr">
        <is>
          <t>veljača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  <c r="F15" s="7">
        <f>COUNTIFS(Raspored!$C$5:$C$20,$A15,Raspored!$H$5:$H$20,"x")</f>
        <v/>
      </c>
    </row>
    <row r="16">
      <c r="A16" s="19" t="inlineStr">
        <is>
          <t>ožujak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  <c r="F16" s="7">
        <f>COUNTIFS(Raspored!$C$5:$C$20,$A16,Raspored!$H$5:$H$20,"x")</f>
        <v/>
      </c>
    </row>
    <row r="17">
      <c r="A17" s="19" t="inlineStr">
        <is>
          <t>travanj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  <c r="F17" s="7">
        <f>COUNTIFS(Raspored!$C$5:$C$20,$A17,Raspored!$H$5:$H$20,"x")</f>
        <v/>
      </c>
    </row>
    <row r="18">
      <c r="A18" s="19" t="inlineStr">
        <is>
          <t>svibanj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  <c r="F18" s="7">
        <f>COUNTIFS(Raspored!$C$5:$C$20,$A18,Raspored!$H$5:$H$20,"x")</f>
        <v/>
      </c>
    </row>
    <row r="19">
      <c r="A19" s="19" t="inlineStr">
        <is>
          <t>lipanj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  <c r="F19" s="7">
        <f>COUNTIFS(Raspored!$C$5:$C$20,$A19,Raspored!$H$5:$H$20,"x")</f>
        <v/>
      </c>
    </row>
    <row r="20">
      <c r="A20" s="19" t="inlineStr">
        <is>
          <t>srpanj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  <c r="F20" s="7">
        <f>COUNTIFS(Raspored!$C$5:$C$20,$A20,Raspored!$H$5:$H$20,"x")</f>
        <v/>
      </c>
    </row>
    <row r="21">
      <c r="A21" s="19" t="inlineStr">
        <is>
          <t>kolovoz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  <c r="F21" s="7">
        <f>COUNTIFS(Raspored!$C$5:$C$20,$A21,Raspored!$H$5:$H$20,"x")</f>
        <v/>
      </c>
    </row>
    <row r="22">
      <c r="A22" s="19" t="inlineStr">
        <is>
          <t>rujan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  <c r="F22" s="7">
        <f>COUNTIFS(Raspored!$C$5:$C$20,$A22,Raspored!$H$5:$H$20,"x")</f>
        <v/>
      </c>
    </row>
    <row r="23">
      <c r="A23" s="19" t="inlineStr">
        <is>
          <t>listopad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  <c r="F23" s="7">
        <f>COUNTIFS(Raspored!$C$5:$C$20,$A23,Raspored!$H$5:$H$20,"x")</f>
        <v/>
      </c>
    </row>
    <row r="24">
      <c r="A24" s="19" t="inlineStr">
        <is>
          <t>studeni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  <c r="F24" s="7">
        <f>COUNTIFS(Raspored!$C$5:$C$20,$A24,Raspored!$H$5:$H$20,"x")</f>
        <v/>
      </c>
    </row>
    <row r="25">
      <c r="A25" s="19" t="inlineStr">
        <is>
          <t>prosinac</t>
        </is>
      </c>
      <c r="B25" s="7">
        <f>COUNTIFS(Raspored!$C$5:$C$20,$A25,Raspored!$D$5:$D$20,"x")</f>
        <v/>
      </c>
      <c r="C25" s="7">
        <f>COUNTIFS(Raspored!$C$5:$C$20,$A25,Raspored!$E$5:$E$20,"x")</f>
        <v/>
      </c>
      <c r="D25" s="7">
        <f>COUNTIFS(Raspored!$C$5:$C$20,$A25,Raspored!$F$5:$F$20,"x")</f>
        <v/>
      </c>
      <c r="E25" s="7">
        <f>COUNTIFS(Raspored!$C$5:$C$20,$A25,Raspored!$G$5:$G$20,"x")</f>
        <v/>
      </c>
      <c r="F25" s="7">
        <f>COUNTIFS(Raspored!$C$5:$C$20,$A25,Raspored!$H$5:$H$20,"x")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Kalendar davatelja za ove lokacije nema datuma za: biootpad.</t>
        </is>
      </c>
    </row>
    <row r="31">
      <c r="A31" s="23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3" t="inlineStr">
        <is>
          <t>• Pomaci zbog blagdana već su upisani u datume (odvoz se seli na subotu prije ili poslije blagdana).</t>
        </is>
      </c>
    </row>
    <row r="33">
      <c r="A33" s="23" t="inlineStr">
        <is>
          <t>• Papir i plastika odvoze se zajedno (plavo-žuti spremnik), jednom mjesečno.</t>
        </is>
      </c>
    </row>
    <row r="34">
      <c r="A34" s="23" t="inlineStr">
        <is>
          <t>• Glomazni otpad: datumi iz kalendara; izvan Grada Požege potrebu odvoza prijavite na (034) 440 997 najkasnije dan uoči odvoza do 13 sati.</t>
        </is>
      </c>
    </row>
    <row r="35">
      <c r="A35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42 (Pleternica)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46309</v>
      </c>
      <c r="B5" s="7" t="inlineStr">
        <is>
          <t>srijeda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7" t="n"/>
      <c r="I5" s="25" t="n"/>
    </row>
    <row r="6">
      <c r="A6" s="6" t="n">
        <v>46316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46319</v>
      </c>
      <c r="B7" s="7" t="inlineStr">
        <is>
          <t>subota</t>
        </is>
      </c>
      <c r="C7" s="7" t="inlineStr">
        <is>
          <t>listopad</t>
        </is>
      </c>
      <c r="D7" s="7" t="n"/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46321</v>
      </c>
      <c r="B8" s="7" t="inlineStr">
        <is>
          <t>ponedjeljak</t>
        </is>
      </c>
      <c r="C8" s="7" t="inlineStr">
        <is>
          <t>listopad</t>
        </is>
      </c>
      <c r="D8" s="7" t="n"/>
      <c r="E8" s="7" t="n"/>
      <c r="F8" s="7" t="n"/>
      <c r="G8" s="7" t="inlineStr">
        <is>
          <t>x</t>
        </is>
      </c>
      <c r="H8" s="7" t="n"/>
      <c r="I8" s="25" t="n"/>
    </row>
    <row r="9">
      <c r="A9" s="6" t="n">
        <v>46323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46330</v>
      </c>
      <c r="B10" s="7" t="inlineStr">
        <is>
          <t>srijeda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46337</v>
      </c>
      <c r="B11" s="7" t="inlineStr">
        <is>
          <t>srijeda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7" t="n"/>
      <c r="I11" s="25" t="n"/>
    </row>
    <row r="12">
      <c r="A12" s="26" t="n">
        <v>46347</v>
      </c>
      <c r="B12" s="27" t="inlineStr">
        <is>
          <t>subota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inlineStr">
        <is>
          <t>Pomaknuto zbog neradnog dana u tjednu</t>
        </is>
      </c>
    </row>
    <row r="13">
      <c r="A13" s="6" t="n">
        <v>46349</v>
      </c>
      <c r="B13" s="7" t="inlineStr">
        <is>
          <t>ponedjeljak</t>
        </is>
      </c>
      <c r="C13" s="7" t="inlineStr">
        <is>
          <t>studeni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46351</v>
      </c>
      <c r="B14" s="7" t="inlineStr">
        <is>
          <t>srijeda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46358</v>
      </c>
      <c r="B15" s="7" t="inlineStr">
        <is>
          <t>srijeda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46365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46372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  <row r="18">
      <c r="A18" s="6" t="n">
        <v>46377</v>
      </c>
      <c r="B18" s="7" t="inlineStr">
        <is>
          <t>ponedjeljak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46379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46386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</sheetData>
  <autoFilter ref="A4:I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H5:H20">
    <cfRule type="expression" priority="5" dxfId="4">
      <formula>H5="x"</formula>
    </cfRule>
  </conditionalFormatting>
  <conditionalFormatting sqref="A5:I2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46309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46309</v>
      </c>
      <c r="B3" s="19" t="inlineStr">
        <is>
          <t>srijeda</t>
        </is>
      </c>
      <c r="C3" s="9" t="inlineStr">
        <is>
          <t>Plastika i metal</t>
        </is>
      </c>
      <c r="D3" s="19" t="n"/>
    </row>
    <row r="4">
      <c r="A4" s="28" t="n">
        <v>46309</v>
      </c>
      <c r="B4" s="19" t="inlineStr">
        <is>
          <t>srijeda</t>
        </is>
      </c>
      <c r="C4" s="10" t="inlineStr">
        <is>
          <t>Papir i karton</t>
        </is>
      </c>
      <c r="D4" s="19" t="n"/>
    </row>
    <row r="5">
      <c r="A5" s="28" t="n">
        <v>46316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46319</v>
      </c>
      <c r="B6" s="19" t="inlineStr">
        <is>
          <t>subota</t>
        </is>
      </c>
      <c r="C6" s="12" t="inlineStr">
        <is>
          <t>Glomazni otpad</t>
        </is>
      </c>
      <c r="D6" s="19" t="n"/>
    </row>
    <row r="7">
      <c r="A7" s="28" t="n">
        <v>46321</v>
      </c>
      <c r="B7" s="19" t="inlineStr">
        <is>
          <t>ponedjeljak</t>
        </is>
      </c>
      <c r="C7" s="11" t="inlineStr">
        <is>
          <t>Staklo</t>
        </is>
      </c>
      <c r="D7" s="19" t="n"/>
    </row>
    <row r="8">
      <c r="A8" s="28" t="n">
        <v>46323</v>
      </c>
      <c r="B8" s="19" t="inlineStr">
        <is>
          <t>srijeda</t>
        </is>
      </c>
      <c r="C8" s="5" t="inlineStr">
        <is>
          <t>Miješani komunalni otpad</t>
        </is>
      </c>
      <c r="D8" s="19" t="n"/>
    </row>
    <row r="9">
      <c r="A9" s="28" t="n">
        <v>46330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46337</v>
      </c>
      <c r="B10" s="19" t="inlineStr">
        <is>
          <t>srijeda</t>
        </is>
      </c>
      <c r="C10" s="5" t="inlineStr">
        <is>
          <t>Miješani komunalni otpad</t>
        </is>
      </c>
      <c r="D10" s="19" t="n"/>
    </row>
    <row r="11">
      <c r="A11" s="28" t="n">
        <v>46337</v>
      </c>
      <c r="B11" s="19" t="inlineStr">
        <is>
          <t>srijeda</t>
        </is>
      </c>
      <c r="C11" s="9" t="inlineStr">
        <is>
          <t>Plastika i metal</t>
        </is>
      </c>
      <c r="D11" s="19" t="n"/>
    </row>
    <row r="12">
      <c r="A12" s="28" t="n">
        <v>46337</v>
      </c>
      <c r="B12" s="19" t="inlineStr">
        <is>
          <t>srijeda</t>
        </is>
      </c>
      <c r="C12" s="10" t="inlineStr">
        <is>
          <t>Papir i karton</t>
        </is>
      </c>
      <c r="D12" s="19" t="n"/>
    </row>
    <row r="13">
      <c r="A13" s="28" t="n">
        <v>46347</v>
      </c>
      <c r="B13" s="19" t="inlineStr">
        <is>
          <t>subota</t>
        </is>
      </c>
      <c r="C13" s="5" t="inlineStr">
        <is>
          <t>Miješani komunalni otpad</t>
        </is>
      </c>
      <c r="D13" s="19" t="inlineStr">
        <is>
          <t>Pomaknuto zbog neradnog dana u tjednu</t>
        </is>
      </c>
    </row>
    <row r="14">
      <c r="A14" s="28" t="n">
        <v>46349</v>
      </c>
      <c r="B14" s="19" t="inlineStr">
        <is>
          <t>ponedjeljak</t>
        </is>
      </c>
      <c r="C14" s="11" t="inlineStr">
        <is>
          <t>Staklo</t>
        </is>
      </c>
      <c r="D14" s="19" t="n"/>
    </row>
    <row r="15">
      <c r="A15" s="28" t="n">
        <v>46351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46358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46365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46372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46372</v>
      </c>
      <c r="B19" s="19" t="inlineStr">
        <is>
          <t>srijeda</t>
        </is>
      </c>
      <c r="C19" s="9" t="inlineStr">
        <is>
          <t>Plastika i metal</t>
        </is>
      </c>
      <c r="D19" s="19" t="n"/>
    </row>
    <row r="20">
      <c r="A20" s="28" t="n">
        <v>46372</v>
      </c>
      <c r="B20" s="19" t="inlineStr">
        <is>
          <t>srijeda</t>
        </is>
      </c>
      <c r="C20" s="10" t="inlineStr">
        <is>
          <t>Papir i karton</t>
        </is>
      </c>
      <c r="D20" s="19" t="n"/>
    </row>
    <row r="21">
      <c r="A21" s="28" t="n">
        <v>46377</v>
      </c>
      <c r="B21" s="19" t="inlineStr">
        <is>
          <t>ponedjeljak</t>
        </is>
      </c>
      <c r="C21" s="11" t="inlineStr">
        <is>
          <t>Staklo</t>
        </is>
      </c>
      <c r="D21" s="19" t="n"/>
    </row>
    <row r="22">
      <c r="A22" s="28" t="n">
        <v>46379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46386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42 (Pleternica): ulice i naselja</t>
        </is>
      </c>
    </row>
    <row r="4">
      <c r="A4" s="4" t="inlineStr">
        <is>
          <t>Ulica / naselje</t>
        </is>
      </c>
    </row>
    <row r="5">
      <c r="A5" s="19" t="inlineStr">
        <is>
          <t>Ašikovci</t>
        </is>
      </c>
    </row>
    <row r="6">
      <c r="A6" s="19" t="inlineStr">
        <is>
          <t>Gradac</t>
        </is>
      </c>
    </row>
    <row r="7">
      <c r="A7" s="19" t="inlineStr">
        <is>
          <t>Kuzmica</t>
        </is>
      </c>
    </row>
    <row r="8">
      <c r="A8" s="19" t="inlineStr">
        <is>
          <t>Lakušija</t>
        </is>
      </c>
    </row>
    <row r="9">
      <c r="A9" s="19" t="inlineStr">
        <is>
          <t>Novoselci</t>
        </is>
      </c>
    </row>
    <row r="10">
      <c r="A10" s="19" t="inlineStr">
        <is>
          <t>Sesvete</t>
        </is>
      </c>
    </row>
    <row r="11">
      <c r="A11" s="19" t="inlineStr">
        <is>
          <t>Srednje Selo</t>
        </is>
      </c>
    </row>
    <row r="12">
      <c r="A12" s="19" t="inlineStr">
        <is>
          <t>Trapari</t>
        </is>
      </c>
    </row>
    <row r="13">
      <c r="A13" s="19" t="inlineStr">
        <is>
          <t>Viškovci - kućni brojevi 61, 63, 65, 67, 69, 71, 75, 77, 79, 85 (Viškovci)</t>
        </is>
      </c>
    </row>
    <row r="14">
      <c r="A14" s="19" t="inlineStr">
        <is>
          <t>Zarilac</t>
        </is>
      </c>
    </row>
    <row r="15">
      <c r="A15" s="19" t="inlineStr">
        <is>
          <t>Ćosinac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
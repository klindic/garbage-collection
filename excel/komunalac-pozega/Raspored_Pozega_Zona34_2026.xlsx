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'Raspored'!$A$4:$H$19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Plastika i metal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Staklo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  <c r="E13" s="7">
        <f>COUNTIFS(Raspored!$C$5:$C$19,$A13,Raspored!$G$5:$G$19,"x")</f>
        <v/>
      </c>
    </row>
    <row r="14">
      <c r="A14" s="17" t="inlineStr">
        <is>
          <t>veljača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</row>
    <row r="15">
      <c r="A15" s="17" t="inlineStr">
        <is>
          <t>ožujak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</row>
    <row r="16">
      <c r="A16" s="17" t="inlineStr">
        <is>
          <t>travanj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</row>
    <row r="17">
      <c r="A17" s="17" t="inlineStr">
        <is>
          <t>svibanj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</row>
    <row r="18">
      <c r="A18" s="17" t="inlineStr">
        <is>
          <t>lipanj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</row>
    <row r="19">
      <c r="A19" s="17" t="inlineStr">
        <is>
          <t>srpanj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</row>
    <row r="20">
      <c r="A20" s="17" t="inlineStr">
        <is>
          <t>kolovoz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</row>
    <row r="21">
      <c r="A21" s="17" t="inlineStr">
        <is>
          <t>rujan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</row>
    <row r="22">
      <c r="A22" s="17" t="inlineStr">
        <is>
          <t>listopad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</row>
    <row r="23">
      <c r="A23" s="17" t="inlineStr">
        <is>
          <t>studeni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</row>
    <row r="24">
      <c r="A24" s="17" t="inlineStr">
        <is>
          <t>prosinac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34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46311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46314</v>
      </c>
      <c r="B7" s="7" t="inlineStr">
        <is>
          <t>ponedjeljak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46318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46325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46332</v>
      </c>
      <c r="B10" s="7" t="inlineStr">
        <is>
          <t>petak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46339</v>
      </c>
      <c r="B11" s="7" t="inlineStr">
        <is>
          <t>petak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46342</v>
      </c>
      <c r="B12" s="7" t="inlineStr">
        <is>
          <t>ponedjeljak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46346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46353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46360</v>
      </c>
      <c r="B15" s="7" t="inlineStr">
        <is>
          <t>petak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46367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46370</v>
      </c>
      <c r="B17" s="7" t="inlineStr">
        <is>
          <t>ponedjeljak</t>
        </is>
      </c>
      <c r="C17" s="7" t="inlineStr">
        <is>
          <t>prosinac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46374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46377</v>
      </c>
      <c r="B19" s="7" t="inlineStr">
        <is>
          <t>ponedjeljak</t>
        </is>
      </c>
      <c r="C19" s="7" t="inlineStr">
        <is>
          <t>prosinac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</sheetData>
  <autoFilter ref="A4:H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A5:H1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46311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46314</v>
      </c>
      <c r="B4" s="17" t="inlineStr">
        <is>
          <t>ponedjeljak</t>
        </is>
      </c>
      <c r="C4" s="9" t="inlineStr">
        <is>
          <t>Plastika i metal</t>
        </is>
      </c>
      <c r="D4" s="17" t="n"/>
    </row>
    <row r="5">
      <c r="A5" s="24" t="n">
        <v>46314</v>
      </c>
      <c r="B5" s="17" t="inlineStr">
        <is>
          <t>ponedjeljak</t>
        </is>
      </c>
      <c r="C5" s="10" t="inlineStr">
        <is>
          <t>Papir i karton</t>
        </is>
      </c>
      <c r="D5" s="17" t="n"/>
    </row>
    <row r="6">
      <c r="A6" s="24" t="n">
        <v>46314</v>
      </c>
      <c r="B6" s="17" t="inlineStr">
        <is>
          <t>ponedjeljak</t>
        </is>
      </c>
      <c r="C6" s="11" t="inlineStr">
        <is>
          <t>Staklo</t>
        </is>
      </c>
      <c r="D6" s="17" t="n"/>
    </row>
    <row r="7">
      <c r="A7" s="24" t="n">
        <v>46318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46325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46332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46339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46342</v>
      </c>
      <c r="B11" s="17" t="inlineStr">
        <is>
          <t>ponedjeljak</t>
        </is>
      </c>
      <c r="C11" s="9" t="inlineStr">
        <is>
          <t>Plastika i metal</t>
        </is>
      </c>
      <c r="D11" s="17" t="n"/>
    </row>
    <row r="12">
      <c r="A12" s="24" t="n">
        <v>46342</v>
      </c>
      <c r="B12" s="17" t="inlineStr">
        <is>
          <t>ponedjeljak</t>
        </is>
      </c>
      <c r="C12" s="10" t="inlineStr">
        <is>
          <t>Papir i karton</t>
        </is>
      </c>
      <c r="D12" s="17" t="n"/>
    </row>
    <row r="13">
      <c r="A13" s="24" t="n">
        <v>46342</v>
      </c>
      <c r="B13" s="17" t="inlineStr">
        <is>
          <t>ponedjeljak</t>
        </is>
      </c>
      <c r="C13" s="11" t="inlineStr">
        <is>
          <t>Staklo</t>
        </is>
      </c>
      <c r="D13" s="17" t="n"/>
    </row>
    <row r="14">
      <c r="A14" s="24" t="n">
        <v>46346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46353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46360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46367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46370</v>
      </c>
      <c r="B18" s="17" t="inlineStr">
        <is>
          <t>ponedjeljak</t>
        </is>
      </c>
      <c r="C18" s="11" t="inlineStr">
        <is>
          <t>Staklo</t>
        </is>
      </c>
      <c r="D18" s="17" t="n"/>
    </row>
    <row r="19">
      <c r="A19" s="24" t="n">
        <v>46374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46377</v>
      </c>
      <c r="B20" s="17" t="inlineStr">
        <is>
          <t>ponedjeljak</t>
        </is>
      </c>
      <c r="C20" s="9" t="inlineStr">
        <is>
          <t>Plastika i metal</t>
        </is>
      </c>
      <c r="D20" s="17" t="n"/>
    </row>
    <row r="21">
      <c r="A21" s="24" t="n">
        <v>46377</v>
      </c>
      <c r="B21" s="17" t="inlineStr">
        <is>
          <t>ponedjeljak</t>
        </is>
      </c>
      <c r="C21" s="10" t="inlineStr">
        <is>
          <t>Papir i karton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Skorupov put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
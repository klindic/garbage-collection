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COUNTIFS(Raspored!$C$5:$C$22,$A13,Raspored!$D$5:$D$22,"x")</f>
        <v/>
      </c>
      <c r="C13" s="7">
        <f>COUNTIFS(Raspored!$C$5:$C$22,$A13,Raspored!$E$5:$E$22,"x")</f>
        <v/>
      </c>
      <c r="D13" s="7">
        <f>COUNTIFS(Raspored!$C$5:$C$22,$A13,Raspored!$F$5:$F$22,"x")</f>
        <v/>
      </c>
      <c r="E13" s="7">
        <f>COUNTIFS(Raspored!$C$5:$C$22,$A13,Raspored!$G$5:$G$22,"x")</f>
        <v/>
      </c>
    </row>
    <row r="14">
      <c r="A14" s="17" t="inlineStr">
        <is>
          <t>veljača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</row>
    <row r="15">
      <c r="A15" s="17" t="inlineStr">
        <is>
          <t>ožujak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</row>
    <row r="16">
      <c r="A16" s="17" t="inlineStr">
        <is>
          <t>travanj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</row>
    <row r="17">
      <c r="A17" s="17" t="inlineStr">
        <is>
          <t>svibanj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</row>
    <row r="18">
      <c r="A18" s="17" t="inlineStr">
        <is>
          <t>lipanj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</row>
    <row r="19">
      <c r="A19" s="17" t="inlineStr">
        <is>
          <t>srpanj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</row>
    <row r="20">
      <c r="A20" s="17" t="inlineStr">
        <is>
          <t>kolovoz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</row>
    <row r="21">
      <c r="A21" s="17" t="inlineStr">
        <is>
          <t>rujan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</row>
    <row r="22">
      <c r="A22" s="17" t="inlineStr">
        <is>
          <t>listopad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</row>
    <row r="23">
      <c r="A23" s="17" t="inlineStr">
        <is>
          <t>studeni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</row>
    <row r="24">
      <c r="A24" s="17" t="inlineStr">
        <is>
          <t>prosinac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Kalendar davatelja za ove lokacije nema datuma za: biootpad.</t>
        </is>
      </c>
    </row>
    <row r="30">
      <c r="A30" s="21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1" t="inlineStr">
        <is>
          <t>• Pomaci zbog blagdana već su upisani u datume (odvoz se seli na subotu prije ili poslije blagdana).</t>
        </is>
      </c>
    </row>
    <row r="32">
      <c r="A32" s="21" t="inlineStr">
        <is>
          <t>• Papir i plastika odvoze se zajedno (plavo-žuti spremnik), jednom mjesečno.</t>
        </is>
      </c>
    </row>
    <row r="33">
      <c r="A33" s="21" t="inlineStr">
        <is>
          <t>• Glomazni otpad: datumi iz kalendara; izvan Grada Požege potrebu odvoza prijavite na (034) 440 997 najkasnije dan uoči odvoza do 13 sati.</t>
        </is>
      </c>
    </row>
    <row r="34">
      <c r="A34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57 (Brestovac)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46309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46330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46337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24" t="n">
        <v>46347</v>
      </c>
      <c r="B14" s="25" t="inlineStr">
        <is>
          <t>subota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inlineStr">
        <is>
          <t>Pomaknuto zbog neradnog dana u tjednu</t>
        </is>
      </c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46365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46366</v>
      </c>
      <c r="B19" s="7" t="inlineStr">
        <is>
          <t>četvrtak</t>
        </is>
      </c>
      <c r="C19" s="7" t="inlineStr">
        <is>
          <t>prosinac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46372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46379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46386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23" t="n"/>
    </row>
  </sheetData>
  <autoFilter ref="A4:H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A5:H2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7" t="inlineStr">
        <is>
          <t>četvrtak</t>
        </is>
      </c>
      <c r="C2" s="9" t="inlineStr">
        <is>
          <t>Plastika i metal</t>
        </is>
      </c>
      <c r="D2" s="17" t="n"/>
    </row>
    <row r="3">
      <c r="A3" s="26" t="n">
        <v>46303</v>
      </c>
      <c r="B3" s="17" t="inlineStr">
        <is>
          <t>četvrtak</t>
        </is>
      </c>
      <c r="C3" s="10" t="inlineStr">
        <is>
          <t>Papir i karton</t>
        </is>
      </c>
      <c r="D3" s="17" t="n"/>
    </row>
    <row r="4">
      <c r="A4" s="26" t="n">
        <v>46307</v>
      </c>
      <c r="B4" s="17" t="inlineStr">
        <is>
          <t>ponedjeljak</t>
        </is>
      </c>
      <c r="C4" s="11" t="inlineStr">
        <is>
          <t>Staklo</t>
        </is>
      </c>
      <c r="D4" s="17" t="n"/>
    </row>
    <row r="5">
      <c r="A5" s="26" t="n">
        <v>46309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46316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46323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46330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46335</v>
      </c>
      <c r="B9" s="17" t="inlineStr">
        <is>
          <t>ponedjeljak</t>
        </is>
      </c>
      <c r="C9" s="11" t="inlineStr">
        <is>
          <t>Staklo</t>
        </is>
      </c>
      <c r="D9" s="17" t="n"/>
    </row>
    <row r="10">
      <c r="A10" s="26" t="n">
        <v>46337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46338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46338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46347</v>
      </c>
      <c r="B13" s="17" t="inlineStr">
        <is>
          <t>subota</t>
        </is>
      </c>
      <c r="C13" s="5" t="inlineStr">
        <is>
          <t>Miješani komunalni otpad</t>
        </is>
      </c>
      <c r="D13" s="17" t="inlineStr">
        <is>
          <t>Pomaknuto zbog neradnog dana u tjednu</t>
        </is>
      </c>
    </row>
    <row r="14">
      <c r="A14" s="26" t="n">
        <v>46351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46358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46363</v>
      </c>
      <c r="B16" s="17" t="inlineStr">
        <is>
          <t>ponedjeljak</t>
        </is>
      </c>
      <c r="C16" s="11" t="inlineStr">
        <is>
          <t>Staklo</t>
        </is>
      </c>
      <c r="D16" s="17" t="n"/>
    </row>
    <row r="17">
      <c r="A17" s="26" t="n">
        <v>46365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46366</v>
      </c>
      <c r="B18" s="17" t="inlineStr">
        <is>
          <t>četvrtak</t>
        </is>
      </c>
      <c r="C18" s="9" t="inlineStr">
        <is>
          <t>Plastika i metal</t>
        </is>
      </c>
      <c r="D18" s="17" t="n"/>
    </row>
    <row r="19">
      <c r="A19" s="26" t="n">
        <v>46366</v>
      </c>
      <c r="B19" s="17" t="inlineStr">
        <is>
          <t>četvrtak</t>
        </is>
      </c>
      <c r="C19" s="10" t="inlineStr">
        <is>
          <t>Papir i karton</t>
        </is>
      </c>
      <c r="D19" s="17" t="n"/>
    </row>
    <row r="20">
      <c r="A20" s="26" t="n">
        <v>46372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46379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46386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57 (Brestovac): ulice i naselja</t>
        </is>
      </c>
    </row>
    <row r="4">
      <c r="A4" s="4" t="inlineStr">
        <is>
          <t>Ulica / naselje</t>
        </is>
      </c>
    </row>
    <row r="5">
      <c r="A5" s="17" t="inlineStr">
        <is>
          <t>Sloboština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
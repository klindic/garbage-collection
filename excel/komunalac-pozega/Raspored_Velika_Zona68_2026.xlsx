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'Raspored'!$A$4:$I$20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Plastika i metal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Staklo</t>
        </is>
      </c>
      <c r="B9" s="6">
        <f>IFERROR(1/(1/_xlfn.MINIFS(Raspored!$A$5:$A$20,Raspored!$G$5:$G$20,"x",Raspored!$A$5:$A$20,"&gt;="&amp;$B$3)),"nema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0">
      <c r="A10" s="12" t="inlineStr">
        <is>
          <t>Glomazni otpad</t>
        </is>
      </c>
      <c r="B10" s="6">
        <f>IFERROR(1/(1/_xlfn.MINIFS(Raspored!$A$5:$A$20,Raspored!$H$5:$H$20,"x",Raspored!$A$5:$A$20,"&gt;="&amp;$B$3)),"nema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  <c r="F14" s="7">
        <f>COUNTIFS(Raspored!$C$5:$C$20,$A14,Raspored!$H$5:$H$20,"x")</f>
        <v/>
      </c>
    </row>
    <row r="15">
      <c r="A15" s="19" t="inlineStr">
        <is>
          <t>veljača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  <c r="F15" s="7">
        <f>COUNTIFS(Raspored!$C$5:$C$20,$A15,Raspored!$H$5:$H$20,"x")</f>
        <v/>
      </c>
    </row>
    <row r="16">
      <c r="A16" s="19" t="inlineStr">
        <is>
          <t>ožujak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  <c r="F16" s="7">
        <f>COUNTIFS(Raspored!$C$5:$C$20,$A16,Raspored!$H$5:$H$20,"x")</f>
        <v/>
      </c>
    </row>
    <row r="17">
      <c r="A17" s="19" t="inlineStr">
        <is>
          <t>travanj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  <c r="F17" s="7">
        <f>COUNTIFS(Raspored!$C$5:$C$20,$A17,Raspored!$H$5:$H$20,"x")</f>
        <v/>
      </c>
    </row>
    <row r="18">
      <c r="A18" s="19" t="inlineStr">
        <is>
          <t>svibanj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  <c r="F18" s="7">
        <f>COUNTIFS(Raspored!$C$5:$C$20,$A18,Raspored!$H$5:$H$20,"x")</f>
        <v/>
      </c>
    </row>
    <row r="19">
      <c r="A19" s="19" t="inlineStr">
        <is>
          <t>lipanj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  <c r="F19" s="7">
        <f>COUNTIFS(Raspored!$C$5:$C$20,$A19,Raspored!$H$5:$H$20,"x")</f>
        <v/>
      </c>
    </row>
    <row r="20">
      <c r="A20" s="19" t="inlineStr">
        <is>
          <t>srpanj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  <c r="F20" s="7">
        <f>COUNTIFS(Raspored!$C$5:$C$20,$A20,Raspored!$H$5:$H$20,"x")</f>
        <v/>
      </c>
    </row>
    <row r="21">
      <c r="A21" s="19" t="inlineStr">
        <is>
          <t>kolovoz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  <c r="F21" s="7">
        <f>COUNTIFS(Raspored!$C$5:$C$20,$A21,Raspored!$H$5:$H$20,"x")</f>
        <v/>
      </c>
    </row>
    <row r="22">
      <c r="A22" s="19" t="inlineStr">
        <is>
          <t>rujan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  <c r="F22" s="7">
        <f>COUNTIFS(Raspored!$C$5:$C$20,$A22,Raspored!$H$5:$H$20,"x")</f>
        <v/>
      </c>
    </row>
    <row r="23">
      <c r="A23" s="19" t="inlineStr">
        <is>
          <t>listopad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  <c r="F23" s="7">
        <f>COUNTIFS(Raspored!$C$5:$C$20,$A23,Raspored!$H$5:$H$20,"x")</f>
        <v/>
      </c>
    </row>
    <row r="24">
      <c r="A24" s="19" t="inlineStr">
        <is>
          <t>studeni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  <c r="F24" s="7">
        <f>COUNTIFS(Raspored!$C$5:$C$20,$A24,Raspored!$H$5:$H$20,"x")</f>
        <v/>
      </c>
    </row>
    <row r="25">
      <c r="A25" s="19" t="inlineStr">
        <is>
          <t>prosinac</t>
        </is>
      </c>
      <c r="B25" s="7">
        <f>COUNTIFS(Raspored!$C$5:$C$20,$A25,Raspored!$D$5:$D$20,"x")</f>
        <v/>
      </c>
      <c r="C25" s="7">
        <f>COUNTIFS(Raspored!$C$5:$C$20,$A25,Raspored!$E$5:$E$20,"x")</f>
        <v/>
      </c>
      <c r="D25" s="7">
        <f>COUNTIFS(Raspored!$C$5:$C$20,$A25,Raspored!$F$5:$F$20,"x")</f>
        <v/>
      </c>
      <c r="E25" s="7">
        <f>COUNTIFS(Raspored!$C$5:$C$20,$A25,Raspored!$G$5:$G$20,"x")</f>
        <v/>
      </c>
      <c r="F25" s="7">
        <f>COUNTIFS(Raspored!$C$5:$C$20,$A25,Raspored!$H$5:$H$20,"x")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68 (Velika)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46315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46322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46329</v>
      </c>
      <c r="B9" s="7" t="inlineStr">
        <is>
          <t>utorak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46333</v>
      </c>
      <c r="B10" s="7" t="inlineStr">
        <is>
          <t>subota</t>
        </is>
      </c>
      <c r="C10" s="7" t="inlineStr">
        <is>
          <t>studeni</t>
        </is>
      </c>
      <c r="D10" s="7" t="n"/>
      <c r="E10" s="7" t="n"/>
      <c r="F10" s="7" t="n"/>
      <c r="G10" s="7" t="n"/>
      <c r="H10" s="7" t="inlineStr">
        <is>
          <t>x</t>
        </is>
      </c>
      <c r="I10" s="25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n"/>
      <c r="E11" s="7" t="n"/>
      <c r="F11" s="7" t="n"/>
      <c r="G11" s="7" t="inlineStr">
        <is>
          <t>x</t>
        </is>
      </c>
      <c r="H11" s="7" t="n"/>
      <c r="I11" s="25" t="n"/>
    </row>
    <row r="12">
      <c r="A12" s="6" t="n">
        <v>46336</v>
      </c>
      <c r="B12" s="7" t="inlineStr">
        <is>
          <t>utorak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46343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46350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46357</v>
      </c>
      <c r="B15" s="7" t="inlineStr">
        <is>
          <t>utorak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46363</v>
      </c>
      <c r="B16" s="7" t="inlineStr">
        <is>
          <t>ponedjeljak</t>
        </is>
      </c>
      <c r="C16" s="7" t="inlineStr">
        <is>
          <t>prosinac</t>
        </is>
      </c>
      <c r="D16" s="7" t="n"/>
      <c r="E16" s="7" t="n"/>
      <c r="F16" s="7" t="n"/>
      <c r="G16" s="7" t="inlineStr">
        <is>
          <t>x</t>
        </is>
      </c>
      <c r="H16" s="7" t="n"/>
      <c r="I16" s="25" t="n"/>
    </row>
    <row r="17">
      <c r="A17" s="6" t="n">
        <v>46364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  <row r="18">
      <c r="A18" s="6" t="n">
        <v>46371</v>
      </c>
      <c r="B18" s="7" t="inlineStr">
        <is>
          <t>utorak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46378</v>
      </c>
      <c r="B19" s="7" t="inlineStr">
        <is>
          <t>utorak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46385</v>
      </c>
      <c r="B20" s="7" t="inlineStr">
        <is>
          <t>utorak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</sheetData>
  <autoFilter ref="A4:I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H5:H20">
    <cfRule type="expression" priority="5" dxfId="4">
      <formula>H5="x"</formula>
    </cfRule>
  </conditionalFormatting>
  <conditionalFormatting sqref="A5:I2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11" t="inlineStr">
        <is>
          <t>Staklo</t>
        </is>
      </c>
      <c r="D2" s="19" t="n"/>
    </row>
    <row r="3">
      <c r="A3" s="26" t="n">
        <v>46308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46308</v>
      </c>
      <c r="B4" s="19" t="inlineStr">
        <is>
          <t>utorak</t>
        </is>
      </c>
      <c r="C4" s="9" t="inlineStr">
        <is>
          <t>Plastika i metal</t>
        </is>
      </c>
      <c r="D4" s="19" t="n"/>
    </row>
    <row r="5">
      <c r="A5" s="26" t="n">
        <v>46308</v>
      </c>
      <c r="B5" s="19" t="inlineStr">
        <is>
          <t>utorak</t>
        </is>
      </c>
      <c r="C5" s="10" t="inlineStr">
        <is>
          <t>Papir i karton</t>
        </is>
      </c>
      <c r="D5" s="19" t="n"/>
    </row>
    <row r="6">
      <c r="A6" s="26" t="n">
        <v>46315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46322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6" t="n">
        <v>46329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46333</v>
      </c>
      <c r="B9" s="19" t="inlineStr">
        <is>
          <t>subota</t>
        </is>
      </c>
      <c r="C9" s="12" t="inlineStr">
        <is>
          <t>Glomazni otpad</t>
        </is>
      </c>
      <c r="D9" s="19" t="n"/>
    </row>
    <row r="10">
      <c r="A10" s="26" t="n">
        <v>46335</v>
      </c>
      <c r="B10" s="19" t="inlineStr">
        <is>
          <t>ponedjeljak</t>
        </is>
      </c>
      <c r="C10" s="11" t="inlineStr">
        <is>
          <t>Staklo</t>
        </is>
      </c>
      <c r="D10" s="19" t="n"/>
    </row>
    <row r="11">
      <c r="A11" s="26" t="n">
        <v>46336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46336</v>
      </c>
      <c r="B12" s="19" t="inlineStr">
        <is>
          <t>utorak</t>
        </is>
      </c>
      <c r="C12" s="9" t="inlineStr">
        <is>
          <t>Plastika i metal</t>
        </is>
      </c>
      <c r="D12" s="19" t="n"/>
    </row>
    <row r="13">
      <c r="A13" s="26" t="n">
        <v>46336</v>
      </c>
      <c r="B13" s="19" t="inlineStr">
        <is>
          <t>utorak</t>
        </is>
      </c>
      <c r="C13" s="10" t="inlineStr">
        <is>
          <t>Papir i karton</t>
        </is>
      </c>
      <c r="D13" s="19" t="n"/>
    </row>
    <row r="14">
      <c r="A14" s="26" t="n">
        <v>46343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46350</v>
      </c>
      <c r="B15" s="19" t="inlineStr">
        <is>
          <t>utorak</t>
        </is>
      </c>
      <c r="C15" s="5" t="inlineStr">
        <is>
          <t>Miješani komunalni otpad</t>
        </is>
      </c>
      <c r="D15" s="19" t="n"/>
    </row>
    <row r="16">
      <c r="A16" s="26" t="n">
        <v>46357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6" t="n">
        <v>46363</v>
      </c>
      <c r="B17" s="19" t="inlineStr">
        <is>
          <t>ponedjeljak</t>
        </is>
      </c>
      <c r="C17" s="11" t="inlineStr">
        <is>
          <t>Staklo</t>
        </is>
      </c>
      <c r="D17" s="19" t="n"/>
    </row>
    <row r="18">
      <c r="A18" s="26" t="n">
        <v>46364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6" t="n">
        <v>46364</v>
      </c>
      <c r="B19" s="19" t="inlineStr">
        <is>
          <t>utorak</t>
        </is>
      </c>
      <c r="C19" s="9" t="inlineStr">
        <is>
          <t>Plastika i metal</t>
        </is>
      </c>
      <c r="D19" s="19" t="n"/>
    </row>
    <row r="20">
      <c r="A20" s="26" t="n">
        <v>46364</v>
      </c>
      <c r="B20" s="19" t="inlineStr">
        <is>
          <t>utorak</t>
        </is>
      </c>
      <c r="C20" s="10" t="inlineStr">
        <is>
          <t>Papir i karton</t>
        </is>
      </c>
      <c r="D20" s="19" t="n"/>
    </row>
    <row r="21">
      <c r="A21" s="26" t="n">
        <v>46371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46378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  <row r="23">
      <c r="A23" s="26" t="n">
        <v>46385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68 (Velika): ulice i naselja</t>
        </is>
      </c>
    </row>
    <row r="4">
      <c r="A4" s="4" t="inlineStr">
        <is>
          <t>Ulica / naselje</t>
        </is>
      </c>
    </row>
    <row r="5">
      <c r="A5" s="19" t="inlineStr">
        <is>
          <t>Biškupci</t>
        </is>
      </c>
    </row>
    <row r="6">
      <c r="A6" s="19" t="inlineStr">
        <is>
          <t>Doljanci</t>
        </is>
      </c>
    </row>
    <row r="7">
      <c r="A7" s="19" t="inlineStr">
        <is>
          <t>Draga</t>
        </is>
      </c>
    </row>
    <row r="8">
      <c r="A8" s="19" t="inlineStr">
        <is>
          <t>Potočani</t>
        </is>
      </c>
    </row>
    <row r="9">
      <c r="A9" s="19" t="inlineStr">
        <is>
          <t>Radovanci</t>
        </is>
      </c>
    </row>
    <row r="10">
      <c r="A10" s="19" t="inlineStr">
        <is>
          <t>Stražeman</t>
        </is>
      </c>
    </row>
    <row r="11">
      <c r="A11" s="19" t="inlineStr">
        <is>
          <t>Trnovac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
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'Raspored'!$A$4:$J$36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Biootpad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Plastika i metal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Papir i karton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0">
      <c r="A10" s="12" t="inlineStr">
        <is>
          <t>Staklo</t>
        </is>
      </c>
      <c r="B10" s="6">
        <f>IFERROR(1/(1/_xlfn.MINIFS(Raspored!$A$5:$A$36,Raspored!$H$5:$H$36,"x",Raspored!$A$5:$A$36,"&gt;="&amp;$B$3)),"nema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COUNTIF(Raspored!$H$5:$H$36,"x")</f>
        <v/>
      </c>
    </row>
    <row r="11">
      <c r="A11" s="13" t="inlineStr">
        <is>
          <t>Glomazni otpad</t>
        </is>
      </c>
      <c r="B11" s="6">
        <f>IFERROR(1/(1/_xlfn.MINIFS(Raspored!$A$5:$A$36,Raspored!$I$5:$I$36,"x",Raspored!$A$5:$A$36,"&gt;="&amp;$B$3)),"nema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  <c r="F15" s="7">
        <f>COUNTIFS(Raspored!$C$5:$C$36,$A15,Raspored!$H$5:$H$36,"x")</f>
        <v/>
      </c>
      <c r="G15" s="7">
        <f>COUNTIFS(Raspored!$C$5:$C$36,$A15,Raspored!$I$5:$I$36,"x")</f>
        <v/>
      </c>
    </row>
    <row r="16">
      <c r="A16" s="21" t="inlineStr">
        <is>
          <t>veljača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  <c r="F16" s="7">
        <f>COUNTIFS(Raspored!$C$5:$C$36,$A16,Raspored!$H$5:$H$36,"x")</f>
        <v/>
      </c>
      <c r="G16" s="7">
        <f>COUNTIFS(Raspored!$C$5:$C$36,$A16,Raspored!$I$5:$I$36,"x")</f>
        <v/>
      </c>
    </row>
    <row r="17">
      <c r="A17" s="21" t="inlineStr">
        <is>
          <t>ožujak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  <c r="F17" s="7">
        <f>COUNTIFS(Raspored!$C$5:$C$36,$A17,Raspored!$H$5:$H$36,"x")</f>
        <v/>
      </c>
      <c r="G17" s="7">
        <f>COUNTIFS(Raspored!$C$5:$C$36,$A17,Raspored!$I$5:$I$36,"x")</f>
        <v/>
      </c>
    </row>
    <row r="18">
      <c r="A18" s="21" t="inlineStr">
        <is>
          <t>travanj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  <c r="F18" s="7">
        <f>COUNTIFS(Raspored!$C$5:$C$36,$A18,Raspored!$H$5:$H$36,"x")</f>
        <v/>
      </c>
      <c r="G18" s="7">
        <f>COUNTIFS(Raspored!$C$5:$C$36,$A18,Raspored!$I$5:$I$36,"x")</f>
        <v/>
      </c>
    </row>
    <row r="19">
      <c r="A19" s="21" t="inlineStr">
        <is>
          <t>svibanj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  <c r="F19" s="7">
        <f>COUNTIFS(Raspored!$C$5:$C$36,$A19,Raspored!$H$5:$H$36,"x")</f>
        <v/>
      </c>
      <c r="G19" s="7">
        <f>COUNTIFS(Raspored!$C$5:$C$36,$A19,Raspored!$I$5:$I$36,"x")</f>
        <v/>
      </c>
    </row>
    <row r="20">
      <c r="A20" s="21" t="inlineStr">
        <is>
          <t>lipanj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  <c r="F20" s="7">
        <f>COUNTIFS(Raspored!$C$5:$C$36,$A20,Raspored!$H$5:$H$36,"x")</f>
        <v/>
      </c>
      <c r="G20" s="7">
        <f>COUNTIFS(Raspored!$C$5:$C$36,$A20,Raspored!$I$5:$I$36,"x")</f>
        <v/>
      </c>
    </row>
    <row r="21">
      <c r="A21" s="21" t="inlineStr">
        <is>
          <t>srpanj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  <c r="F21" s="7">
        <f>COUNTIFS(Raspored!$C$5:$C$36,$A21,Raspored!$H$5:$H$36,"x")</f>
        <v/>
      </c>
      <c r="G21" s="7">
        <f>COUNTIFS(Raspored!$C$5:$C$36,$A21,Raspored!$I$5:$I$36,"x")</f>
        <v/>
      </c>
    </row>
    <row r="22">
      <c r="A22" s="21" t="inlineStr">
        <is>
          <t>kolovoz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  <c r="F22" s="7">
        <f>COUNTIFS(Raspored!$C$5:$C$36,$A22,Raspored!$H$5:$H$36,"x")</f>
        <v/>
      </c>
      <c r="G22" s="7">
        <f>COUNTIFS(Raspored!$C$5:$C$36,$A22,Raspored!$I$5:$I$36,"x")</f>
        <v/>
      </c>
    </row>
    <row r="23">
      <c r="A23" s="21" t="inlineStr">
        <is>
          <t>rujan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  <c r="F23" s="7">
        <f>COUNTIFS(Raspored!$C$5:$C$36,$A23,Raspored!$H$5:$H$36,"x")</f>
        <v/>
      </c>
      <c r="G23" s="7">
        <f>COUNTIFS(Raspored!$C$5:$C$36,$A23,Raspored!$I$5:$I$36,"x")</f>
        <v/>
      </c>
    </row>
    <row r="24">
      <c r="A24" s="21" t="inlineStr">
        <is>
          <t>listopad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  <c r="F24" s="7">
        <f>COUNTIFS(Raspored!$C$5:$C$36,$A24,Raspored!$H$5:$H$36,"x")</f>
        <v/>
      </c>
      <c r="G24" s="7">
        <f>COUNTIFS(Raspored!$C$5:$C$36,$A24,Raspored!$I$5:$I$36,"x")</f>
        <v/>
      </c>
    </row>
    <row r="25">
      <c r="A25" s="21" t="inlineStr">
        <is>
          <t>studeni</t>
        </is>
      </c>
      <c r="B25" s="7">
        <f>COUNTIFS(Raspored!$C$5:$C$36,$A25,Raspored!$D$5:$D$36,"x")</f>
        <v/>
      </c>
      <c r="C25" s="7">
        <f>COUNTIFS(Raspored!$C$5:$C$36,$A25,Raspored!$E$5:$E$36,"x")</f>
        <v/>
      </c>
      <c r="D25" s="7">
        <f>COUNTIFS(Raspored!$C$5:$C$36,$A25,Raspored!$F$5:$F$36,"x")</f>
        <v/>
      </c>
      <c r="E25" s="7">
        <f>COUNTIFS(Raspored!$C$5:$C$36,$A25,Raspored!$G$5:$G$36,"x")</f>
        <v/>
      </c>
      <c r="F25" s="7">
        <f>COUNTIFS(Raspored!$C$5:$C$36,$A25,Raspored!$H$5:$H$36,"x")</f>
        <v/>
      </c>
      <c r="G25" s="7">
        <f>COUNTIFS(Raspored!$C$5:$C$36,$A25,Raspored!$I$5:$I$36,"x")</f>
        <v/>
      </c>
    </row>
    <row r="26">
      <c r="A26" s="21" t="inlineStr">
        <is>
          <t>prosinac</t>
        </is>
      </c>
      <c r="B26" s="7">
        <f>COUNTIFS(Raspored!$C$5:$C$36,$A26,Raspored!$D$5:$D$36,"x")</f>
        <v/>
      </c>
      <c r="C26" s="7">
        <f>COUNTIFS(Raspored!$C$5:$C$36,$A26,Raspored!$E$5:$E$36,"x")</f>
        <v/>
      </c>
      <c r="D26" s="7">
        <f>COUNTIFS(Raspored!$C$5:$C$36,$A26,Raspored!$F$5:$F$36,"x")</f>
        <v/>
      </c>
      <c r="E26" s="7">
        <f>COUNTIFS(Raspored!$C$5:$C$36,$A26,Raspored!$G$5:$G$36,"x")</f>
        <v/>
      </c>
      <c r="F26" s="7">
        <f>COUNTIFS(Raspored!$C$5:$C$36,$A26,Raspored!$H$5:$H$36,"x")</f>
        <v/>
      </c>
      <c r="G26" s="7">
        <f>COUNTIFS(Raspored!$C$5:$C$36,$A26,Raspored!$I$5:$I$36,"x")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5" t="inlineStr">
        <is>
          <t>• Pomaci zbog blagdana već su upisani u datume (odvoz se seli na subotu prije ili poslije blagdana).</t>
        </is>
      </c>
    </row>
    <row r="33">
      <c r="A33" s="25" t="inlineStr">
        <is>
          <t>• Papir i plastika odvoze se zajedno (plavo-žuti spremnik), jednom mjesečno.</t>
        </is>
      </c>
    </row>
    <row r="34">
      <c r="A34" s="25" t="inlineStr">
        <is>
          <t>• Glomazni otpad: datumi iz kalendara; izvan Grada Požege potrebu odvoza prijavite na (034) 440 997 najkasnije dan uoči odvoza do 13 sati.</t>
        </is>
      </c>
    </row>
    <row r="35">
      <c r="A35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44 (Pleternica)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46316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46319</v>
      </c>
      <c r="B11" s="7" t="inlineStr">
        <is>
          <t>subota</t>
        </is>
      </c>
      <c r="C11" s="7" t="inlineStr">
        <is>
          <t>listopad</t>
        </is>
      </c>
      <c r="D11" s="7" t="n"/>
      <c r="E11" s="7" t="n"/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46321</v>
      </c>
      <c r="B12" s="7" t="inlineStr">
        <is>
          <t>ponedjeljak</t>
        </is>
      </c>
      <c r="C12" s="7" t="inlineStr">
        <is>
          <t>listopad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46323</v>
      </c>
      <c r="B13" s="7" t="inlineStr">
        <is>
          <t>srijeda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46324</v>
      </c>
      <c r="B14" s="7" t="inlineStr">
        <is>
          <t>četvrtak</t>
        </is>
      </c>
      <c r="C14" s="7" t="inlineStr">
        <is>
          <t>listopad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46330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46337</v>
      </c>
      <c r="B17" s="7" t="inlineStr">
        <is>
          <t>srijeda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46338</v>
      </c>
      <c r="B18" s="7" t="inlineStr">
        <is>
          <t>četvrtak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46343</v>
      </c>
      <c r="B19" s="7" t="inlineStr">
        <is>
          <t>utorak</t>
        </is>
      </c>
      <c r="C19" s="7" t="inlineStr">
        <is>
          <t>studeni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46345</v>
      </c>
      <c r="B20" s="7" t="inlineStr">
        <is>
          <t>četvrtak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28" t="n">
        <v>46347</v>
      </c>
      <c r="B21" s="29" t="inlineStr">
        <is>
          <t>subota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inlineStr">
        <is>
          <t>Pomaknuto zbog neradnog dana u tjednu</t>
        </is>
      </c>
    </row>
    <row r="22">
      <c r="A22" s="6" t="n">
        <v>46349</v>
      </c>
      <c r="B22" s="7" t="inlineStr">
        <is>
          <t>ponedjeljak</t>
        </is>
      </c>
      <c r="C22" s="7" t="inlineStr">
        <is>
          <t>studeni</t>
        </is>
      </c>
      <c r="D22" s="7" t="n"/>
      <c r="E22" s="7" t="n"/>
      <c r="F22" s="7" t="n"/>
      <c r="G22" s="7" t="n"/>
      <c r="H22" s="7" t="inlineStr">
        <is>
          <t>x</t>
        </is>
      </c>
      <c r="I22" s="7" t="n"/>
      <c r="J22" s="27" t="n"/>
    </row>
    <row r="23">
      <c r="A23" s="6" t="n">
        <v>46351</v>
      </c>
      <c r="B23" s="7" t="inlineStr">
        <is>
          <t>srijeda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46352</v>
      </c>
      <c r="B24" s="7" t="inlineStr">
        <is>
          <t>četvrtak</t>
        </is>
      </c>
      <c r="C24" s="7" t="inlineStr">
        <is>
          <t>studeni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46358</v>
      </c>
      <c r="B25" s="7" t="inlineStr">
        <is>
          <t>srijeda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46359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46366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46371</v>
      </c>
      <c r="B29" s="7" t="inlineStr">
        <is>
          <t>utorak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46372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46373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46377</v>
      </c>
      <c r="B32" s="7" t="inlineStr">
        <is>
          <t>ponedjeljak</t>
        </is>
      </c>
      <c r="C32" s="7" t="inlineStr">
        <is>
          <t>prosinac</t>
        </is>
      </c>
      <c r="D32" s="7" t="n"/>
      <c r="E32" s="7" t="n"/>
      <c r="F32" s="7" t="n"/>
      <c r="G32" s="7" t="n"/>
      <c r="H32" s="7" t="inlineStr">
        <is>
          <t>x</t>
        </is>
      </c>
      <c r="I32" s="7" t="n"/>
      <c r="J32" s="27" t="n"/>
    </row>
    <row r="33">
      <c r="A33" s="6" t="n">
        <v>46379</v>
      </c>
      <c r="B33" s="7" t="inlineStr">
        <is>
          <t>srijeda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46380</v>
      </c>
      <c r="B34" s="7" t="inlineStr">
        <is>
          <t>četvrtak</t>
        </is>
      </c>
      <c r="C34" s="7" t="inlineStr">
        <is>
          <t>prosinac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46386</v>
      </c>
      <c r="B35" s="7" t="inlineStr">
        <is>
          <t>srijeda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46387</v>
      </c>
      <c r="B36" s="7" t="inlineStr">
        <is>
          <t>četvrtak</t>
        </is>
      </c>
      <c r="C36" s="7" t="inlineStr">
        <is>
          <t>prosinac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</sheetData>
  <autoFilter ref="A4:J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H5:H36">
    <cfRule type="expression" priority="5" dxfId="4">
      <formula>H5="x"</formula>
    </cfRule>
  </conditionalFormatting>
  <conditionalFormatting sqref="I5:I36">
    <cfRule type="expression" priority="6" dxfId="5">
      <formula>I5="x"</formula>
    </cfRule>
  </conditionalFormatting>
  <conditionalFormatting sqref="A5:J3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30" t="n">
        <v>46309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30" t="n">
        <v>46310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30" t="n">
        <v>46315</v>
      </c>
      <c r="B5" s="21" t="inlineStr">
        <is>
          <t>utorak</t>
        </is>
      </c>
      <c r="C5" s="10" t="inlineStr">
        <is>
          <t>Plastika i metal</t>
        </is>
      </c>
      <c r="D5" s="21" t="n"/>
    </row>
    <row r="6">
      <c r="A6" s="30" t="n">
        <v>46315</v>
      </c>
      <c r="B6" s="21" t="inlineStr">
        <is>
          <t>utorak</t>
        </is>
      </c>
      <c r="C6" s="11" t="inlineStr">
        <is>
          <t>Papir i karton</t>
        </is>
      </c>
      <c r="D6" s="21" t="n"/>
    </row>
    <row r="7">
      <c r="A7" s="30" t="n">
        <v>46316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30" t="n">
        <v>46317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30" t="n">
        <v>46319</v>
      </c>
      <c r="B9" s="21" t="inlineStr">
        <is>
          <t>subota</t>
        </is>
      </c>
      <c r="C9" s="13" t="inlineStr">
        <is>
          <t>Glomazni otpad</t>
        </is>
      </c>
      <c r="D9" s="21" t="n"/>
    </row>
    <row r="10">
      <c r="A10" s="30" t="n">
        <v>46321</v>
      </c>
      <c r="B10" s="21" t="inlineStr">
        <is>
          <t>ponedjeljak</t>
        </is>
      </c>
      <c r="C10" s="12" t="inlineStr">
        <is>
          <t>Staklo</t>
        </is>
      </c>
      <c r="D10" s="21" t="n"/>
    </row>
    <row r="11">
      <c r="A11" s="30" t="n">
        <v>46323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30" t="n">
        <v>46324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30" t="n">
        <v>46330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30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30" t="n">
        <v>46337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30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30" t="n">
        <v>46343</v>
      </c>
      <c r="B17" s="21" t="inlineStr">
        <is>
          <t>utorak</t>
        </is>
      </c>
      <c r="C17" s="10" t="inlineStr">
        <is>
          <t>Plastika i metal</t>
        </is>
      </c>
      <c r="D17" s="21" t="n"/>
    </row>
    <row r="18">
      <c r="A18" s="30" t="n">
        <v>46343</v>
      </c>
      <c r="B18" s="21" t="inlineStr">
        <is>
          <t>utorak</t>
        </is>
      </c>
      <c r="C18" s="11" t="inlineStr">
        <is>
          <t>Papir i karton</t>
        </is>
      </c>
      <c r="D18" s="21" t="n"/>
    </row>
    <row r="19">
      <c r="A19" s="30" t="n">
        <v>46345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30" t="n">
        <v>46347</v>
      </c>
      <c r="B20" s="21" t="inlineStr">
        <is>
          <t>subota</t>
        </is>
      </c>
      <c r="C20" s="5" t="inlineStr">
        <is>
          <t>Miješani komunalni otpad</t>
        </is>
      </c>
      <c r="D20" s="21" t="inlineStr">
        <is>
          <t>Pomaknuto zbog neradnog dana u tjednu</t>
        </is>
      </c>
    </row>
    <row r="21">
      <c r="A21" s="30" t="n">
        <v>46349</v>
      </c>
      <c r="B21" s="21" t="inlineStr">
        <is>
          <t>ponedjeljak</t>
        </is>
      </c>
      <c r="C21" s="12" t="inlineStr">
        <is>
          <t>Staklo</t>
        </is>
      </c>
      <c r="D21" s="21" t="n"/>
    </row>
    <row r="22">
      <c r="A22" s="30" t="n">
        <v>46351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30" t="n">
        <v>46352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30" t="n">
        <v>46358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30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30" t="n">
        <v>46365</v>
      </c>
      <c r="B26" s="21" t="inlineStr">
        <is>
          <t>srijeda</t>
        </is>
      </c>
      <c r="C26" s="5" t="inlineStr">
        <is>
          <t>Miješani komunalni otpad</t>
        </is>
      </c>
      <c r="D26" s="21" t="n"/>
    </row>
    <row r="27">
      <c r="A27" s="30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30" t="n">
        <v>46371</v>
      </c>
      <c r="B28" s="21" t="inlineStr">
        <is>
          <t>utorak</t>
        </is>
      </c>
      <c r="C28" s="10" t="inlineStr">
        <is>
          <t>Plastika i metal</t>
        </is>
      </c>
      <c r="D28" s="21" t="n"/>
    </row>
    <row r="29">
      <c r="A29" s="30" t="n">
        <v>46371</v>
      </c>
      <c r="B29" s="21" t="inlineStr">
        <is>
          <t>utorak</t>
        </is>
      </c>
      <c r="C29" s="11" t="inlineStr">
        <is>
          <t>Papir i karton</t>
        </is>
      </c>
      <c r="D29" s="21" t="n"/>
    </row>
    <row r="30">
      <c r="A30" s="30" t="n">
        <v>46372</v>
      </c>
      <c r="B30" s="21" t="inlineStr">
        <is>
          <t>srijeda</t>
        </is>
      </c>
      <c r="C30" s="5" t="inlineStr">
        <is>
          <t>Miješani komunalni otpad</t>
        </is>
      </c>
      <c r="D30" s="21" t="n"/>
    </row>
    <row r="31">
      <c r="A31" s="30" t="n">
        <v>46373</v>
      </c>
      <c r="B31" s="21" t="inlineStr">
        <is>
          <t>četvrtak</t>
        </is>
      </c>
      <c r="C31" s="9" t="inlineStr">
        <is>
          <t>Biootpad</t>
        </is>
      </c>
      <c r="D31" s="21" t="n"/>
    </row>
    <row r="32">
      <c r="A32" s="30" t="n">
        <v>46377</v>
      </c>
      <c r="B32" s="21" t="inlineStr">
        <is>
          <t>ponedjeljak</t>
        </is>
      </c>
      <c r="C32" s="12" t="inlineStr">
        <is>
          <t>Staklo</t>
        </is>
      </c>
      <c r="D32" s="21" t="n"/>
    </row>
    <row r="33">
      <c r="A33" s="30" t="n">
        <v>46379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46380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30" t="n">
        <v>46386</v>
      </c>
      <c r="B35" s="21" t="inlineStr">
        <is>
          <t>srijeda</t>
        </is>
      </c>
      <c r="C35" s="5" t="inlineStr">
        <is>
          <t>Miješani komunalni otpad</t>
        </is>
      </c>
      <c r="D35" s="21" t="n"/>
    </row>
    <row r="36">
      <c r="A36" s="30" t="n">
        <v>46387</v>
      </c>
      <c r="B36" s="21" t="inlineStr">
        <is>
          <t>četvrtak</t>
        </is>
      </c>
      <c r="C36" s="9" t="inlineStr">
        <is>
          <t>Biootpad</t>
        </is>
      </c>
      <c r="D36" s="21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(Pleternica): ulice i naselja</t>
        </is>
      </c>
    </row>
    <row r="4">
      <c r="A4" s="4" t="inlineStr">
        <is>
          <t>Ulica / naselje</t>
        </is>
      </c>
    </row>
    <row r="5">
      <c r="A5" s="21" t="inlineStr">
        <is>
          <t>Kralja Zvonimira (Pleternica)</t>
        </is>
      </c>
    </row>
    <row r="6">
      <c r="A6" s="21" t="inlineStr">
        <is>
          <t>Zvonimirova (Pleternica)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
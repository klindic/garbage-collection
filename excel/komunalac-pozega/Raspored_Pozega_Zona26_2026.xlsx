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'Raspored'!$A$4:$H$20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Plastika i metal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9">
      <c r="A9" s="11" t="inlineStr">
        <is>
          <t>Staklo</t>
        </is>
      </c>
      <c r="B9" s="6">
        <f>IFERROR(1/(1/_xlfn.MINIFS(Raspored!$A$5:$A$20,Raspored!$G$5:$G$20,"x",Raspored!$A$5:$A$20,"&gt;="&amp;$B$3)),"nema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  <c r="E13" s="7">
        <f>COUNTIFS(Raspored!$C$5:$C$20,$A13,Raspored!$G$5:$G$20,"x")</f>
        <v/>
      </c>
    </row>
    <row r="14">
      <c r="A14" s="17" t="inlineStr">
        <is>
          <t>veljača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  <c r="E14" s="7">
        <f>COUNTIFS(Raspored!$C$5:$C$20,$A14,Raspored!$G$5:$G$20,"x")</f>
        <v/>
      </c>
    </row>
    <row r="15">
      <c r="A15" s="17" t="inlineStr">
        <is>
          <t>ožujak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  <c r="E15" s="7">
        <f>COUNTIFS(Raspored!$C$5:$C$20,$A15,Raspored!$G$5:$G$20,"x")</f>
        <v/>
      </c>
    </row>
    <row r="16">
      <c r="A16" s="17" t="inlineStr">
        <is>
          <t>travanj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  <c r="E16" s="7">
        <f>COUNTIFS(Raspored!$C$5:$C$20,$A16,Raspored!$G$5:$G$20,"x")</f>
        <v/>
      </c>
    </row>
    <row r="17">
      <c r="A17" s="17" t="inlineStr">
        <is>
          <t>svibanj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  <c r="E17" s="7">
        <f>COUNTIFS(Raspored!$C$5:$C$20,$A17,Raspored!$G$5:$G$20,"x")</f>
        <v/>
      </c>
    </row>
    <row r="18">
      <c r="A18" s="17" t="inlineStr">
        <is>
          <t>lipanj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  <c r="E18" s="7">
        <f>COUNTIFS(Raspored!$C$5:$C$20,$A18,Raspored!$G$5:$G$20,"x")</f>
        <v/>
      </c>
    </row>
    <row r="19">
      <c r="A19" s="17" t="inlineStr">
        <is>
          <t>srpanj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  <c r="E19" s="7">
        <f>COUNTIFS(Raspored!$C$5:$C$20,$A19,Raspored!$G$5:$G$20,"x")</f>
        <v/>
      </c>
    </row>
    <row r="20">
      <c r="A20" s="17" t="inlineStr">
        <is>
          <t>kolovoz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  <c r="E20" s="7">
        <f>COUNTIFS(Raspored!$C$5:$C$20,$A20,Raspored!$G$5:$G$20,"x")</f>
        <v/>
      </c>
    </row>
    <row r="21">
      <c r="A21" s="17" t="inlineStr">
        <is>
          <t>rujan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  <c r="E21" s="7">
        <f>COUNTIFS(Raspored!$C$5:$C$20,$A21,Raspored!$G$5:$G$20,"x")</f>
        <v/>
      </c>
    </row>
    <row r="22">
      <c r="A22" s="17" t="inlineStr">
        <is>
          <t>listopad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  <c r="E22" s="7">
        <f>COUNTIFS(Raspored!$C$5:$C$20,$A22,Raspored!$G$5:$G$20,"x")</f>
        <v/>
      </c>
    </row>
    <row r="23">
      <c r="A23" s="17" t="inlineStr">
        <is>
          <t>studeni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  <c r="E23" s="7">
        <f>COUNTIFS(Raspored!$C$5:$C$20,$A23,Raspored!$G$5:$G$20,"x")</f>
        <v/>
      </c>
    </row>
    <row r="24">
      <c r="A24" s="17" t="inlineStr">
        <is>
          <t>prosinac</t>
        </is>
      </c>
      <c r="B24" s="7">
        <f>COUNTIFS(Raspored!$C$5:$C$20,$A24,Raspored!$D$5:$D$20,"x")</f>
        <v/>
      </c>
      <c r="C24" s="7">
        <f>COUNTIFS(Raspored!$C$5:$C$20,$A24,Raspored!$E$5:$E$20,"x")</f>
        <v/>
      </c>
      <c r="D24" s="7">
        <f>COUNTIFS(Raspored!$C$5:$C$20,$A24,Raspored!$F$5:$F$20,"x")</f>
        <v/>
      </c>
      <c r="E24" s="7">
        <f>COUNTIFS(Raspored!$C$5:$C$20,$A24,Raspored!$G$5:$G$20,"x")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26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46304</v>
      </c>
      <c r="B6" s="7" t="inlineStr">
        <is>
          <t>petak</t>
        </is>
      </c>
      <c r="C6" s="7" t="inlineStr">
        <is>
          <t>listopad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46317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46324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46331</v>
      </c>
      <c r="B10" s="7" t="inlineStr">
        <is>
          <t>četvrtak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46338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46339</v>
      </c>
      <c r="B12" s="7" t="inlineStr">
        <is>
          <t>petak</t>
        </is>
      </c>
      <c r="C12" s="7" t="inlineStr">
        <is>
          <t>studeni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46345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46352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46359</v>
      </c>
      <c r="B15" s="7" t="inlineStr">
        <is>
          <t>četvrtak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46366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46367</v>
      </c>
      <c r="B17" s="7" t="inlineStr">
        <is>
          <t>petak</t>
        </is>
      </c>
      <c r="C17" s="7" t="inlineStr">
        <is>
          <t>prosinac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46373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46380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46387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23" t="n"/>
    </row>
  </sheetData>
  <autoFilter ref="A4:H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G5:G20">
    <cfRule type="expression" priority="4" dxfId="3">
      <formula>G5="x"</formula>
    </cfRule>
  </conditionalFormatting>
  <conditionalFormatting sqref="A5:H2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46303</v>
      </c>
      <c r="B3" s="17" t="inlineStr">
        <is>
          <t>četvrtak</t>
        </is>
      </c>
      <c r="C3" s="9" t="inlineStr">
        <is>
          <t>Plastika i metal</t>
        </is>
      </c>
      <c r="D3" s="17" t="n"/>
    </row>
    <row r="4">
      <c r="A4" s="24" t="n">
        <v>46303</v>
      </c>
      <c r="B4" s="17" t="inlineStr">
        <is>
          <t>četvrtak</t>
        </is>
      </c>
      <c r="C4" s="10" t="inlineStr">
        <is>
          <t>Papir i karton</t>
        </is>
      </c>
      <c r="D4" s="17" t="n"/>
    </row>
    <row r="5">
      <c r="A5" s="24" t="n">
        <v>46304</v>
      </c>
      <c r="B5" s="17" t="inlineStr">
        <is>
          <t>petak</t>
        </is>
      </c>
      <c r="C5" s="11" t="inlineStr">
        <is>
          <t>Staklo</t>
        </is>
      </c>
      <c r="D5" s="17" t="n"/>
    </row>
    <row r="6">
      <c r="A6" s="24" t="n">
        <v>46310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46317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46324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46331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46338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46338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4" t="n">
        <v>46338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4" t="n">
        <v>46339</v>
      </c>
      <c r="B13" s="17" t="inlineStr">
        <is>
          <t>petak</t>
        </is>
      </c>
      <c r="C13" s="11" t="inlineStr">
        <is>
          <t>Staklo</t>
        </is>
      </c>
      <c r="D13" s="17" t="n"/>
    </row>
    <row r="14">
      <c r="A14" s="24" t="n">
        <v>46345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46352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46359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46366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46366</v>
      </c>
      <c r="B18" s="17" t="inlineStr">
        <is>
          <t>četvrtak</t>
        </is>
      </c>
      <c r="C18" s="9" t="inlineStr">
        <is>
          <t>Plastika i metal</t>
        </is>
      </c>
      <c r="D18" s="17" t="n"/>
    </row>
    <row r="19">
      <c r="A19" s="24" t="n">
        <v>46366</v>
      </c>
      <c r="B19" s="17" t="inlineStr">
        <is>
          <t>četvrtak</t>
        </is>
      </c>
      <c r="C19" s="10" t="inlineStr">
        <is>
          <t>Papir i karton</t>
        </is>
      </c>
      <c r="D19" s="17" t="n"/>
    </row>
    <row r="20">
      <c r="A20" s="24" t="n">
        <v>46367</v>
      </c>
      <c r="B20" s="17" t="inlineStr">
        <is>
          <t>petak</t>
        </is>
      </c>
      <c r="C20" s="11" t="inlineStr">
        <is>
          <t>Staklo</t>
        </is>
      </c>
      <c r="D20" s="17" t="n"/>
    </row>
    <row r="21">
      <c r="A21" s="24" t="n">
        <v>46373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46380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46387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Mihaljevci</t>
        </is>
      </c>
    </row>
    <row r="6">
      <c r="A6" s="17" t="inlineStr">
        <is>
          <t>Novi Mihaljevci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
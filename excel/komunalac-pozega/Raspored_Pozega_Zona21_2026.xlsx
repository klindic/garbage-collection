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'Raspored'!$A$4:$H$20</definedName>
    <definedName name="_xlnm._FilterDatabase" localSheetId="2" hidden="1">'Po vrsti'!$A$1:$D$20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  <c r="E13" s="7">
        <f>COUNTIFS(Raspored!$C$5:$C$20,$A13,Raspored!$G$5:$G$20,"x")</f>
        <v/>
      </c>
    </row>
    <row r="14">
      <c r="A14" s="17" t="inlineStr">
        <is>
          <t>veljača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</row>
    <row r="15">
      <c r="A15" s="17" t="inlineStr">
        <is>
          <t>ožujak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</row>
    <row r="16">
      <c r="A16" s="17" t="inlineStr">
        <is>
          <t>travanj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</row>
    <row r="17">
      <c r="A17" s="17" t="inlineStr">
        <is>
          <t>svibanj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</row>
    <row r="18">
      <c r="A18" s="17" t="inlineStr">
        <is>
          <t>lipanj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</row>
    <row r="19">
      <c r="A19" s="17" t="inlineStr">
        <is>
          <t>srpanj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</row>
    <row r="20">
      <c r="A20" s="17" t="inlineStr">
        <is>
          <t>kolovoz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</row>
    <row r="21">
      <c r="A21" s="17" t="inlineStr">
        <is>
          <t>rujan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</row>
    <row r="22">
      <c r="A22" s="17" t="inlineStr">
        <is>
          <t>listopad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</row>
    <row r="23">
      <c r="A23" s="17" t="inlineStr">
        <is>
          <t>studeni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</row>
    <row r="24">
      <c r="A24" s="17" t="inlineStr">
        <is>
          <t>prosinac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21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46359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46373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46380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46387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n"/>
      <c r="F20" s="7" t="n"/>
      <c r="G20" s="7" t="n"/>
      <c r="H20" s="23" t="n"/>
    </row>
  </sheetData>
  <autoFilter ref="A4:H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A5:H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46310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46317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46324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46328</v>
      </c>
      <c r="B6" s="17" t="inlineStr">
        <is>
          <t>ponedjeljak</t>
        </is>
      </c>
      <c r="C6" s="9" t="inlineStr">
        <is>
          <t>Plastika i metal</t>
        </is>
      </c>
      <c r="D6" s="17" t="n"/>
    </row>
    <row r="7">
      <c r="A7" s="24" t="n">
        <v>46328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46328</v>
      </c>
      <c r="B8" s="17" t="inlineStr">
        <is>
          <t>ponedjeljak</t>
        </is>
      </c>
      <c r="C8" s="11" t="inlineStr">
        <is>
          <t>Staklo</t>
        </is>
      </c>
      <c r="D8" s="17" t="n"/>
    </row>
    <row r="9">
      <c r="A9" s="24" t="n">
        <v>46331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46338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46345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46352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46356</v>
      </c>
      <c r="B13" s="17" t="inlineStr">
        <is>
          <t>ponedjeljak</t>
        </is>
      </c>
      <c r="C13" s="11" t="inlineStr">
        <is>
          <t>Staklo</t>
        </is>
      </c>
      <c r="D13" s="17" t="n"/>
    </row>
    <row r="14">
      <c r="A14" s="24" t="n">
        <v>46359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46363</v>
      </c>
      <c r="B15" s="17" t="inlineStr">
        <is>
          <t>ponedjeljak</t>
        </is>
      </c>
      <c r="C15" s="9" t="inlineStr">
        <is>
          <t>Plastika i metal</t>
        </is>
      </c>
      <c r="D15" s="17" t="n"/>
    </row>
    <row r="16">
      <c r="A16" s="24" t="n">
        <v>46363</v>
      </c>
      <c r="B16" s="17" t="inlineStr">
        <is>
          <t>ponedjeljak</t>
        </is>
      </c>
      <c r="C16" s="10" t="inlineStr">
        <is>
          <t>Papir i karton</t>
        </is>
      </c>
      <c r="D16" s="17" t="n"/>
    </row>
    <row r="17">
      <c r="A17" s="24" t="n">
        <v>46366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46373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46380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46387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</sheetData>
  <autoFilter ref="A1:D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Bagdala (Dervišaga)</t>
        </is>
      </c>
    </row>
    <row r="6">
      <c r="A6" s="17" t="inlineStr">
        <is>
          <t>Matije Gupca (Vidovci)</t>
        </is>
      </c>
    </row>
    <row r="7">
      <c r="A7" s="17" t="inlineStr">
        <is>
          <t>Matije Gupca - kućni brojevi 25, 27 (Dervišaga)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
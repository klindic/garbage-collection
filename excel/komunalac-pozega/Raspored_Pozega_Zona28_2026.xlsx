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'Raspored'!$A$4:$I$28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Biootpad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Plastika i metal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Papir i karton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0">
      <c r="A10" s="12" t="inlineStr">
        <is>
          <t>Staklo</t>
        </is>
      </c>
      <c r="B10" s="6">
        <f>IFERROR(1/(1/_xlfn.MINIFS(Raspored!$A$5:$A$28,Raspored!$H$5:$H$28,"x",Raspored!$A$5:$A$28,"&gt;="&amp;$B$3)),"nema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  <c r="F14" s="7">
        <f>COUNTIFS(Raspored!$C$5:$C$28,$A14,Raspored!$H$5:$H$28,"x")</f>
        <v/>
      </c>
    </row>
    <row r="15">
      <c r="A15" s="19" t="inlineStr">
        <is>
          <t>veljača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  <c r="F15" s="7">
        <f>COUNTIFS(Raspored!$C$5:$C$28,$A15,Raspored!$H$5:$H$28,"x")</f>
        <v/>
      </c>
    </row>
    <row r="16">
      <c r="A16" s="19" t="inlineStr">
        <is>
          <t>ožujak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  <c r="F16" s="7">
        <f>COUNTIFS(Raspored!$C$5:$C$28,$A16,Raspored!$H$5:$H$28,"x")</f>
        <v/>
      </c>
    </row>
    <row r="17">
      <c r="A17" s="19" t="inlineStr">
        <is>
          <t>travanj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  <c r="F17" s="7">
        <f>COUNTIFS(Raspored!$C$5:$C$28,$A17,Raspored!$H$5:$H$28,"x")</f>
        <v/>
      </c>
    </row>
    <row r="18">
      <c r="A18" s="19" t="inlineStr">
        <is>
          <t>svibanj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  <c r="F18" s="7">
        <f>COUNTIFS(Raspored!$C$5:$C$28,$A18,Raspored!$H$5:$H$28,"x")</f>
        <v/>
      </c>
    </row>
    <row r="19">
      <c r="A19" s="19" t="inlineStr">
        <is>
          <t>lipanj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  <c r="F19" s="7">
        <f>COUNTIFS(Raspored!$C$5:$C$28,$A19,Raspored!$H$5:$H$28,"x")</f>
        <v/>
      </c>
    </row>
    <row r="20">
      <c r="A20" s="19" t="inlineStr">
        <is>
          <t>srpanj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  <c r="F20" s="7">
        <f>COUNTIFS(Raspored!$C$5:$C$28,$A20,Raspored!$H$5:$H$28,"x")</f>
        <v/>
      </c>
    </row>
    <row r="21">
      <c r="A21" s="19" t="inlineStr">
        <is>
          <t>kolovoz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  <c r="F21" s="7">
        <f>COUNTIFS(Raspored!$C$5:$C$28,$A21,Raspored!$H$5:$H$28,"x")</f>
        <v/>
      </c>
    </row>
    <row r="22">
      <c r="A22" s="19" t="inlineStr">
        <is>
          <t>rujan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  <c r="F22" s="7">
        <f>COUNTIFS(Raspored!$C$5:$C$28,$A22,Raspored!$H$5:$H$28,"x")</f>
        <v/>
      </c>
    </row>
    <row r="23">
      <c r="A23" s="19" t="inlineStr">
        <is>
          <t>listopad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  <c r="F23" s="7">
        <f>COUNTIFS(Raspored!$C$5:$C$28,$A23,Raspored!$H$5:$H$28,"x")</f>
        <v/>
      </c>
    </row>
    <row r="24">
      <c r="A24" s="19" t="inlineStr">
        <is>
          <t>studeni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  <c r="F24" s="7">
        <f>COUNTIFS(Raspored!$C$5:$C$28,$A24,Raspored!$H$5:$H$28,"x")</f>
        <v/>
      </c>
    </row>
    <row r="25">
      <c r="A25" s="19" t="inlineStr">
        <is>
          <t>prosinac</t>
        </is>
      </c>
      <c r="B25" s="7">
        <f>COUNTIFS(Raspored!$C$5:$C$28,$A25,Raspored!$D$5:$D$28,"x")</f>
        <v/>
      </c>
      <c r="C25" s="7">
        <f>COUNTIFS(Raspored!$C$5:$C$28,$A25,Raspored!$E$5:$E$28,"x")</f>
        <v/>
      </c>
      <c r="D25" s="7">
        <f>COUNTIFS(Raspored!$C$5:$C$28,$A25,Raspored!$F$5:$F$28,"x")</f>
        <v/>
      </c>
      <c r="E25" s="7">
        <f>COUNTIFS(Raspored!$C$5:$C$28,$A25,Raspored!$G$5:$G$28,"x")</f>
        <v/>
      </c>
      <c r="F25" s="7">
        <f>COUNTIFS(Raspored!$C$5:$C$28,$A25,Raspored!$H$5:$H$28,"x")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28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46311</v>
      </c>
      <c r="B8" s="7" t="inlineStr">
        <is>
          <t>petak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n"/>
      <c r="G10" s="7" t="n"/>
      <c r="H10" s="7" t="inlineStr">
        <is>
          <t>x</t>
        </is>
      </c>
      <c r="I10" s="25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46325</v>
      </c>
      <c r="B12" s="7" t="inlineStr">
        <is>
          <t>petak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25" t="n"/>
    </row>
    <row r="13">
      <c r="A13" s="6" t="n">
        <v>46331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46332</v>
      </c>
      <c r="B14" s="7" t="inlineStr">
        <is>
          <t>petak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46338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46339</v>
      </c>
      <c r="B16" s="7" t="inlineStr">
        <is>
          <t>petak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46345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46346</v>
      </c>
      <c r="B18" s="7" t="inlineStr">
        <is>
          <t>petak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7" t="inlineStr">
        <is>
          <t>x</t>
        </is>
      </c>
      <c r="I18" s="25" t="n"/>
    </row>
    <row r="19">
      <c r="A19" s="6" t="n">
        <v>46352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46353</v>
      </c>
      <c r="B20" s="7" t="inlineStr">
        <is>
          <t>petak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25" t="n"/>
    </row>
    <row r="21">
      <c r="A21" s="6" t="n">
        <v>46359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46360</v>
      </c>
      <c r="B22" s="7" t="inlineStr">
        <is>
          <t>petak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46366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46367</v>
      </c>
      <c r="B24" s="7" t="inlineStr">
        <is>
          <t>petak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46373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46374</v>
      </c>
      <c r="B26" s="7" t="inlineStr">
        <is>
          <t>petak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inlineStr">
        <is>
          <t>x</t>
        </is>
      </c>
      <c r="I26" s="25" t="n"/>
    </row>
    <row r="27">
      <c r="A27" s="6" t="n">
        <v>46380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46387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7" t="n"/>
      <c r="I28" s="25" t="n"/>
    </row>
  </sheetData>
  <autoFilter ref="A4:I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H5:H28">
    <cfRule type="expression" priority="5" dxfId="4">
      <formula>H5="x"</formula>
    </cfRule>
  </conditionalFormatting>
  <conditionalFormatting sqref="A5:I2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46304</v>
      </c>
      <c r="B3" s="19" t="inlineStr">
        <is>
          <t>petak</t>
        </is>
      </c>
      <c r="C3" s="9" t="inlineStr">
        <is>
          <t>Biootpad</t>
        </is>
      </c>
      <c r="D3" s="19" t="n"/>
    </row>
    <row r="4">
      <c r="A4" s="26" t="n">
        <v>46310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6" t="n">
        <v>46311</v>
      </c>
      <c r="B5" s="19" t="inlineStr">
        <is>
          <t>petak</t>
        </is>
      </c>
      <c r="C5" s="9" t="inlineStr">
        <is>
          <t>Biootpad</t>
        </is>
      </c>
      <c r="D5" s="19" t="n"/>
    </row>
    <row r="6">
      <c r="A6" s="26" t="n">
        <v>46317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46318</v>
      </c>
      <c r="B7" s="19" t="inlineStr">
        <is>
          <t>petak</t>
        </is>
      </c>
      <c r="C7" s="9" t="inlineStr">
        <is>
          <t>Biootpad</t>
        </is>
      </c>
      <c r="D7" s="19" t="n"/>
    </row>
    <row r="8">
      <c r="A8" s="26" t="n">
        <v>46318</v>
      </c>
      <c r="B8" s="19" t="inlineStr">
        <is>
          <t>petak</t>
        </is>
      </c>
      <c r="C8" s="12" t="inlineStr">
        <is>
          <t>Staklo</t>
        </is>
      </c>
      <c r="D8" s="19" t="n"/>
    </row>
    <row r="9">
      <c r="A9" s="26" t="n">
        <v>46324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46325</v>
      </c>
      <c r="B10" s="19" t="inlineStr">
        <is>
          <t>petak</t>
        </is>
      </c>
      <c r="C10" s="9" t="inlineStr">
        <is>
          <t>Biootpad</t>
        </is>
      </c>
      <c r="D10" s="19" t="n"/>
    </row>
    <row r="11">
      <c r="A11" s="26" t="n">
        <v>46325</v>
      </c>
      <c r="B11" s="19" t="inlineStr">
        <is>
          <t>petak</t>
        </is>
      </c>
      <c r="C11" s="10" t="inlineStr">
        <is>
          <t>Plastika i metal</t>
        </is>
      </c>
      <c r="D11" s="19" t="n"/>
    </row>
    <row r="12">
      <c r="A12" s="26" t="n">
        <v>46325</v>
      </c>
      <c r="B12" s="19" t="inlineStr">
        <is>
          <t>petak</t>
        </is>
      </c>
      <c r="C12" s="11" t="inlineStr">
        <is>
          <t>Papir i karton</t>
        </is>
      </c>
      <c r="D12" s="19" t="n"/>
    </row>
    <row r="13">
      <c r="A13" s="26" t="n">
        <v>46331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46332</v>
      </c>
      <c r="B14" s="19" t="inlineStr">
        <is>
          <t>petak</t>
        </is>
      </c>
      <c r="C14" s="9" t="inlineStr">
        <is>
          <t>Biootpad</t>
        </is>
      </c>
      <c r="D14" s="19" t="n"/>
    </row>
    <row r="15">
      <c r="A15" s="26" t="n">
        <v>46338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46339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6" t="n">
        <v>46345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46346</v>
      </c>
      <c r="B18" s="19" t="inlineStr">
        <is>
          <t>petak</t>
        </is>
      </c>
      <c r="C18" s="9" t="inlineStr">
        <is>
          <t>Biootpad</t>
        </is>
      </c>
      <c r="D18" s="19" t="n"/>
    </row>
    <row r="19">
      <c r="A19" s="26" t="n">
        <v>46346</v>
      </c>
      <c r="B19" s="19" t="inlineStr">
        <is>
          <t>petak</t>
        </is>
      </c>
      <c r="C19" s="12" t="inlineStr">
        <is>
          <t>Staklo</t>
        </is>
      </c>
      <c r="D19" s="19" t="n"/>
    </row>
    <row r="20">
      <c r="A20" s="26" t="n">
        <v>46352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46353</v>
      </c>
      <c r="B21" s="19" t="inlineStr">
        <is>
          <t>petak</t>
        </is>
      </c>
      <c r="C21" s="9" t="inlineStr">
        <is>
          <t>Biootpad</t>
        </is>
      </c>
      <c r="D21" s="19" t="n"/>
    </row>
    <row r="22">
      <c r="A22" s="26" t="n">
        <v>46353</v>
      </c>
      <c r="B22" s="19" t="inlineStr">
        <is>
          <t>petak</t>
        </is>
      </c>
      <c r="C22" s="10" t="inlineStr">
        <is>
          <t>Plastika i metal</t>
        </is>
      </c>
      <c r="D22" s="19" t="n"/>
    </row>
    <row r="23">
      <c r="A23" s="26" t="n">
        <v>46353</v>
      </c>
      <c r="B23" s="19" t="inlineStr">
        <is>
          <t>petak</t>
        </is>
      </c>
      <c r="C23" s="11" t="inlineStr">
        <is>
          <t>Papir i karton</t>
        </is>
      </c>
      <c r="D23" s="19" t="n"/>
    </row>
    <row r="24">
      <c r="A24" s="26" t="n">
        <v>46359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6" t="n">
        <v>46360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6" t="n">
        <v>46366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46367</v>
      </c>
      <c r="B27" s="19" t="inlineStr">
        <is>
          <t>petak</t>
        </is>
      </c>
      <c r="C27" s="9" t="inlineStr">
        <is>
          <t>Biootpad</t>
        </is>
      </c>
      <c r="D27" s="19" t="n"/>
    </row>
    <row r="28">
      <c r="A28" s="26" t="n">
        <v>46373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46374</v>
      </c>
      <c r="B29" s="19" t="inlineStr">
        <is>
          <t>petak</t>
        </is>
      </c>
      <c r="C29" s="9" t="inlineStr">
        <is>
          <t>Biootpad</t>
        </is>
      </c>
      <c r="D29" s="19" t="n"/>
    </row>
    <row r="30">
      <c r="A30" s="26" t="n">
        <v>46374</v>
      </c>
      <c r="B30" s="19" t="inlineStr">
        <is>
          <t>petak</t>
        </is>
      </c>
      <c r="C30" s="12" t="inlineStr">
        <is>
          <t>Staklo</t>
        </is>
      </c>
      <c r="D30" s="19" t="n"/>
    </row>
    <row r="31">
      <c r="A31" s="26" t="n">
        <v>46380</v>
      </c>
      <c r="B31" s="19" t="inlineStr">
        <is>
          <t>četvrtak</t>
        </is>
      </c>
      <c r="C31" s="5" t="inlineStr">
        <is>
          <t>Miješani komunalni otpad</t>
        </is>
      </c>
      <c r="D31" s="19" t="n"/>
    </row>
    <row r="32">
      <c r="A32" s="26" t="n">
        <v>46387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46387</v>
      </c>
      <c r="B33" s="19" t="inlineStr">
        <is>
          <t>četvrtak</t>
        </is>
      </c>
      <c r="C33" s="10" t="inlineStr">
        <is>
          <t>Plastika i metal</t>
        </is>
      </c>
      <c r="D33" s="19" t="n"/>
    </row>
    <row r="34">
      <c r="A34" s="26" t="n">
        <v>46387</v>
      </c>
      <c r="B34" s="19" t="inlineStr">
        <is>
          <t>četvrtak</t>
        </is>
      </c>
      <c r="C34" s="11" t="inlineStr">
        <is>
          <t>Papir i karton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Đure Basaričeka - kućni brojevi 8, 10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
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'Raspored'!$A$4:$H$22</definedName>
    <definedName name="_xlnm._FilterDatabase" localSheetId="2" hidden="1">'Po vrsti'!$A$1:$D$22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IFERROR(1/(1/_xlfn.MINIFS(Raspored!$A$5:$A$22,Raspored!$D$5:$D$22,"x",Raspored!$A$5:$A$22,"&gt;="&amp;$B$3)),"nema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COUNTIF(Raspored!$D$5:$D$22,"x")</f>
        <v/>
      </c>
    </row>
    <row r="7">
      <c r="A7" s="9" t="inlineStr">
        <is>
          <t>Plastika i metal</t>
        </is>
      </c>
      <c r="B7" s="6">
        <f>IFERROR(1/(1/_xlfn.MINIFS(Raspored!$A$5:$A$22,Raspored!$E$5:$E$22,"x",Raspored!$A$5:$A$22,"&gt;="&amp;$B$3)),"nema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COUNTIF(Raspored!$E$5:$E$22,"x")</f>
        <v/>
      </c>
    </row>
    <row r="8">
      <c r="A8" s="10" t="inlineStr">
        <is>
          <t>Papir i karton</t>
        </is>
      </c>
      <c r="B8" s="6">
        <f>IFERROR(1/(1/_xlfn.MINIFS(Raspored!$A$5:$A$22,Raspored!$F$5:$F$22,"x",Raspored!$A$5:$A$22,"&gt;="&amp;$B$3)),"nema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COUNTIF(Raspored!$F$5:$F$22,"x")</f>
        <v/>
      </c>
    </row>
    <row r="9">
      <c r="A9" s="11" t="inlineStr">
        <is>
          <t>Staklo</t>
        </is>
      </c>
      <c r="B9" s="6">
        <f>IFERROR(1/(1/_xlfn.MINIFS(Raspored!$A$5:$A$22,Raspored!$G$5:$G$22,"x",Raspored!$A$5:$A$22,"&gt;="&amp;$B$3)),"nema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COUNTIFS(Raspored!$C$5:$C$22,$A13,Raspored!$D$5:$D$22,"x")</f>
        <v/>
      </c>
      <c r="C13" s="7">
        <f>COUNTIFS(Raspored!$C$5:$C$22,$A13,Raspored!$E$5:$E$22,"x")</f>
        <v/>
      </c>
      <c r="D13" s="7">
        <f>COUNTIFS(Raspored!$C$5:$C$22,$A13,Raspored!$F$5:$F$22,"x")</f>
        <v/>
      </c>
      <c r="E13" s="7">
        <f>COUNTIFS(Raspored!$C$5:$C$22,$A13,Raspored!$G$5:$G$22,"x")</f>
        <v/>
      </c>
    </row>
    <row r="14">
      <c r="A14" s="17" t="inlineStr">
        <is>
          <t>veljača</t>
        </is>
      </c>
      <c r="B14" s="7">
        <f>COUNTIFS(Raspored!$C$5:$C$22,$A14,Raspored!$D$5:$D$22,"x")</f>
        <v/>
      </c>
      <c r="C14" s="7">
        <f>COUNTIFS(Raspored!$C$5:$C$22,$A14,Raspored!$E$5:$E$22,"x")</f>
        <v/>
      </c>
      <c r="D14" s="7">
        <f>COUNTIFS(Raspored!$C$5:$C$22,$A14,Raspored!$F$5:$F$22,"x")</f>
        <v/>
      </c>
      <c r="E14" s="7">
        <f>COUNTIFS(Raspored!$C$5:$C$22,$A14,Raspored!$G$5:$G$22,"x")</f>
        <v/>
      </c>
    </row>
    <row r="15">
      <c r="A15" s="17" t="inlineStr">
        <is>
          <t>ožujak</t>
        </is>
      </c>
      <c r="B15" s="7">
        <f>COUNTIFS(Raspored!$C$5:$C$22,$A15,Raspored!$D$5:$D$22,"x")</f>
        <v/>
      </c>
      <c r="C15" s="7">
        <f>COUNTIFS(Raspored!$C$5:$C$22,$A15,Raspored!$E$5:$E$22,"x")</f>
        <v/>
      </c>
      <c r="D15" s="7">
        <f>COUNTIFS(Raspored!$C$5:$C$22,$A15,Raspored!$F$5:$F$22,"x")</f>
        <v/>
      </c>
      <c r="E15" s="7">
        <f>COUNTIFS(Raspored!$C$5:$C$22,$A15,Raspored!$G$5:$G$22,"x")</f>
        <v/>
      </c>
    </row>
    <row r="16">
      <c r="A16" s="17" t="inlineStr">
        <is>
          <t>travanj</t>
        </is>
      </c>
      <c r="B16" s="7">
        <f>COUNTIFS(Raspored!$C$5:$C$22,$A16,Raspored!$D$5:$D$22,"x")</f>
        <v/>
      </c>
      <c r="C16" s="7">
        <f>COUNTIFS(Raspored!$C$5:$C$22,$A16,Raspored!$E$5:$E$22,"x")</f>
        <v/>
      </c>
      <c r="D16" s="7">
        <f>COUNTIFS(Raspored!$C$5:$C$22,$A16,Raspored!$F$5:$F$22,"x")</f>
        <v/>
      </c>
      <c r="E16" s="7">
        <f>COUNTIFS(Raspored!$C$5:$C$22,$A16,Raspored!$G$5:$G$22,"x")</f>
        <v/>
      </c>
    </row>
    <row r="17">
      <c r="A17" s="17" t="inlineStr">
        <is>
          <t>svibanj</t>
        </is>
      </c>
      <c r="B17" s="7">
        <f>COUNTIFS(Raspored!$C$5:$C$22,$A17,Raspored!$D$5:$D$22,"x")</f>
        <v/>
      </c>
      <c r="C17" s="7">
        <f>COUNTIFS(Raspored!$C$5:$C$22,$A17,Raspored!$E$5:$E$22,"x")</f>
        <v/>
      </c>
      <c r="D17" s="7">
        <f>COUNTIFS(Raspored!$C$5:$C$22,$A17,Raspored!$F$5:$F$22,"x")</f>
        <v/>
      </c>
      <c r="E17" s="7">
        <f>COUNTIFS(Raspored!$C$5:$C$22,$A17,Raspored!$G$5:$G$22,"x")</f>
        <v/>
      </c>
    </row>
    <row r="18">
      <c r="A18" s="17" t="inlineStr">
        <is>
          <t>lipanj</t>
        </is>
      </c>
      <c r="B18" s="7">
        <f>COUNTIFS(Raspored!$C$5:$C$22,$A18,Raspored!$D$5:$D$22,"x")</f>
        <v/>
      </c>
      <c r="C18" s="7">
        <f>COUNTIFS(Raspored!$C$5:$C$22,$A18,Raspored!$E$5:$E$22,"x")</f>
        <v/>
      </c>
      <c r="D18" s="7">
        <f>COUNTIFS(Raspored!$C$5:$C$22,$A18,Raspored!$F$5:$F$22,"x")</f>
        <v/>
      </c>
      <c r="E18" s="7">
        <f>COUNTIFS(Raspored!$C$5:$C$22,$A18,Raspored!$G$5:$G$22,"x")</f>
        <v/>
      </c>
    </row>
    <row r="19">
      <c r="A19" s="17" t="inlineStr">
        <is>
          <t>srpanj</t>
        </is>
      </c>
      <c r="B19" s="7">
        <f>COUNTIFS(Raspored!$C$5:$C$22,$A19,Raspored!$D$5:$D$22,"x")</f>
        <v/>
      </c>
      <c r="C19" s="7">
        <f>COUNTIFS(Raspored!$C$5:$C$22,$A19,Raspored!$E$5:$E$22,"x")</f>
        <v/>
      </c>
      <c r="D19" s="7">
        <f>COUNTIFS(Raspored!$C$5:$C$22,$A19,Raspored!$F$5:$F$22,"x")</f>
        <v/>
      </c>
      <c r="E19" s="7">
        <f>COUNTIFS(Raspored!$C$5:$C$22,$A19,Raspored!$G$5:$G$22,"x")</f>
        <v/>
      </c>
    </row>
    <row r="20">
      <c r="A20" s="17" t="inlineStr">
        <is>
          <t>kolovoz</t>
        </is>
      </c>
      <c r="B20" s="7">
        <f>COUNTIFS(Raspored!$C$5:$C$22,$A20,Raspored!$D$5:$D$22,"x")</f>
        <v/>
      </c>
      <c r="C20" s="7">
        <f>COUNTIFS(Raspored!$C$5:$C$22,$A20,Raspored!$E$5:$E$22,"x")</f>
        <v/>
      </c>
      <c r="D20" s="7">
        <f>COUNTIFS(Raspored!$C$5:$C$22,$A20,Raspored!$F$5:$F$22,"x")</f>
        <v/>
      </c>
      <c r="E20" s="7">
        <f>COUNTIFS(Raspored!$C$5:$C$22,$A20,Raspored!$G$5:$G$22,"x")</f>
        <v/>
      </c>
    </row>
    <row r="21">
      <c r="A21" s="17" t="inlineStr">
        <is>
          <t>rujan</t>
        </is>
      </c>
      <c r="B21" s="7">
        <f>COUNTIFS(Raspored!$C$5:$C$22,$A21,Raspored!$D$5:$D$22,"x")</f>
        <v/>
      </c>
      <c r="C21" s="7">
        <f>COUNTIFS(Raspored!$C$5:$C$22,$A21,Raspored!$E$5:$E$22,"x")</f>
        <v/>
      </c>
      <c r="D21" s="7">
        <f>COUNTIFS(Raspored!$C$5:$C$22,$A21,Raspored!$F$5:$F$22,"x")</f>
        <v/>
      </c>
      <c r="E21" s="7">
        <f>COUNTIFS(Raspored!$C$5:$C$22,$A21,Raspored!$G$5:$G$22,"x")</f>
        <v/>
      </c>
    </row>
    <row r="22">
      <c r="A22" s="17" t="inlineStr">
        <is>
          <t>listopad</t>
        </is>
      </c>
      <c r="B22" s="7">
        <f>COUNTIFS(Raspored!$C$5:$C$22,$A22,Raspored!$D$5:$D$22,"x")</f>
        <v/>
      </c>
      <c r="C22" s="7">
        <f>COUNTIFS(Raspored!$C$5:$C$22,$A22,Raspored!$E$5:$E$22,"x")</f>
        <v/>
      </c>
      <c r="D22" s="7">
        <f>COUNTIFS(Raspored!$C$5:$C$22,$A22,Raspored!$F$5:$F$22,"x")</f>
        <v/>
      </c>
      <c r="E22" s="7">
        <f>COUNTIFS(Raspored!$C$5:$C$22,$A22,Raspored!$G$5:$G$22,"x")</f>
        <v/>
      </c>
    </row>
    <row r="23">
      <c r="A23" s="17" t="inlineStr">
        <is>
          <t>studeni</t>
        </is>
      </c>
      <c r="B23" s="7">
        <f>COUNTIFS(Raspored!$C$5:$C$22,$A23,Raspored!$D$5:$D$22,"x")</f>
        <v/>
      </c>
      <c r="C23" s="7">
        <f>COUNTIFS(Raspored!$C$5:$C$22,$A23,Raspored!$E$5:$E$22,"x")</f>
        <v/>
      </c>
      <c r="D23" s="7">
        <f>COUNTIFS(Raspored!$C$5:$C$22,$A23,Raspored!$F$5:$F$22,"x")</f>
        <v/>
      </c>
      <c r="E23" s="7">
        <f>COUNTIFS(Raspored!$C$5:$C$22,$A23,Raspored!$G$5:$G$22,"x")</f>
        <v/>
      </c>
    </row>
    <row r="24">
      <c r="A24" s="17" t="inlineStr">
        <is>
          <t>prosinac</t>
        </is>
      </c>
      <c r="B24" s="7">
        <f>COUNTIFS(Raspored!$C$5:$C$22,$A24,Raspored!$D$5:$D$22,"x")</f>
        <v/>
      </c>
      <c r="C24" s="7">
        <f>COUNTIFS(Raspored!$C$5:$C$22,$A24,Raspored!$E$5:$E$22,"x")</f>
        <v/>
      </c>
      <c r="D24" s="7">
        <f>COUNTIFS(Raspored!$C$5:$C$22,$A24,Raspored!$F$5:$F$22,"x")</f>
        <v/>
      </c>
      <c r="E24" s="7">
        <f>COUNTIFS(Raspored!$C$5:$C$22,$A24,Raspored!$G$5:$G$22,"x")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Kalendar davatelja za ove lokacije nema datuma za: biootpad.</t>
        </is>
      </c>
    </row>
    <row r="29">
      <c r="A29" s="21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1" t="inlineStr">
        <is>
          <t>• Pomaci zbog blagdana već su upisani u datume (odvoz se seli na subotu prije ili poslije blagdana).</t>
        </is>
      </c>
    </row>
    <row r="31">
      <c r="A31" s="21" t="inlineStr">
        <is>
          <t>• Papir i plastika odvoze se zajedno (plavo-žuti spremnik), jednom mjesečno.</t>
        </is>
      </c>
    </row>
    <row r="32">
      <c r="A32" s="21" t="inlineStr">
        <is>
          <t>• Glomazni otpad: datumi iz kalendara; izvan Grada Požege potrebu odvoza prijavite na (034) 440 997 najkasnije dan uoči odvoza do 13 sati.</t>
        </is>
      </c>
    </row>
    <row r="33">
      <c r="A33" s="21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4 (Požega)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46314</v>
      </c>
      <c r="B6" s="7" t="inlineStr">
        <is>
          <t>ponedjeljak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46317</v>
      </c>
      <c r="B7" s="7" t="inlineStr">
        <is>
          <t>četvrtak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46318</v>
      </c>
      <c r="B8" s="7" t="inlineStr">
        <is>
          <t>petak</t>
        </is>
      </c>
      <c r="C8" s="7" t="inlineStr">
        <is>
          <t>listopad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46321</v>
      </c>
      <c r="B9" s="7" t="inlineStr">
        <is>
          <t>ponedjeljak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46328</v>
      </c>
      <c r="B10" s="7" t="inlineStr">
        <is>
          <t>ponedjeljak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46335</v>
      </c>
      <c r="B11" s="7" t="inlineStr">
        <is>
          <t>ponedjeljak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46342</v>
      </c>
      <c r="B12" s="7" t="inlineStr">
        <is>
          <t>ponedjeljak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46346</v>
      </c>
      <c r="B13" s="7" t="inlineStr">
        <is>
          <t>petak</t>
        </is>
      </c>
      <c r="C13" s="7" t="inlineStr">
        <is>
          <t>studeni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46349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46352</v>
      </c>
      <c r="B15" s="7" t="inlineStr">
        <is>
          <t>četvrtak</t>
        </is>
      </c>
      <c r="C15" s="7" t="inlineStr">
        <is>
          <t>studeni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46356</v>
      </c>
      <c r="B16" s="7" t="inlineStr">
        <is>
          <t>ponedjeljak</t>
        </is>
      </c>
      <c r="C16" s="7" t="inlineStr">
        <is>
          <t>studeni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46363</v>
      </c>
      <c r="B17" s="7" t="inlineStr">
        <is>
          <t>ponedjeljak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46370</v>
      </c>
      <c r="B18" s="7" t="inlineStr">
        <is>
          <t>ponedjeljak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46374</v>
      </c>
      <c r="B19" s="7" t="inlineStr">
        <is>
          <t>petak</t>
        </is>
      </c>
      <c r="C19" s="7" t="inlineStr">
        <is>
          <t>prosinac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46377</v>
      </c>
      <c r="B20" s="7" t="inlineStr">
        <is>
          <t>ponedjeljak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46380</v>
      </c>
      <c r="B21" s="7" t="inlineStr">
        <is>
          <t>četvrtak</t>
        </is>
      </c>
      <c r="C21" s="7" t="inlineStr">
        <is>
          <t>prosinac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46384</v>
      </c>
      <c r="B22" s="7" t="inlineStr">
        <is>
          <t>ponedjeljak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23" t="n"/>
    </row>
  </sheetData>
  <autoFilter ref="A4:H22"/>
  <conditionalFormatting sqref="D5:D22">
    <cfRule type="expression" priority="1" dxfId="0">
      <formula>D5="x"</formula>
    </cfRule>
  </conditionalFormatting>
  <conditionalFormatting sqref="E5:E22">
    <cfRule type="expression" priority="2" dxfId="1">
      <formula>E5="x"</formula>
    </cfRule>
  </conditionalFormatting>
  <conditionalFormatting sqref="F5:F22">
    <cfRule type="expression" priority="3" dxfId="2">
      <formula>F5="x"</formula>
    </cfRule>
  </conditionalFormatting>
  <conditionalFormatting sqref="G5:G22">
    <cfRule type="expression" priority="4" dxfId="3">
      <formula>G5="x"</formula>
    </cfRule>
  </conditionalFormatting>
  <conditionalFormatting sqref="A5:H2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46307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46314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46317</v>
      </c>
      <c r="B4" s="17" t="inlineStr">
        <is>
          <t>četvrtak</t>
        </is>
      </c>
      <c r="C4" s="9" t="inlineStr">
        <is>
          <t>Plastika i metal</t>
        </is>
      </c>
      <c r="D4" s="17" t="n"/>
    </row>
    <row r="5">
      <c r="A5" s="24" t="n">
        <v>46317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4" t="n">
        <v>46318</v>
      </c>
      <c r="B6" s="17" t="inlineStr">
        <is>
          <t>petak</t>
        </is>
      </c>
      <c r="C6" s="11" t="inlineStr">
        <is>
          <t>Staklo</t>
        </is>
      </c>
      <c r="D6" s="17" t="n"/>
    </row>
    <row r="7">
      <c r="A7" s="24" t="n">
        <v>46321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46328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46335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46342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46346</v>
      </c>
      <c r="B11" s="17" t="inlineStr">
        <is>
          <t>petak</t>
        </is>
      </c>
      <c r="C11" s="11" t="inlineStr">
        <is>
          <t>Staklo</t>
        </is>
      </c>
      <c r="D11" s="17" t="n"/>
    </row>
    <row r="12">
      <c r="A12" s="24" t="n">
        <v>46349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46352</v>
      </c>
      <c r="B13" s="17" t="inlineStr">
        <is>
          <t>četvrtak</t>
        </is>
      </c>
      <c r="C13" s="9" t="inlineStr">
        <is>
          <t>Plastika i metal</t>
        </is>
      </c>
      <c r="D13" s="17" t="n"/>
    </row>
    <row r="14">
      <c r="A14" s="24" t="n">
        <v>46352</v>
      </c>
      <c r="B14" s="17" t="inlineStr">
        <is>
          <t>četvrtak</t>
        </is>
      </c>
      <c r="C14" s="10" t="inlineStr">
        <is>
          <t>Papir i karton</t>
        </is>
      </c>
      <c r="D14" s="17" t="n"/>
    </row>
    <row r="15">
      <c r="A15" s="24" t="n">
        <v>46356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46363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46370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46374</v>
      </c>
      <c r="B18" s="17" t="inlineStr">
        <is>
          <t>petak</t>
        </is>
      </c>
      <c r="C18" s="11" t="inlineStr">
        <is>
          <t>Staklo</t>
        </is>
      </c>
      <c r="D18" s="17" t="n"/>
    </row>
    <row r="19">
      <c r="A19" s="24" t="n">
        <v>46377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46380</v>
      </c>
      <c r="B20" s="17" t="inlineStr">
        <is>
          <t>četvrtak</t>
        </is>
      </c>
      <c r="C20" s="9" t="inlineStr">
        <is>
          <t>Plastika i metal</t>
        </is>
      </c>
      <c r="D20" s="17" t="n"/>
    </row>
    <row r="21">
      <c r="A21" s="24" t="n">
        <v>46380</v>
      </c>
      <c r="B21" s="17" t="inlineStr">
        <is>
          <t>četvrtak</t>
        </is>
      </c>
      <c r="C21" s="10" t="inlineStr">
        <is>
          <t>Papir i karton</t>
        </is>
      </c>
      <c r="D21" s="17" t="n"/>
    </row>
    <row r="22">
      <c r="A22" s="24" t="n">
        <v>46384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(Požega): ulice i naselja</t>
        </is>
      </c>
    </row>
    <row r="4">
      <c r="A4" s="4" t="inlineStr">
        <is>
          <t>Ulica / naselje</t>
        </is>
      </c>
    </row>
    <row r="5">
      <c r="A5" s="17" t="inlineStr">
        <is>
          <t>Bankovci</t>
        </is>
      </c>
    </row>
    <row r="6">
      <c r="A6" s="17" t="inlineStr">
        <is>
          <t>Donji Emovci</t>
        </is>
      </c>
    </row>
    <row r="7">
      <c r="A7" s="17" t="inlineStr">
        <is>
          <t>Emovački Lug</t>
        </is>
      </c>
    </row>
    <row r="8">
      <c r="A8" s="17" t="inlineStr">
        <is>
          <t>Gornji Emovci</t>
        </is>
      </c>
    </row>
    <row r="9">
      <c r="A9" s="17" t="inlineStr">
        <is>
          <t>Krivaj</t>
        </is>
      </c>
    </row>
    <row r="10">
      <c r="A10" s="17" t="inlineStr">
        <is>
          <t>Kunovci</t>
        </is>
      </c>
    </row>
    <row r="11">
      <c r="A11" s="17" t="inlineStr">
        <is>
          <t>Marindvor</t>
        </is>
      </c>
    </row>
    <row r="12">
      <c r="A12" s="17" t="inlineStr">
        <is>
          <t>Nova Lipa</t>
        </is>
      </c>
    </row>
    <row r="13">
      <c r="A13" s="17" t="inlineStr">
        <is>
          <t>Novi Bankovci</t>
        </is>
      </c>
    </row>
    <row r="14">
      <c r="A14" s="17" t="inlineStr">
        <is>
          <t>Novi Štitnjak</t>
        </is>
      </c>
    </row>
    <row r="15">
      <c r="A15" s="17" t="inlineStr">
        <is>
          <t>Stara Lipa</t>
        </is>
      </c>
    </row>
    <row r="16">
      <c r="A16" s="17" t="inlineStr">
        <is>
          <t>Ugarci</t>
        </is>
      </c>
    </row>
    <row r="17">
      <c r="A17" s="17" t="inlineStr">
        <is>
          <t>Štitnjak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2026-10-08T05:52:22Z</dcterms:created>
  <dcterms:modified xmlns:dcterms="http://purl.org/dc/terms/" xmlns:xsi="http://www.w3.org/2001/XMLSchema-instance" xsi:type="dcterms:W3CDTF">2026-10-08T05:52:22Z</dcterms:modified>
</cp:coreProperties>
</file>
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'Raspored'!$A$4:$J$23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Biootpad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Plastika i metal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Papir i karton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Staklo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1">
      <c r="A11" s="13" t="inlineStr">
        <is>
          <t>Glomazni otpad</t>
        </is>
      </c>
      <c r="B11" s="6">
        <f>IFERROR(1/(1/_xlfn.MINIFS(Raspored!$A$5:$A$23,Raspored!$I$5:$I$23,"x",Raspored!$A$5:$A$23,"&gt;="&amp;$B$3)),"nema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COUNTIF(Raspored!$I$5:$I$23,"x")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  <c r="G15" s="7">
        <f>COUNTIFS(Raspored!$C$5:$C$23,$A15,Raspored!$I$5:$I$23,"x")</f>
        <v/>
      </c>
    </row>
    <row r="16">
      <c r="A16" s="21" t="inlineStr">
        <is>
          <t>veljača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  <c r="G16" s="7">
        <f>COUNTIFS(Raspored!$C$5:$C$23,$A16,Raspored!$I$5:$I$23,"x")</f>
        <v/>
      </c>
    </row>
    <row r="17">
      <c r="A17" s="21" t="inlineStr">
        <is>
          <t>ožujak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  <c r="G17" s="7">
        <f>COUNTIFS(Raspored!$C$5:$C$23,$A17,Raspored!$I$5:$I$23,"x")</f>
        <v/>
      </c>
    </row>
    <row r="18">
      <c r="A18" s="21" t="inlineStr">
        <is>
          <t>travanj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  <c r="G18" s="7">
        <f>COUNTIFS(Raspored!$C$5:$C$23,$A18,Raspored!$I$5:$I$23,"x")</f>
        <v/>
      </c>
    </row>
    <row r="19">
      <c r="A19" s="21" t="inlineStr">
        <is>
          <t>svibanj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  <c r="G19" s="7">
        <f>COUNTIFS(Raspored!$C$5:$C$23,$A19,Raspored!$I$5:$I$23,"x")</f>
        <v/>
      </c>
    </row>
    <row r="20">
      <c r="A20" s="21" t="inlineStr">
        <is>
          <t>lipanj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  <c r="G20" s="7">
        <f>COUNTIFS(Raspored!$C$5:$C$23,$A20,Raspored!$I$5:$I$23,"x")</f>
        <v/>
      </c>
    </row>
    <row r="21">
      <c r="A21" s="21" t="inlineStr">
        <is>
          <t>srpanj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  <c r="G21" s="7">
        <f>COUNTIFS(Raspored!$C$5:$C$23,$A21,Raspored!$I$5:$I$23,"x")</f>
        <v/>
      </c>
    </row>
    <row r="22">
      <c r="A22" s="21" t="inlineStr">
        <is>
          <t>kolovoz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  <c r="G22" s="7">
        <f>COUNTIFS(Raspored!$C$5:$C$23,$A22,Raspored!$I$5:$I$23,"x")</f>
        <v/>
      </c>
    </row>
    <row r="23">
      <c r="A23" s="21" t="inlineStr">
        <is>
          <t>rujan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  <c r="G23" s="7">
        <f>COUNTIFS(Raspored!$C$5:$C$23,$A23,Raspored!$I$5:$I$23,"x")</f>
        <v/>
      </c>
    </row>
    <row r="24">
      <c r="A24" s="21" t="inlineStr">
        <is>
          <t>listopad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  <c r="G24" s="7">
        <f>COUNTIFS(Raspored!$C$5:$C$23,$A24,Raspored!$I$5:$I$23,"x")</f>
        <v/>
      </c>
    </row>
    <row r="25">
      <c r="A25" s="21" t="inlineStr">
        <is>
          <t>studeni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  <c r="G25" s="7">
        <f>COUNTIFS(Raspored!$C$5:$C$23,$A25,Raspored!$I$5:$I$23,"x")</f>
        <v/>
      </c>
    </row>
    <row r="26">
      <c r="A26" s="21" t="inlineStr">
        <is>
          <t>prosinac</t>
        </is>
      </c>
      <c r="B26" s="7">
        <f>COUNTIFS(Raspored!$C$5:$C$23,$A26,Raspored!$D$5:$D$23,"x")</f>
        <v/>
      </c>
      <c r="C26" s="7">
        <f>COUNTIFS(Raspored!$C$5:$C$23,$A26,Raspored!$E$5:$E$23,"x")</f>
        <v/>
      </c>
      <c r="D26" s="7">
        <f>COUNTIFS(Raspored!$C$5:$C$23,$A26,Raspored!$F$5:$F$23,"x")</f>
        <v/>
      </c>
      <c r="E26" s="7">
        <f>COUNTIFS(Raspored!$C$5:$C$23,$A26,Raspored!$G$5:$G$23,"x")</f>
        <v/>
      </c>
      <c r="F26" s="7">
        <f>COUNTIFS(Raspored!$C$5:$C$23,$A26,Raspored!$H$5:$H$23,"x")</f>
        <v/>
      </c>
      <c r="G26" s="7">
        <f>COUNTIFS(Raspored!$C$5:$C$23,$A26,Raspored!$I$5:$I$23,"x")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srijedom).</t>
        </is>
      </c>
    </row>
    <row r="31">
      <c r="A31" s="25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5" t="inlineStr">
        <is>
          <t>• Pomaci zbog blagdana već su upisani u datume (odvoz se seli na subotu prije ili poslije blagdana).</t>
        </is>
      </c>
    </row>
    <row r="33">
      <c r="A33" s="25" t="inlineStr">
        <is>
          <t>• Papir i plastika odvoze se zajedno (plavo-žuti spremnik), jednom mjesečno.</t>
        </is>
      </c>
    </row>
    <row r="34">
      <c r="A34" s="25" t="inlineStr">
        <is>
          <t>• Glomazni otpad: datumi iz kalendara; izvan Grada Požege potrebu odvoza prijavite na (034) 440 997 najkasnije dan uoči odvoza do 13 sati.</t>
        </is>
      </c>
    </row>
    <row r="35">
      <c r="A35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15 (Požega)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46305</v>
      </c>
      <c r="B5" s="7" t="inlineStr">
        <is>
          <t>subota</t>
        </is>
      </c>
      <c r="C5" s="7" t="inlineStr">
        <is>
          <t>listopad</t>
        </is>
      </c>
      <c r="D5" s="7" t="n"/>
      <c r="E5" s="7" t="n"/>
      <c r="F5" s="7" t="n"/>
      <c r="G5" s="7" t="n"/>
      <c r="H5" s="7" t="n"/>
      <c r="I5" s="7" t="inlineStr">
        <is>
          <t>x</t>
        </is>
      </c>
      <c r="J5" s="27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46311</v>
      </c>
      <c r="B7" s="7" t="inlineStr">
        <is>
          <t>petak</t>
        </is>
      </c>
      <c r="C7" s="7" t="inlineStr">
        <is>
          <t>listopad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46314</v>
      </c>
      <c r="B8" s="7" t="inlineStr">
        <is>
          <t>ponedjeljak</t>
        </is>
      </c>
      <c r="C8" s="7" t="inlineStr">
        <is>
          <t>listopad</t>
        </is>
      </c>
      <c r="D8" s="7" t="n"/>
      <c r="E8" s="7" t="n"/>
      <c r="F8" s="7" t="n"/>
      <c r="G8" s="7" t="n"/>
      <c r="H8" s="7" t="inlineStr">
        <is>
          <t>x</t>
        </is>
      </c>
      <c r="I8" s="7" t="n"/>
      <c r="J8" s="27" t="n"/>
    </row>
    <row r="9">
      <c r="A9" s="6" t="n">
        <v>46316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46323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46330</v>
      </c>
      <c r="B11" s="7" t="inlineStr">
        <is>
          <t>srijeda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46337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46339</v>
      </c>
      <c r="B13" s="7" t="inlineStr">
        <is>
          <t>petak</t>
        </is>
      </c>
      <c r="C13" s="7" t="inlineStr">
        <is>
          <t>studeni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46342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n"/>
      <c r="H14" s="7" t="inlineStr">
        <is>
          <t>x</t>
        </is>
      </c>
      <c r="I14" s="7" t="n"/>
      <c r="J14" s="27" t="n"/>
    </row>
    <row r="15">
      <c r="A15" s="28" t="n">
        <v>46347</v>
      </c>
      <c r="B15" s="29" t="inlineStr">
        <is>
          <t>subota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inlineStr">
        <is>
          <t>Pomaknuto zbog neradnog dana u tjednu</t>
        </is>
      </c>
    </row>
    <row r="16">
      <c r="A16" s="6" t="n">
        <v>46351</v>
      </c>
      <c r="B16" s="7" t="inlineStr">
        <is>
          <t>srijeda</t>
        </is>
      </c>
      <c r="C16" s="7" t="inlineStr">
        <is>
          <t>studeni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46358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46365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46367</v>
      </c>
      <c r="B19" s="7" t="inlineStr">
        <is>
          <t>petak</t>
        </is>
      </c>
      <c r="C19" s="7" t="inlineStr">
        <is>
          <t>prosinac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46370</v>
      </c>
      <c r="B20" s="7" t="inlineStr">
        <is>
          <t>ponedjeljak</t>
        </is>
      </c>
      <c r="C20" s="7" t="inlineStr">
        <is>
          <t>prosinac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27" t="n"/>
    </row>
    <row r="21">
      <c r="A21" s="6" t="n">
        <v>46372</v>
      </c>
      <c r="B21" s="7" t="inlineStr">
        <is>
          <t>srijeda</t>
        </is>
      </c>
      <c r="C21" s="7" t="inlineStr">
        <is>
          <t>prosinac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46379</v>
      </c>
      <c r="B22" s="7" t="inlineStr">
        <is>
          <t>srijeda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46386</v>
      </c>
      <c r="B23" s="7" t="inlineStr">
        <is>
          <t>srijeda</t>
        </is>
      </c>
      <c r="C23" s="7" t="inlineStr">
        <is>
          <t>prosinac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27" t="n"/>
    </row>
  </sheetData>
  <autoFilter ref="A4:J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I5:I23">
    <cfRule type="expression" priority="6" dxfId="5">
      <formula>I5="x"</formula>
    </cfRule>
  </conditionalFormatting>
  <conditionalFormatting sqref="A5:J2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46305</v>
      </c>
      <c r="B2" s="21" t="inlineStr">
        <is>
          <t>subota</t>
        </is>
      </c>
      <c r="C2" s="13" t="inlineStr">
        <is>
          <t>Glomazni otpad</t>
        </is>
      </c>
      <c r="D2" s="21" t="n"/>
    </row>
    <row r="3">
      <c r="A3" s="30" t="n">
        <v>46309</v>
      </c>
      <c r="B3" s="21" t="inlineStr">
        <is>
          <t>srijeda</t>
        </is>
      </c>
      <c r="C3" s="5" t="inlineStr">
        <is>
          <t>Miješani komunalni otpad</t>
        </is>
      </c>
      <c r="D3" s="21" t="n"/>
    </row>
    <row r="4">
      <c r="A4" s="30" t="n">
        <v>46309</v>
      </c>
      <c r="B4" s="21" t="inlineStr">
        <is>
          <t>srijeda</t>
        </is>
      </c>
      <c r="C4" s="9" t="inlineStr">
        <is>
          <t>Biootpad</t>
        </is>
      </c>
      <c r="D4" s="21" t="n"/>
    </row>
    <row r="5">
      <c r="A5" s="30" t="n">
        <v>46311</v>
      </c>
      <c r="B5" s="21" t="inlineStr">
        <is>
          <t>petak</t>
        </is>
      </c>
      <c r="C5" s="10" t="inlineStr">
        <is>
          <t>Plastika i metal</t>
        </is>
      </c>
      <c r="D5" s="21" t="n"/>
    </row>
    <row r="6">
      <c r="A6" s="30" t="n">
        <v>46311</v>
      </c>
      <c r="B6" s="21" t="inlineStr">
        <is>
          <t>petak</t>
        </is>
      </c>
      <c r="C6" s="11" t="inlineStr">
        <is>
          <t>Papir i karton</t>
        </is>
      </c>
      <c r="D6" s="21" t="n"/>
    </row>
    <row r="7">
      <c r="A7" s="30" t="n">
        <v>46314</v>
      </c>
      <c r="B7" s="21" t="inlineStr">
        <is>
          <t>ponedjeljak</t>
        </is>
      </c>
      <c r="C7" s="12" t="inlineStr">
        <is>
          <t>Staklo</t>
        </is>
      </c>
      <c r="D7" s="21" t="n"/>
    </row>
    <row r="8">
      <c r="A8" s="30" t="n">
        <v>46316</v>
      </c>
      <c r="B8" s="21" t="inlineStr">
        <is>
          <t>srijeda</t>
        </is>
      </c>
      <c r="C8" s="5" t="inlineStr">
        <is>
          <t>Miješani komunalni otpad</t>
        </is>
      </c>
      <c r="D8" s="21" t="n"/>
    </row>
    <row r="9">
      <c r="A9" s="30" t="n">
        <v>46316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30" t="n">
        <v>46323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30" t="n">
        <v>46323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30" t="n">
        <v>46330</v>
      </c>
      <c r="B12" s="21" t="inlineStr">
        <is>
          <t>srijeda</t>
        </is>
      </c>
      <c r="C12" s="5" t="inlineStr">
        <is>
          <t>Miješani komunalni otpad</t>
        </is>
      </c>
      <c r="D12" s="21" t="n"/>
    </row>
    <row r="13">
      <c r="A13" s="30" t="n">
        <v>46330</v>
      </c>
      <c r="B13" s="21" t="inlineStr">
        <is>
          <t>srijeda</t>
        </is>
      </c>
      <c r="C13" s="9" t="inlineStr">
        <is>
          <t>Biootpad</t>
        </is>
      </c>
      <c r="D13" s="21" t="n"/>
    </row>
    <row r="14">
      <c r="A14" s="30" t="n">
        <v>46337</v>
      </c>
      <c r="B14" s="21" t="inlineStr">
        <is>
          <t>srijeda</t>
        </is>
      </c>
      <c r="C14" s="5" t="inlineStr">
        <is>
          <t>Miješani komunalni otpad</t>
        </is>
      </c>
      <c r="D14" s="21" t="n"/>
    </row>
    <row r="15">
      <c r="A15" s="30" t="n">
        <v>46337</v>
      </c>
      <c r="B15" s="21" t="inlineStr">
        <is>
          <t>srijeda</t>
        </is>
      </c>
      <c r="C15" s="9" t="inlineStr">
        <is>
          <t>Biootpad</t>
        </is>
      </c>
      <c r="D15" s="21" t="n"/>
    </row>
    <row r="16">
      <c r="A16" s="30" t="n">
        <v>46339</v>
      </c>
      <c r="B16" s="21" t="inlineStr">
        <is>
          <t>petak</t>
        </is>
      </c>
      <c r="C16" s="10" t="inlineStr">
        <is>
          <t>Plastika i metal</t>
        </is>
      </c>
      <c r="D16" s="21" t="n"/>
    </row>
    <row r="17">
      <c r="A17" s="30" t="n">
        <v>46339</v>
      </c>
      <c r="B17" s="21" t="inlineStr">
        <is>
          <t>petak</t>
        </is>
      </c>
      <c r="C17" s="11" t="inlineStr">
        <is>
          <t>Papir i karton</t>
        </is>
      </c>
      <c r="D17" s="21" t="n"/>
    </row>
    <row r="18">
      <c r="A18" s="30" t="n">
        <v>46342</v>
      </c>
      <c r="B18" s="21" t="inlineStr">
        <is>
          <t>ponedjeljak</t>
        </is>
      </c>
      <c r="C18" s="12" t="inlineStr">
        <is>
          <t>Staklo</t>
        </is>
      </c>
      <c r="D18" s="21" t="n"/>
    </row>
    <row r="19">
      <c r="A19" s="30" t="n">
        <v>46347</v>
      </c>
      <c r="B19" s="21" t="inlineStr">
        <is>
          <t>subota</t>
        </is>
      </c>
      <c r="C19" s="5" t="inlineStr">
        <is>
          <t>Miješani komunalni otpad</t>
        </is>
      </c>
      <c r="D19" s="21" t="inlineStr">
        <is>
          <t>Pomaknuto zbog neradnog dana u tjednu</t>
        </is>
      </c>
    </row>
    <row r="20">
      <c r="A20" s="30" t="n">
        <v>46351</v>
      </c>
      <c r="B20" s="21" t="inlineStr">
        <is>
          <t>srijeda</t>
        </is>
      </c>
      <c r="C20" s="5" t="inlineStr">
        <is>
          <t>Miješani komunalni otpad</t>
        </is>
      </c>
      <c r="D20" s="21" t="n"/>
    </row>
    <row r="21">
      <c r="A21" s="30" t="n">
        <v>46351</v>
      </c>
      <c r="B21" s="21" t="inlineStr">
        <is>
          <t>srijeda</t>
        </is>
      </c>
      <c r="C21" s="9" t="inlineStr">
        <is>
          <t>Biootpad</t>
        </is>
      </c>
      <c r="D21" s="21" t="n"/>
    </row>
    <row r="22">
      <c r="A22" s="30" t="n">
        <v>46358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30" t="n">
        <v>46358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30" t="n">
        <v>46365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30" t="n">
        <v>46365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30" t="n">
        <v>46367</v>
      </c>
      <c r="B26" s="21" t="inlineStr">
        <is>
          <t>petak</t>
        </is>
      </c>
      <c r="C26" s="10" t="inlineStr">
        <is>
          <t>Plastika i metal</t>
        </is>
      </c>
      <c r="D26" s="21" t="n"/>
    </row>
    <row r="27">
      <c r="A27" s="30" t="n">
        <v>46367</v>
      </c>
      <c r="B27" s="21" t="inlineStr">
        <is>
          <t>petak</t>
        </is>
      </c>
      <c r="C27" s="11" t="inlineStr">
        <is>
          <t>Papir i karton</t>
        </is>
      </c>
      <c r="D27" s="21" t="n"/>
    </row>
    <row r="28">
      <c r="A28" s="30" t="n">
        <v>46370</v>
      </c>
      <c r="B28" s="21" t="inlineStr">
        <is>
          <t>ponedjeljak</t>
        </is>
      </c>
      <c r="C28" s="12" t="inlineStr">
        <is>
          <t>Staklo</t>
        </is>
      </c>
      <c r="D28" s="21" t="n"/>
    </row>
    <row r="29">
      <c r="A29" s="30" t="n">
        <v>46372</v>
      </c>
      <c r="B29" s="21" t="inlineStr">
        <is>
          <t>srijeda</t>
        </is>
      </c>
      <c r="C29" s="5" t="inlineStr">
        <is>
          <t>Miješani komunalni otpad</t>
        </is>
      </c>
      <c r="D29" s="21" t="n"/>
    </row>
    <row r="30">
      <c r="A30" s="30" t="n">
        <v>46372</v>
      </c>
      <c r="B30" s="21" t="inlineStr">
        <is>
          <t>srijeda</t>
        </is>
      </c>
      <c r="C30" s="9" t="inlineStr">
        <is>
          <t>Biootpad</t>
        </is>
      </c>
      <c r="D30" s="21" t="n"/>
    </row>
    <row r="31">
      <c r="A31" s="30" t="n">
        <v>46379</v>
      </c>
      <c r="B31" s="21" t="inlineStr">
        <is>
          <t>srijeda</t>
        </is>
      </c>
      <c r="C31" s="5" t="inlineStr">
        <is>
          <t>Miješani komunalni otpad</t>
        </is>
      </c>
      <c r="D31" s="21" t="n"/>
    </row>
    <row r="32">
      <c r="A32" s="30" t="n">
        <v>46379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30" t="n">
        <v>46386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30" t="n">
        <v>46386</v>
      </c>
      <c r="B34" s="21" t="inlineStr">
        <is>
          <t>srijeda</t>
        </is>
      </c>
      <c r="C34" s="9" t="inlineStr">
        <is>
          <t>Biootpad</t>
        </is>
      </c>
      <c r="D34" s="21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(Požega): ulice i naselja</t>
        </is>
      </c>
    </row>
    <row r="4">
      <c r="A4" s="4" t="inlineStr">
        <is>
          <t>Ulica / naselje</t>
        </is>
      </c>
    </row>
    <row r="5">
      <c r="A5" s="21" t="inlineStr">
        <is>
          <t>Fratrovica (Požega)</t>
        </is>
      </c>
    </row>
    <row r="6">
      <c r="A6" s="21" t="inlineStr">
        <is>
          <t>Ivana Messnera (Požega)</t>
        </is>
      </c>
    </row>
    <row r="7">
      <c r="A7" s="21" t="inlineStr">
        <is>
          <t>Jagodnjak (Požega)</t>
        </is>
      </c>
    </row>
    <row r="8">
      <c r="A8" s="21" t="inlineStr">
        <is>
          <t>Janka Jurkovića (Požega)</t>
        </is>
      </c>
    </row>
    <row r="9">
      <c r="A9" s="21" t="inlineStr">
        <is>
          <t>Luke Ibrišimovića (Požega)</t>
        </is>
      </c>
    </row>
    <row r="10">
      <c r="A10" s="21" t="inlineStr">
        <is>
          <t>Messnerova (Požega)</t>
        </is>
      </c>
    </row>
    <row r="11">
      <c r="A11" s="21" t="inlineStr">
        <is>
          <t>Požeški vinogradarski put (Požega)</t>
        </is>
      </c>
    </row>
    <row r="12">
      <c r="A12" s="21" t="inlineStr">
        <is>
          <t>Seovački put (Požega)</t>
        </is>
      </c>
    </row>
    <row r="13">
      <c r="A13" s="21" t="inlineStr">
        <is>
          <t>Sokolova (Požega)</t>
        </is>
      </c>
    </row>
    <row r="14">
      <c r="A14" s="21" t="inlineStr">
        <is>
          <t>Stjepana Koydla (Požega)</t>
        </is>
      </c>
    </row>
    <row r="15">
      <c r="A15" s="21" t="inlineStr">
        <is>
          <t>Sv. Duha (Požega)</t>
        </is>
      </c>
    </row>
    <row r="16">
      <c r="A16" s="21" t="inlineStr">
        <is>
          <t>Svetog Duha (Požega)</t>
        </is>
      </c>
    </row>
    <row r="17">
      <c r="A17" s="21" t="inlineStr">
        <is>
          <t>Vučjak (Požega)</t>
        </is>
      </c>
    </row>
    <row r="18">
      <c r="A18" s="21" t="inlineStr">
        <is>
          <t>Zdenka Turkovića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
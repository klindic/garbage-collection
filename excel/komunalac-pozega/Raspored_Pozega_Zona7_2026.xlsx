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COUNTIFS(Raspored!$C$5:$C$22,$A13,Raspored!$D$5:$D$22,"x")</f>
        <v/>
      </c>
      <c r="C13" s="7">
        <f>COUNTIFS(Raspored!$C$5:$C$22,$A13,Raspored!$E$5:$E$22,"x")</f>
        <v/>
      </c>
      <c r="D13" s="7">
        <f>COUNTIFS(Raspored!$C$5:$C$22,$A13,Raspored!$F$5:$F$22,"x")</f>
        <v/>
      </c>
      <c r="E13" s="7">
        <f>COUNTIFS(Raspored!$C$5:$C$22,$A13,Raspored!$G$5:$G$22,"x")</f>
        <v/>
      </c>
    </row>
    <row r="14">
      <c r="A14" s="17" t="inlineStr">
        <is>
          <t>veljača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</row>
    <row r="15">
      <c r="A15" s="17" t="inlineStr">
        <is>
          <t>ožujak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</row>
    <row r="16">
      <c r="A16" s="17" t="inlineStr">
        <is>
          <t>travanj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</row>
    <row r="17">
      <c r="A17" s="17" t="inlineStr">
        <is>
          <t>svibanj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</row>
    <row r="18">
      <c r="A18" s="17" t="inlineStr">
        <is>
          <t>lipanj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</row>
    <row r="19">
      <c r="A19" s="17" t="inlineStr">
        <is>
          <t>srpanj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</row>
    <row r="20">
      <c r="A20" s="17" t="inlineStr">
        <is>
          <t>kolovoz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</row>
    <row r="21">
      <c r="A21" s="17" t="inlineStr">
        <is>
          <t>rujan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</row>
    <row r="22">
      <c r="A22" s="17" t="inlineStr">
        <is>
          <t>listopad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</row>
    <row r="23">
      <c r="A23" s="17" t="inlineStr">
        <is>
          <t>studeni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</row>
    <row r="24">
      <c r="A24" s="17" t="inlineStr">
        <is>
          <t>prosinac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46307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46328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46338</v>
      </c>
      <c r="B12" s="7" t="inlineStr">
        <is>
          <t>četvrtak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46366</v>
      </c>
      <c r="B18" s="7" t="inlineStr">
        <is>
          <t>četvrtak</t>
        </is>
      </c>
      <c r="C18" s="7" t="inlineStr">
        <is>
          <t>prosinac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46367</v>
      </c>
      <c r="B19" s="7" t="inlineStr">
        <is>
          <t>petak</t>
        </is>
      </c>
      <c r="C19" s="7" t="inlineStr">
        <is>
          <t>prosinac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46370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46377</v>
      </c>
      <c r="B21" s="7" t="inlineStr">
        <is>
          <t>ponedjeljak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46384</v>
      </c>
      <c r="B22" s="7" t="inlineStr">
        <is>
          <t>ponedjeljak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23" t="n"/>
    </row>
  </sheetData>
  <autoFilter ref="A4:H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A5:H2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7" t="inlineStr">
        <is>
          <t>četvrtak</t>
        </is>
      </c>
      <c r="C2" s="9" t="inlineStr">
        <is>
          <t>Plastika i metal</t>
        </is>
      </c>
      <c r="D2" s="17" t="n"/>
    </row>
    <row r="3">
      <c r="A3" s="24" t="n">
        <v>46303</v>
      </c>
      <c r="B3" s="17" t="inlineStr">
        <is>
          <t>četvrtak</t>
        </is>
      </c>
      <c r="C3" s="10" t="inlineStr">
        <is>
          <t>Papir i karton</t>
        </is>
      </c>
      <c r="D3" s="17" t="n"/>
    </row>
    <row r="4">
      <c r="A4" s="24" t="n">
        <v>46304</v>
      </c>
      <c r="B4" s="17" t="inlineStr">
        <is>
          <t>petak</t>
        </is>
      </c>
      <c r="C4" s="11" t="inlineStr">
        <is>
          <t>Staklo</t>
        </is>
      </c>
      <c r="D4" s="17" t="n"/>
    </row>
    <row r="5">
      <c r="A5" s="24" t="n">
        <v>46307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46314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46321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46328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46335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46338</v>
      </c>
      <c r="B10" s="17" t="inlineStr">
        <is>
          <t>četvrtak</t>
        </is>
      </c>
      <c r="C10" s="9" t="inlineStr">
        <is>
          <t>Plastika i metal</t>
        </is>
      </c>
      <c r="D10" s="17" t="n"/>
    </row>
    <row r="11">
      <c r="A11" s="24" t="n">
        <v>46338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46339</v>
      </c>
      <c r="B12" s="17" t="inlineStr">
        <is>
          <t>petak</t>
        </is>
      </c>
      <c r="C12" s="11" t="inlineStr">
        <is>
          <t>Staklo</t>
        </is>
      </c>
      <c r="D12" s="17" t="n"/>
    </row>
    <row r="13">
      <c r="A13" s="24" t="n">
        <v>46342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46349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46356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46363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46366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4" t="n">
        <v>46366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46367</v>
      </c>
      <c r="B19" s="17" t="inlineStr">
        <is>
          <t>petak</t>
        </is>
      </c>
      <c r="C19" s="11" t="inlineStr">
        <is>
          <t>Staklo</t>
        </is>
      </c>
      <c r="D19" s="17" t="n"/>
    </row>
    <row r="20">
      <c r="A20" s="24" t="n">
        <v>46370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46377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46384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Golobrdci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
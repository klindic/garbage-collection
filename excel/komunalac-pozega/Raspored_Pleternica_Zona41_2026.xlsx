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'Raspored'!$A$4:$F$17</definedName>
    <definedName name="_xlnm._FilterDatabase" localSheetId="2" hidden="1">'Po vrsti'!$A$1:$D$14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9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F7F7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5" fillId="0" borderId="0" pivotButton="0" quotePrefix="0" xfId="0"/>
    <xf numFmtId="165" fontId="4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1" fontId="4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6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5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0" pivotButton="0" quotePrefix="0" xfId="0"/>
    <xf numFmtId="0" fontId="2" fillId="0" borderId="0" pivotButton="0" quotePrefix="0" xfId="0"/>
    <xf numFmtId="0" fontId="4" fillId="0" borderId="1" applyAlignment="1" pivotButton="0" quotePrefix="0" xfId="0">
      <alignment vertical="center"/>
    </xf>
    <xf numFmtId="165" fontId="4" fillId="0" borderId="1" pivotButton="0" quotePrefix="0" xfId="0"/>
  </cellXfs>
  <cellStyles count="1">
    <cellStyle name="Normal" xfId="0" builtinId="0" hidden="0"/>
  </cellStyles>
  <dxfs count="3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F7F7F"/>
          <bgColor rgb="007F7F7F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41,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IFERROR(1/(1/_xlfn.MINIFS(Raspored!$A$5:$A$17,Raspored!$D$5:$D$17,"x",Raspored!$A$5:$A$17,"&gt;="&amp;$B$3)),"nema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COUNTIF(Raspored!$D$5:$D$17,"x")</f>
        <v/>
      </c>
    </row>
    <row r="7">
      <c r="A7" s="9" t="inlineStr">
        <is>
          <t>Glomazni otpad</t>
        </is>
      </c>
      <c r="B7" s="6">
        <f>IFERROR(1/(1/_xlfn.MINIFS(Raspored!$A$5:$A$17,Raspored!$E$5:$E$17,"x",Raspored!$A$5:$A$17,"&gt;="&amp;$B$3)),"nema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COUNTIF(Raspored!$E$5:$E$17,"x")</f>
        <v/>
      </c>
    </row>
    <row r="9">
      <c r="A9" s="10" t="inlineStr">
        <is>
          <t>Broj odvoza po mjesecu</t>
        </is>
      </c>
    </row>
    <row r="10" ht="30" customHeight="1">
      <c r="A10" s="4" t="inlineStr">
        <is>
          <t>Mjesec</t>
        </is>
      </c>
      <c r="B10" s="11" t="inlineStr">
        <is>
          <t>Miješani komunalni otpad</t>
        </is>
      </c>
      <c r="C10" s="12" t="inlineStr">
        <is>
          <t>Glomazni otpad</t>
        </is>
      </c>
    </row>
    <row r="11">
      <c r="A11" s="13" t="inlineStr">
        <is>
          <t>siječanj</t>
        </is>
      </c>
      <c r="B11" s="7">
        <f>COUNTIFS(Raspored!$C$5:$C$17,$A11,Raspored!$D$5:$D$17,"x")</f>
        <v/>
      </c>
      <c r="C11" s="7">
        <f>COUNTIFS(Raspored!$C$5:$C$17,$A11,Raspored!$E$5:$E$17,"x")</f>
        <v/>
      </c>
    </row>
    <row r="12">
      <c r="A12" s="13" t="inlineStr">
        <is>
          <t>veljača</t>
        </is>
      </c>
      <c r="B12" s="7">
        <f>COUNTIFS(Raspored!$C$5:$C$17,$A12,Raspored!$D$5:$D$17,"x")</f>
        <v/>
      </c>
      <c r="C12" s="7">
        <f>COUNTIFS(Raspored!$C$5:$C$17,$A12,Raspored!$E$5:$E$17,"x")</f>
        <v/>
      </c>
    </row>
    <row r="13">
      <c r="A13" s="13" t="inlineStr">
        <is>
          <t>ožujak</t>
        </is>
      </c>
      <c r="B13" s="7">
        <f>COUNTIFS(Raspored!$C$5:$C$17,$A13,Raspored!$D$5:$D$17,"x")</f>
        <v/>
      </c>
      <c r="C13" s="7">
        <f>COUNTIFS(Raspored!$C$5:$C$17,$A13,Raspored!$E$5:$E$17,"x")</f>
        <v/>
      </c>
    </row>
    <row r="14">
      <c r="A14" s="13" t="inlineStr">
        <is>
          <t>travanj</t>
        </is>
      </c>
      <c r="B14" s="7">
        <f>COUNTIFS(Raspored!$C$5:$C$17,$A14,Raspored!$D$5:$D$17,"x")</f>
        <v/>
      </c>
      <c r="C14" s="7">
        <f>COUNTIFS(Raspored!$C$5:$C$17,$A14,Raspored!$E$5:$E$17,"x")</f>
        <v/>
      </c>
    </row>
    <row r="15">
      <c r="A15" s="13" t="inlineStr">
        <is>
          <t>svibanj</t>
        </is>
      </c>
      <c r="B15" s="7">
        <f>COUNTIFS(Raspored!$C$5:$C$17,$A15,Raspored!$D$5:$D$17,"x")</f>
        <v/>
      </c>
      <c r="C15" s="7">
        <f>COUNTIFS(Raspored!$C$5:$C$17,$A15,Raspored!$E$5:$E$17,"x")</f>
        <v/>
      </c>
    </row>
    <row r="16">
      <c r="A16" s="13" t="inlineStr">
        <is>
          <t>lipanj</t>
        </is>
      </c>
      <c r="B16" s="7">
        <f>COUNTIFS(Raspored!$C$5:$C$17,$A16,Raspored!$D$5:$D$17,"x")</f>
        <v/>
      </c>
      <c r="C16" s="7">
        <f>COUNTIFS(Raspored!$C$5:$C$17,$A16,Raspored!$E$5:$E$17,"x")</f>
        <v/>
      </c>
    </row>
    <row r="17">
      <c r="A17" s="13" t="inlineStr">
        <is>
          <t>srpanj</t>
        </is>
      </c>
      <c r="B17" s="7">
        <f>COUNTIFS(Raspored!$C$5:$C$17,$A17,Raspored!$D$5:$D$17,"x")</f>
        <v/>
      </c>
      <c r="C17" s="7">
        <f>COUNTIFS(Raspored!$C$5:$C$17,$A17,Raspored!$E$5:$E$17,"x")</f>
        <v/>
      </c>
    </row>
    <row r="18">
      <c r="A18" s="13" t="inlineStr">
        <is>
          <t>kolovoz</t>
        </is>
      </c>
      <c r="B18" s="7">
        <f>COUNTIFS(Raspored!$C$5:$C$17,$A18,Raspored!$D$5:$D$17,"x")</f>
        <v/>
      </c>
      <c r="C18" s="7">
        <f>COUNTIFS(Raspored!$C$5:$C$17,$A18,Raspored!$E$5:$E$17,"x")</f>
        <v/>
      </c>
    </row>
    <row r="19">
      <c r="A19" s="13" t="inlineStr">
        <is>
          <t>rujan</t>
        </is>
      </c>
      <c r="B19" s="7">
        <f>COUNTIFS(Raspored!$C$5:$C$17,$A19,Raspored!$D$5:$D$17,"x")</f>
        <v/>
      </c>
      <c r="C19" s="7">
        <f>COUNTIFS(Raspored!$C$5:$C$17,$A19,Raspored!$E$5:$E$17,"x")</f>
        <v/>
      </c>
    </row>
    <row r="20">
      <c r="A20" s="13" t="inlineStr">
        <is>
          <t>listopad</t>
        </is>
      </c>
      <c r="B20" s="7">
        <f>COUNTIFS(Raspored!$C$5:$C$17,$A20,Raspored!$D$5:$D$17,"x")</f>
        <v/>
      </c>
      <c r="C20" s="7">
        <f>COUNTIFS(Raspored!$C$5:$C$17,$A20,Raspored!$E$5:$E$17,"x")</f>
        <v/>
      </c>
    </row>
    <row r="21">
      <c r="A21" s="13" t="inlineStr">
        <is>
          <t>studeni</t>
        </is>
      </c>
      <c r="B21" s="7">
        <f>COUNTIFS(Raspored!$C$5:$C$17,$A21,Raspored!$D$5:$D$17,"x")</f>
        <v/>
      </c>
      <c r="C21" s="7">
        <f>COUNTIFS(Raspored!$C$5:$C$17,$A21,Raspored!$E$5:$E$17,"x")</f>
        <v/>
      </c>
    </row>
    <row r="22">
      <c r="A22" s="13" t="inlineStr">
        <is>
          <t>prosinac</t>
        </is>
      </c>
      <c r="B22" s="7">
        <f>COUNTIFS(Raspored!$C$5:$C$17,$A22,Raspored!$D$5:$D$17,"x")</f>
        <v/>
      </c>
      <c r="C22" s="7">
        <f>COUNTIFS(Raspored!$C$5:$C$17,$A22,Raspored!$E$5:$E$17,"x")</f>
        <v/>
      </c>
    </row>
    <row r="23">
      <c r="A23" s="14" t="inlineStr">
        <is>
          <t>Ukupno</t>
        </is>
      </c>
      <c r="B23" s="15">
        <f>SUM(B11:B22)</f>
        <v/>
      </c>
      <c r="C23" s="15">
        <f>SUM(C11:C22)</f>
        <v/>
      </c>
    </row>
    <row r="25">
      <c r="A25" s="16" t="inlineStr">
        <is>
          <t>Napomene:</t>
        </is>
      </c>
    </row>
    <row r="26">
      <c r="A26" s="17" t="inlineStr">
        <is>
          <t>• Kalendar davatelja za ove lokacije nema datuma za: biootpad, papir i plastiku, staklo.</t>
        </is>
      </c>
    </row>
    <row r="27">
      <c r="A27" s="17" t="inlineStr">
        <is>
          <t>• Kalendar na komunalac-pozega.com.hr prikazuje odvoze od sutrašnjeg dana do kraja godine; raniji mjeseci u ovom rasporedu potječu iz ranijih preuzimanja (od 08.10.2026.).</t>
        </is>
      </c>
    </row>
    <row r="28">
      <c r="A28" s="17" t="inlineStr">
        <is>
          <t>• Pomaci zbog blagdana već su upisani u datume (odvoz se seli na subotu prije ili poslije blagdana).</t>
        </is>
      </c>
    </row>
    <row r="29">
      <c r="A29" s="17" t="inlineStr">
        <is>
          <t>• Papir i plastika odvoze se zajedno (plavo-žuti spremnik), jednom mjesečno.</t>
        </is>
      </c>
    </row>
    <row r="30">
      <c r="A30" s="17" t="inlineStr">
        <is>
          <t>• Glomazni otpad: datumi iz kalendara; izvan Grada Požege potrebu odvoza prijavite na (034) 440 997 najkasnije dan uoči odvoza do 13 sati.</t>
        </is>
      </c>
    </row>
    <row r="31">
      <c r="A31" s="17" t="inlineStr">
        <is>
          <t>• Reciklažna dvorišta: Požega (Industrijska 25c), Pleternica (Ante Starčevića 29), Jakšić (Kolodvorska 215a), Velika (Strossmayerova 20D), Kaptol (Novi Bešinci 2B), Kutjevo (Kamenjača 15).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3" customWidth="1" min="5" max="5"/>
    <col width="44" customWidth="1" min="6" max="6"/>
  </cols>
  <sheetData>
    <row r="1">
      <c r="A1" s="1" t="inlineStr">
        <is>
          <t>Raspored odvoza otpada 2026., Zona 41 (Pleternica)</t>
        </is>
      </c>
    </row>
    <row r="2">
      <c r="A2" s="18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1" t="inlineStr">
        <is>
          <t>Miješani komunalni otpad</t>
        </is>
      </c>
      <c r="E4" s="12" t="inlineStr">
        <is>
          <t>Glomazni otpad</t>
        </is>
      </c>
      <c r="F4" s="4" t="inlineStr">
        <is>
          <t>Napomena</t>
        </is>
      </c>
    </row>
    <row r="5">
      <c r="A5" s="6" t="n">
        <v>46308</v>
      </c>
      <c r="B5" s="7" t="inlineStr">
        <is>
          <t>utorak</t>
        </is>
      </c>
      <c r="C5" s="7" t="inlineStr">
        <is>
          <t>listopad</t>
        </is>
      </c>
      <c r="D5" s="7" t="inlineStr">
        <is>
          <t>x</t>
        </is>
      </c>
      <c r="E5" s="7" t="n"/>
      <c r="F5" s="19" t="n"/>
    </row>
    <row r="6">
      <c r="A6" s="6" t="n">
        <v>46315</v>
      </c>
      <c r="B6" s="7" t="inlineStr">
        <is>
          <t>utorak</t>
        </is>
      </c>
      <c r="C6" s="7" t="inlineStr">
        <is>
          <t>listopad</t>
        </is>
      </c>
      <c r="D6" s="7" t="inlineStr">
        <is>
          <t>x</t>
        </is>
      </c>
      <c r="E6" s="7" t="n"/>
      <c r="F6" s="19" t="n"/>
    </row>
    <row r="7">
      <c r="A7" s="6" t="n">
        <v>46319</v>
      </c>
      <c r="B7" s="7" t="inlineStr">
        <is>
          <t>subota</t>
        </is>
      </c>
      <c r="C7" s="7" t="inlineStr">
        <is>
          <t>listopad</t>
        </is>
      </c>
      <c r="D7" s="7" t="n"/>
      <c r="E7" s="7" t="inlineStr">
        <is>
          <t>x</t>
        </is>
      </c>
      <c r="F7" s="19" t="n"/>
    </row>
    <row r="8">
      <c r="A8" s="6" t="n">
        <v>46322</v>
      </c>
      <c r="B8" s="7" t="inlineStr">
        <is>
          <t>utorak</t>
        </is>
      </c>
      <c r="C8" s="7" t="inlineStr">
        <is>
          <t>listopad</t>
        </is>
      </c>
      <c r="D8" s="7" t="inlineStr">
        <is>
          <t>x</t>
        </is>
      </c>
      <c r="E8" s="7" t="n"/>
      <c r="F8" s="19" t="n"/>
    </row>
    <row r="9">
      <c r="A9" s="6" t="n">
        <v>46329</v>
      </c>
      <c r="B9" s="7" t="inlineStr">
        <is>
          <t>utorak</t>
        </is>
      </c>
      <c r="C9" s="7" t="inlineStr">
        <is>
          <t>studeni</t>
        </is>
      </c>
      <c r="D9" s="7" t="inlineStr">
        <is>
          <t>x</t>
        </is>
      </c>
      <c r="E9" s="7" t="n"/>
      <c r="F9" s="19" t="n"/>
    </row>
    <row r="10">
      <c r="A10" s="6" t="n">
        <v>46336</v>
      </c>
      <c r="B10" s="7" t="inlineStr">
        <is>
          <t>utorak</t>
        </is>
      </c>
      <c r="C10" s="7" t="inlineStr">
        <is>
          <t>studeni</t>
        </is>
      </c>
      <c r="D10" s="7" t="inlineStr">
        <is>
          <t>x</t>
        </is>
      </c>
      <c r="E10" s="7" t="n"/>
      <c r="F10" s="19" t="n"/>
    </row>
    <row r="11">
      <c r="A11" s="6" t="n">
        <v>46343</v>
      </c>
      <c r="B11" s="7" t="inlineStr">
        <is>
          <t>utorak</t>
        </is>
      </c>
      <c r="C11" s="7" t="inlineStr">
        <is>
          <t>studeni</t>
        </is>
      </c>
      <c r="D11" s="7" t="inlineStr">
        <is>
          <t>x</t>
        </is>
      </c>
      <c r="E11" s="7" t="n"/>
      <c r="F11" s="19" t="n"/>
    </row>
    <row r="12">
      <c r="A12" s="6" t="n">
        <v>46350</v>
      </c>
      <c r="B12" s="7" t="inlineStr">
        <is>
          <t>utorak</t>
        </is>
      </c>
      <c r="C12" s="7" t="inlineStr">
        <is>
          <t>studeni</t>
        </is>
      </c>
      <c r="D12" s="7" t="inlineStr">
        <is>
          <t>x</t>
        </is>
      </c>
      <c r="E12" s="7" t="n"/>
      <c r="F12" s="19" t="n"/>
    </row>
    <row r="13">
      <c r="A13" s="6" t="n">
        <v>46357</v>
      </c>
      <c r="B13" s="7" t="inlineStr">
        <is>
          <t>utorak</t>
        </is>
      </c>
      <c r="C13" s="7" t="inlineStr">
        <is>
          <t>prosinac</t>
        </is>
      </c>
      <c r="D13" s="7" t="inlineStr">
        <is>
          <t>x</t>
        </is>
      </c>
      <c r="E13" s="7" t="n"/>
      <c r="F13" s="19" t="n"/>
    </row>
    <row r="14">
      <c r="A14" s="6" t="n">
        <v>46364</v>
      </c>
      <c r="B14" s="7" t="inlineStr">
        <is>
          <t>utorak</t>
        </is>
      </c>
      <c r="C14" s="7" t="inlineStr">
        <is>
          <t>prosinac</t>
        </is>
      </c>
      <c r="D14" s="7" t="inlineStr">
        <is>
          <t>x</t>
        </is>
      </c>
      <c r="E14" s="7" t="n"/>
      <c r="F14" s="19" t="n"/>
    </row>
    <row r="15">
      <c r="A15" s="6" t="n">
        <v>46371</v>
      </c>
      <c r="B15" s="7" t="inlineStr">
        <is>
          <t>utorak</t>
        </is>
      </c>
      <c r="C15" s="7" t="inlineStr">
        <is>
          <t>prosinac</t>
        </is>
      </c>
      <c r="D15" s="7" t="inlineStr">
        <is>
          <t>x</t>
        </is>
      </c>
      <c r="E15" s="7" t="n"/>
      <c r="F15" s="19" t="n"/>
    </row>
    <row r="16">
      <c r="A16" s="6" t="n">
        <v>46378</v>
      </c>
      <c r="B16" s="7" t="inlineStr">
        <is>
          <t>utorak</t>
        </is>
      </c>
      <c r="C16" s="7" t="inlineStr">
        <is>
          <t>prosinac</t>
        </is>
      </c>
      <c r="D16" s="7" t="inlineStr">
        <is>
          <t>x</t>
        </is>
      </c>
      <c r="E16" s="7" t="n"/>
      <c r="F16" s="19" t="n"/>
    </row>
    <row r="17">
      <c r="A17" s="6" t="n">
        <v>46385</v>
      </c>
      <c r="B17" s="7" t="inlineStr">
        <is>
          <t>utorak</t>
        </is>
      </c>
      <c r="C17" s="7" t="inlineStr">
        <is>
          <t>prosinac</t>
        </is>
      </c>
      <c r="D17" s="7" t="inlineStr">
        <is>
          <t>x</t>
        </is>
      </c>
      <c r="E17" s="7" t="n"/>
      <c r="F17" s="19" t="n"/>
    </row>
  </sheetData>
  <autoFilter ref="A4:F17"/>
  <conditionalFormatting sqref="D5:D17">
    <cfRule type="expression" priority="1" dxfId="0">
      <formula>D5="x"</formula>
    </cfRule>
  </conditionalFormatting>
  <conditionalFormatting sqref="E5:E17">
    <cfRule type="expression" priority="2" dxfId="1">
      <formula>E5="x"</formula>
    </cfRule>
  </conditionalFormatting>
  <conditionalFormatting sqref="A5:F17">
    <cfRule type="expression" priority="3" dxfId="2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0" t="n">
        <v>46308</v>
      </c>
      <c r="B2" s="13" t="inlineStr">
        <is>
          <t>utorak</t>
        </is>
      </c>
      <c r="C2" s="5" t="inlineStr">
        <is>
          <t>Miješani komunalni otpad</t>
        </is>
      </c>
      <c r="D2" s="13" t="n"/>
    </row>
    <row r="3">
      <c r="A3" s="20" t="n">
        <v>46315</v>
      </c>
      <c r="B3" s="13" t="inlineStr">
        <is>
          <t>utorak</t>
        </is>
      </c>
      <c r="C3" s="5" t="inlineStr">
        <is>
          <t>Miješani komunalni otpad</t>
        </is>
      </c>
      <c r="D3" s="13" t="n"/>
    </row>
    <row r="4">
      <c r="A4" s="20" t="n">
        <v>46319</v>
      </c>
      <c r="B4" s="13" t="inlineStr">
        <is>
          <t>subota</t>
        </is>
      </c>
      <c r="C4" s="9" t="inlineStr">
        <is>
          <t>Glomazni otpad</t>
        </is>
      </c>
      <c r="D4" s="13" t="n"/>
    </row>
    <row r="5">
      <c r="A5" s="20" t="n">
        <v>46322</v>
      </c>
      <c r="B5" s="13" t="inlineStr">
        <is>
          <t>utorak</t>
        </is>
      </c>
      <c r="C5" s="5" t="inlineStr">
        <is>
          <t>Miješani komunalni otpad</t>
        </is>
      </c>
      <c r="D5" s="13" t="n"/>
    </row>
    <row r="6">
      <c r="A6" s="20" t="n">
        <v>46329</v>
      </c>
      <c r="B6" s="13" t="inlineStr">
        <is>
          <t>utorak</t>
        </is>
      </c>
      <c r="C6" s="5" t="inlineStr">
        <is>
          <t>Miješani komunalni otpad</t>
        </is>
      </c>
      <c r="D6" s="13" t="n"/>
    </row>
    <row r="7">
      <c r="A7" s="20" t="n">
        <v>46336</v>
      </c>
      <c r="B7" s="13" t="inlineStr">
        <is>
          <t>utorak</t>
        </is>
      </c>
      <c r="C7" s="5" t="inlineStr">
        <is>
          <t>Miješani komunalni otpad</t>
        </is>
      </c>
      <c r="D7" s="13" t="n"/>
    </row>
    <row r="8">
      <c r="A8" s="20" t="n">
        <v>46343</v>
      </c>
      <c r="B8" s="13" t="inlineStr">
        <is>
          <t>utorak</t>
        </is>
      </c>
      <c r="C8" s="5" t="inlineStr">
        <is>
          <t>Miješani komunalni otpad</t>
        </is>
      </c>
      <c r="D8" s="13" t="n"/>
    </row>
    <row r="9">
      <c r="A9" s="20" t="n">
        <v>46350</v>
      </c>
      <c r="B9" s="13" t="inlineStr">
        <is>
          <t>utorak</t>
        </is>
      </c>
      <c r="C9" s="5" t="inlineStr">
        <is>
          <t>Miješani komunalni otpad</t>
        </is>
      </c>
      <c r="D9" s="13" t="n"/>
    </row>
    <row r="10">
      <c r="A10" s="20" t="n">
        <v>46357</v>
      </c>
      <c r="B10" s="13" t="inlineStr">
        <is>
          <t>utorak</t>
        </is>
      </c>
      <c r="C10" s="5" t="inlineStr">
        <is>
          <t>Miješani komunalni otpad</t>
        </is>
      </c>
      <c r="D10" s="13" t="n"/>
    </row>
    <row r="11">
      <c r="A11" s="20" t="n">
        <v>46364</v>
      </c>
      <c r="B11" s="13" t="inlineStr">
        <is>
          <t>utorak</t>
        </is>
      </c>
      <c r="C11" s="5" t="inlineStr">
        <is>
          <t>Miješani komunalni otpad</t>
        </is>
      </c>
      <c r="D11" s="13" t="n"/>
    </row>
    <row r="12">
      <c r="A12" s="20" t="n">
        <v>46371</v>
      </c>
      <c r="B12" s="13" t="inlineStr">
        <is>
          <t>utorak</t>
        </is>
      </c>
      <c r="C12" s="5" t="inlineStr">
        <is>
          <t>Miješani komunalni otpad</t>
        </is>
      </c>
      <c r="D12" s="13" t="n"/>
    </row>
    <row r="13">
      <c r="A13" s="20" t="n">
        <v>46378</v>
      </c>
      <c r="B13" s="13" t="inlineStr">
        <is>
          <t>utorak</t>
        </is>
      </c>
      <c r="C13" s="5" t="inlineStr">
        <is>
          <t>Miješani komunalni otpad</t>
        </is>
      </c>
      <c r="D13" s="13" t="n"/>
    </row>
    <row r="14">
      <c r="A14" s="20" t="n">
        <v>46385</v>
      </c>
      <c r="B14" s="13" t="inlineStr">
        <is>
          <t>utorak</t>
        </is>
      </c>
      <c r="C14" s="5" t="inlineStr">
        <is>
          <t>Miješani komunalni otpad</t>
        </is>
      </c>
      <c r="D14" s="13" t="n"/>
    </row>
  </sheetData>
  <autoFilter ref="A1:D1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41 (Pleternica): ulice i naselja</t>
        </is>
      </c>
    </row>
    <row r="4">
      <c r="A4" s="4" t="inlineStr">
        <is>
          <t>Ulica / naselje</t>
        </is>
      </c>
    </row>
    <row r="5">
      <c r="A5" s="13" t="inlineStr">
        <is>
          <t>Josipa Andrića (Pleternica)</t>
        </is>
      </c>
    </row>
    <row r="6">
      <c r="A6" s="13" t="inlineStr">
        <is>
          <t>Školska (Pleternica)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2026-10-08T05:52:24Z</dcterms:created>
  <dcterms:modified xmlns:dcterms="http://purl.org/dc/terms/" xmlns:xsi="http://www.w3.org/2001/XMLSchema-instance" xsi:type="dcterms:W3CDTF">2026-10-08T05:52:24Z</dcterms:modified>
</cp:coreProperties>
</file>
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'Raspored'!$A$4:$I$19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0">
      <c r="A10" s="12" t="inlineStr">
        <is>
          <t>Glomazni otpad</t>
        </is>
      </c>
      <c r="B10" s="6">
        <f>IFERROR(1/(1/_xlfn.MINIFS(Raspored!$A$5:$A$19,Raspored!$H$5:$H$19,"x",Raspored!$A$5:$A$19,"&gt;="&amp;$B$3)),"nema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  <c r="F14" s="7">
        <f>COUNTIFS(Raspored!$C$5:$C$19,$A14,Raspored!$H$5:$H$19,"x")</f>
        <v/>
      </c>
    </row>
    <row r="15">
      <c r="A15" s="19" t="inlineStr">
        <is>
          <t>veljača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  <c r="F15" s="7">
        <f>COUNTIFS(Raspored!$C$5:$C$19,$A15,Raspored!$H$5:$H$19,"x")</f>
        <v/>
      </c>
    </row>
    <row r="16">
      <c r="A16" s="19" t="inlineStr">
        <is>
          <t>ožujak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  <c r="F16" s="7">
        <f>COUNTIFS(Raspored!$C$5:$C$19,$A16,Raspored!$H$5:$H$19,"x")</f>
        <v/>
      </c>
    </row>
    <row r="17">
      <c r="A17" s="19" t="inlineStr">
        <is>
          <t>travanj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  <c r="F17" s="7">
        <f>COUNTIFS(Raspored!$C$5:$C$19,$A17,Raspored!$H$5:$H$19,"x")</f>
        <v/>
      </c>
    </row>
    <row r="18">
      <c r="A18" s="19" t="inlineStr">
        <is>
          <t>svibanj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  <c r="F18" s="7">
        <f>COUNTIFS(Raspored!$C$5:$C$19,$A18,Raspored!$H$5:$H$19,"x")</f>
        <v/>
      </c>
    </row>
    <row r="19">
      <c r="A19" s="19" t="inlineStr">
        <is>
          <t>lipanj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  <c r="F19" s="7">
        <f>COUNTIFS(Raspored!$C$5:$C$19,$A19,Raspored!$H$5:$H$19,"x")</f>
        <v/>
      </c>
    </row>
    <row r="20">
      <c r="A20" s="19" t="inlineStr">
        <is>
          <t>srpanj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  <c r="F20" s="7">
        <f>COUNTIFS(Raspored!$C$5:$C$19,$A20,Raspored!$H$5:$H$19,"x")</f>
        <v/>
      </c>
    </row>
    <row r="21">
      <c r="A21" s="19" t="inlineStr">
        <is>
          <t>kolovoz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  <c r="F21" s="7">
        <f>COUNTIFS(Raspored!$C$5:$C$19,$A21,Raspored!$H$5:$H$19,"x")</f>
        <v/>
      </c>
    </row>
    <row r="22">
      <c r="A22" s="19" t="inlineStr">
        <is>
          <t>rujan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  <c r="F22" s="7">
        <f>COUNTIFS(Raspored!$C$5:$C$19,$A22,Raspored!$H$5:$H$19,"x")</f>
        <v/>
      </c>
    </row>
    <row r="23">
      <c r="A23" s="19" t="inlineStr">
        <is>
          <t>listopad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  <c r="F23" s="7">
        <f>COUNTIFS(Raspored!$C$5:$C$19,$A23,Raspored!$H$5:$H$19,"x")</f>
        <v/>
      </c>
    </row>
    <row r="24">
      <c r="A24" s="19" t="inlineStr">
        <is>
          <t>studeni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  <c r="F24" s="7">
        <f>COUNTIFS(Raspored!$C$5:$C$19,$A24,Raspored!$H$5:$H$19,"x")</f>
        <v/>
      </c>
    </row>
    <row r="25">
      <c r="A25" s="19" t="inlineStr">
        <is>
          <t>prosinac</t>
        </is>
      </c>
      <c r="B25" s="7">
        <f>COUNTIFS(Raspored!$C$5:$C$19,$A25,Raspored!$D$5:$D$19,"x")</f>
        <v/>
      </c>
      <c r="C25" s="7">
        <f>COUNTIFS(Raspored!$C$5:$C$19,$A25,Raspored!$E$5:$E$19,"x")</f>
        <v/>
      </c>
      <c r="D25" s="7">
        <f>COUNTIFS(Raspored!$C$5:$C$19,$A25,Raspored!$F$5:$F$19,"x")</f>
        <v/>
      </c>
      <c r="E25" s="7">
        <f>COUNTIFS(Raspored!$C$5:$C$19,$A25,Raspored!$G$5:$G$19,"x")</f>
        <v/>
      </c>
      <c r="F25" s="7">
        <f>COUNTIFS(Raspored!$C$5:$C$19,$A25,Raspored!$H$5:$H$19,"x")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65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46321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46333</v>
      </c>
      <c r="B10" s="7" t="inlineStr">
        <is>
          <t>subota</t>
        </is>
      </c>
      <c r="C10" s="7" t="inlineStr">
        <is>
          <t>studeni</t>
        </is>
      </c>
      <c r="D10" s="7" t="n"/>
      <c r="E10" s="7" t="n"/>
      <c r="F10" s="7" t="n"/>
      <c r="G10" s="7" t="n"/>
      <c r="H10" s="7" t="inlineStr">
        <is>
          <t>x</t>
        </is>
      </c>
      <c r="I10" s="25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46342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46349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6" t="n">
        <v>46363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46377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46384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46385</v>
      </c>
      <c r="B19" s="7" t="inlineStr">
        <is>
          <t>utorak</t>
        </is>
      </c>
      <c r="C19" s="7" t="inlineStr">
        <is>
          <t>prosinac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7" t="n"/>
      <c r="I19" s="25" t="n"/>
    </row>
  </sheetData>
  <autoFilter ref="A4:I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H5:H19">
    <cfRule type="expression" priority="5" dxfId="4">
      <formula>H5="x"</formula>
    </cfRule>
  </conditionalFormatting>
  <conditionalFormatting sqref="A5:I1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46307</v>
      </c>
      <c r="B3" s="19" t="inlineStr">
        <is>
          <t>ponedjeljak</t>
        </is>
      </c>
      <c r="C3" s="11" t="inlineStr">
        <is>
          <t>Staklo</t>
        </is>
      </c>
      <c r="D3" s="19" t="n"/>
    </row>
    <row r="4">
      <c r="A4" s="26" t="n">
        <v>46314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46321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46324</v>
      </c>
      <c r="B6" s="19" t="inlineStr">
        <is>
          <t>četvrtak</t>
        </is>
      </c>
      <c r="C6" s="9" t="inlineStr">
        <is>
          <t>Plastika i metal</t>
        </is>
      </c>
      <c r="D6" s="19" t="n"/>
    </row>
    <row r="7">
      <c r="A7" s="26" t="n">
        <v>46324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6" t="n">
        <v>46328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6" t="n">
        <v>46335</v>
      </c>
      <c r="B11" s="19" t="inlineStr">
        <is>
          <t>ponedjeljak</t>
        </is>
      </c>
      <c r="C11" s="11" t="inlineStr">
        <is>
          <t>Staklo</t>
        </is>
      </c>
      <c r="D11" s="19" t="n"/>
    </row>
    <row r="12">
      <c r="A12" s="26" t="n">
        <v>46342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6" t="n">
        <v>46349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46356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46356</v>
      </c>
      <c r="B15" s="19" t="inlineStr">
        <is>
          <t>ponedjeljak</t>
        </is>
      </c>
      <c r="C15" s="9" t="inlineStr">
        <is>
          <t>Plastika i metal</t>
        </is>
      </c>
      <c r="D15" s="19" t="n"/>
    </row>
    <row r="16">
      <c r="A16" s="26" t="n">
        <v>46356</v>
      </c>
      <c r="B16" s="19" t="inlineStr">
        <is>
          <t>ponedjeljak</t>
        </is>
      </c>
      <c r="C16" s="10" t="inlineStr">
        <is>
          <t>Papir i karton</t>
        </is>
      </c>
      <c r="D16" s="19" t="n"/>
    </row>
    <row r="17">
      <c r="A17" s="26" t="n">
        <v>46363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46363</v>
      </c>
      <c r="B18" s="19" t="inlineStr">
        <is>
          <t>ponedjeljak</t>
        </is>
      </c>
      <c r="C18" s="11" t="inlineStr">
        <is>
          <t>Staklo</t>
        </is>
      </c>
      <c r="D18" s="19" t="n"/>
    </row>
    <row r="19">
      <c r="A19" s="26" t="n">
        <v>46370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46377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46384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46385</v>
      </c>
      <c r="B22" s="19" t="inlineStr">
        <is>
          <t>utorak</t>
        </is>
      </c>
      <c r="C22" s="9" t="inlineStr">
        <is>
          <t>Plastika i metal</t>
        </is>
      </c>
      <c r="D22" s="19" t="n"/>
    </row>
    <row r="23">
      <c r="A23" s="26" t="n">
        <v>46385</v>
      </c>
      <c r="B23" s="19" t="inlineStr">
        <is>
          <t>utorak</t>
        </is>
      </c>
      <c r="C23" s="10" t="inlineStr">
        <is>
          <t>Papir i karton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65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Ante Starčevića (Trenkovo)</t>
        </is>
      </c>
    </row>
    <row r="6">
      <c r="A6" s="19" t="inlineStr">
        <is>
          <t>Antunovac</t>
        </is>
      </c>
    </row>
    <row r="7">
      <c r="A7" s="19" t="inlineStr">
        <is>
          <t>Baruna Trenka (Trenkovo)</t>
        </is>
      </c>
    </row>
    <row r="8">
      <c r="A8" s="19" t="inlineStr">
        <is>
          <t>Ivana Kozarca (Trenkovo)</t>
        </is>
      </c>
    </row>
    <row r="9">
      <c r="A9" s="19" t="inlineStr">
        <is>
          <t>Kralja Tomislava (Trenkovo)</t>
        </is>
      </c>
    </row>
    <row r="10">
      <c r="A10" s="19" t="inlineStr">
        <is>
          <t>Mirogojska, osim kućnih brojeva 45 i 47 (Trenkovo)</t>
        </is>
      </c>
    </row>
    <row r="11">
      <c r="A11" s="19" t="inlineStr">
        <is>
          <t>Mlinska (Trenkovo)</t>
        </is>
      </c>
    </row>
    <row r="12">
      <c r="A12" s="19" t="inlineStr">
        <is>
          <t>Stjepana Radića (Trenkovo)</t>
        </is>
      </c>
    </row>
    <row r="13">
      <c r="A13" s="19" t="inlineStr">
        <is>
          <t>Trenkova (Trenkovo)</t>
        </is>
      </c>
    </row>
    <row r="14">
      <c r="A14" s="19" t="inlineStr">
        <is>
          <t>Trg Ante Starčevića (Trenkovo)</t>
        </is>
      </c>
    </row>
    <row r="15">
      <c r="A15" s="19" t="inlineStr">
        <is>
          <t>Vinska (Trenkovo)</t>
        </is>
      </c>
    </row>
    <row r="16">
      <c r="A16" s="19" t="inlineStr">
        <is>
          <t>Vladimira Nazora (Trenkovo)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
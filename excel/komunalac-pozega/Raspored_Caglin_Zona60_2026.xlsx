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</definedName>
    <definedName name="_xlnm._FilterDatabase" localSheetId="2" hidden="1">'Po vrsti'!$A$1:$D$2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Glomazni otpad</t>
        </is>
      </c>
      <c r="B6" s="6">
        <f>IFERROR(1/(1/_xlfn.MINIFS(Raspored!$A$5:$A$5,Raspored!$D$5:$D$5,"x",Raspored!$A$5:$A$5,"&gt;="&amp;$B$3)),"nema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Glomazni otpad</t>
        </is>
      </c>
    </row>
    <row r="10">
      <c r="A10" s="11" t="inlineStr">
        <is>
          <t>siječanj</t>
        </is>
      </c>
      <c r="B10" s="7">
        <f>COUNTIFS(Raspored!$C$5:$C$5,$A10,Raspored!$D$5:$D$5,"x")</f>
        <v/>
      </c>
    </row>
    <row r="11">
      <c r="A11" s="11" t="inlineStr">
        <is>
          <t>veljača</t>
        </is>
      </c>
      <c r="B11" s="7">
        <f>COUNTIFS(Raspored!$C$5:$C$5,$A11,Raspored!$D$5:$D$5,"x")</f>
        <v/>
      </c>
    </row>
    <row r="12">
      <c r="A12" s="11" t="inlineStr">
        <is>
          <t>ožujak</t>
        </is>
      </c>
      <c r="B12" s="7">
        <f>COUNTIFS(Raspored!$C$5:$C$5,$A12,Raspored!$D$5:$D$5,"x")</f>
        <v/>
      </c>
    </row>
    <row r="13">
      <c r="A13" s="11" t="inlineStr">
        <is>
          <t>travanj</t>
        </is>
      </c>
      <c r="B13" s="7">
        <f>COUNTIFS(Raspored!$C$5:$C$5,$A13,Raspored!$D$5:$D$5,"x")</f>
        <v/>
      </c>
    </row>
    <row r="14">
      <c r="A14" s="11" t="inlineStr">
        <is>
          <t>svibanj</t>
        </is>
      </c>
      <c r="B14" s="7">
        <f>COUNTIFS(Raspored!$C$5:$C$5,$A14,Raspored!$D$5:$D$5,"x")</f>
        <v/>
      </c>
    </row>
    <row r="15">
      <c r="A15" s="11" t="inlineStr">
        <is>
          <t>lipanj</t>
        </is>
      </c>
      <c r="B15" s="7">
        <f>COUNTIFS(Raspored!$C$5:$C$5,$A15,Raspored!$D$5:$D$5,"x")</f>
        <v/>
      </c>
    </row>
    <row r="16">
      <c r="A16" s="11" t="inlineStr">
        <is>
          <t>srpanj</t>
        </is>
      </c>
      <c r="B16" s="7">
        <f>COUNTIFS(Raspored!$C$5:$C$5,$A16,Raspored!$D$5:$D$5,"x")</f>
        <v/>
      </c>
    </row>
    <row r="17">
      <c r="A17" s="11" t="inlineStr">
        <is>
          <t>kolovoz</t>
        </is>
      </c>
      <c r="B17" s="7">
        <f>COUNTIFS(Raspored!$C$5:$C$5,$A17,Raspored!$D$5:$D$5,"x")</f>
        <v/>
      </c>
    </row>
    <row r="18">
      <c r="A18" s="11" t="inlineStr">
        <is>
          <t>rujan</t>
        </is>
      </c>
      <c r="B18" s="7">
        <f>COUNTIFS(Raspored!$C$5:$C$5,$A18,Raspored!$D$5:$D$5,"x")</f>
        <v/>
      </c>
    </row>
    <row r="19">
      <c r="A19" s="11" t="inlineStr">
        <is>
          <t>listopad</t>
        </is>
      </c>
      <c r="B19" s="7">
        <f>COUNTIFS(Raspored!$C$5:$C$5,$A19,Raspored!$D$5:$D$5,"x")</f>
        <v/>
      </c>
    </row>
    <row r="20">
      <c r="A20" s="11" t="inlineStr">
        <is>
          <t>studeni</t>
        </is>
      </c>
      <c r="B20" s="7">
        <f>COUNTIFS(Raspored!$C$5:$C$5,$A20,Raspored!$D$5:$D$5,"x")</f>
        <v/>
      </c>
    </row>
    <row r="21">
      <c r="A21" s="11" t="inlineStr">
        <is>
          <t>prosinac</t>
        </is>
      </c>
      <c r="B21" s="7">
        <f>COUNTIFS(Raspored!$C$5:$C$5,$A21,Raspored!$D$5:$D$5,"x")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Kalendar davatelja za ove lokacije nema datuma za: miješani otpad, biootpad, papir i plastiku, staklo.</t>
        </is>
      </c>
    </row>
    <row r="26">
      <c r="A26" s="15" t="inlineStr">
        <is>
          <t>• Kalendar na komunalac-pozega.com.hr prikazuje odvoze od sutrašnjeg dana do kraja godine; raniji mjeseci u ovom rasporedu potječu iz ranijih preuzimanja (od 08.10.2026.).</t>
        </is>
      </c>
    </row>
    <row r="27">
      <c r="A27" s="15" t="inlineStr">
        <is>
          <t>• Pomaci zbog blagdana već su upisani u datume (odvoz se seli na subotu prije ili poslije blagdana).</t>
        </is>
      </c>
    </row>
    <row r="28">
      <c r="A28" s="15" t="inlineStr">
        <is>
          <t>• Papir i plastika odvoze se zajedno (plavo-žuti spremnik), jednom mjesečno.</t>
        </is>
      </c>
    </row>
    <row r="29">
      <c r="A29" s="15" t="inlineStr">
        <is>
          <t>• Glomazni otpad: datumi iz kalendara; izvan Grada Požege potrebu odvoza prijavite na (034) 440 997 najkasnije dan uoči odvoza do 13 sati.</t>
        </is>
      </c>
    </row>
    <row r="30">
      <c r="A30" s="1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3" customWidth="1" min="4" max="4"/>
    <col width="44" customWidth="1" min="5" max="5"/>
  </cols>
  <sheetData>
    <row r="1">
      <c r="A1" s="1" t="inlineStr">
        <is>
          <t>Raspored odvoza otpada 2026., Zona 60 (Čaglin)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Glomazni otpad</t>
        </is>
      </c>
      <c r="E4" s="4" t="inlineStr">
        <is>
          <t>Napomena</t>
        </is>
      </c>
    </row>
    <row r="5">
      <c r="A5" s="6" t="n">
        <v>46319</v>
      </c>
      <c r="B5" s="7" t="inlineStr">
        <is>
          <t>subota</t>
        </is>
      </c>
      <c r="C5" s="7" t="inlineStr">
        <is>
          <t>listopad</t>
        </is>
      </c>
      <c r="D5" s="7" t="inlineStr">
        <is>
          <t>x</t>
        </is>
      </c>
      <c r="E5" s="17" t="n"/>
    </row>
  </sheetData>
  <autoFilter ref="A4:E5"/>
  <conditionalFormatting sqref="D5">
    <cfRule type="expression" priority="1" dxfId="0">
      <formula>D5="x"</formula>
    </cfRule>
  </conditionalFormatting>
  <conditionalFormatting sqref="A5:E5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46319</v>
      </c>
      <c r="B2" s="11" t="inlineStr">
        <is>
          <t>subota</t>
        </is>
      </c>
      <c r="C2" s="5" t="inlineStr">
        <is>
          <t>Glomazni otpad</t>
        </is>
      </c>
      <c r="D2" s="11" t="n"/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60 (Čaglin): ulice i naselja</t>
        </is>
      </c>
    </row>
    <row r="4">
      <c r="A4" s="4" t="inlineStr">
        <is>
          <t>Ulica / naselje</t>
        </is>
      </c>
    </row>
    <row r="5">
      <c r="A5" s="11" t="inlineStr">
        <is>
          <t>Ivanovci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
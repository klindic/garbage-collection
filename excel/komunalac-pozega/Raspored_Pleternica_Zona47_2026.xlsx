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'Raspored'!$A$4:$I$24</definedName>
    <definedName name="_xlnm._FilterDatabase" localSheetId="2" hidden="1">'Po vrsti'!$A$1:$D$24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IFERROR(1/(1/_xlfn.MINIFS(Raspored!$A$5:$A$24,Raspored!$D$5:$D$24,"x",Raspored!$A$5:$A$24,"&gt;="&amp;$B$3)),"nema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COUNTIF(Raspored!$D$5:$D$24,"x")</f>
        <v/>
      </c>
    </row>
    <row r="7">
      <c r="A7" s="9" t="inlineStr">
        <is>
          <t>Plastika i metal</t>
        </is>
      </c>
      <c r="B7" s="6">
        <f>IFERROR(1/(1/_xlfn.MINIFS(Raspored!$A$5:$A$24,Raspored!$E$5:$E$24,"x",Raspored!$A$5:$A$24,"&gt;="&amp;$B$3)),"nema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COUNTIF(Raspored!$E$5:$E$24,"x")</f>
        <v/>
      </c>
    </row>
    <row r="8">
      <c r="A8" s="10" t="inlineStr">
        <is>
          <t>Papir i karton</t>
        </is>
      </c>
      <c r="B8" s="6">
        <f>IFERROR(1/(1/_xlfn.MINIFS(Raspored!$A$5:$A$24,Raspored!$F$5:$F$24,"x",Raspored!$A$5:$A$24,"&gt;="&amp;$B$3)),"nema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COUNTIF(Raspored!$F$5:$F$24,"x")</f>
        <v/>
      </c>
    </row>
    <row r="9">
      <c r="A9" s="11" t="inlineStr">
        <is>
          <t>Staklo</t>
        </is>
      </c>
      <c r="B9" s="6">
        <f>IFERROR(1/(1/_xlfn.MINIFS(Raspored!$A$5:$A$24,Raspored!$G$5:$G$24,"x",Raspored!$A$5:$A$24,"&gt;="&amp;$B$3)),"nema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COUNTIF(Raspored!$G$5:$G$24,"x")</f>
        <v/>
      </c>
    </row>
    <row r="10">
      <c r="A10" s="12" t="inlineStr">
        <is>
          <t>Glomazni otpad</t>
        </is>
      </c>
      <c r="B10" s="6">
        <f>IFERROR(1/(1/_xlfn.MINIFS(Raspored!$A$5:$A$24,Raspored!$H$5:$H$24,"x",Raspored!$A$5:$A$24,"&gt;="&amp;$B$3)),"nema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COUNTIFS(Raspored!$C$5:$C$24,$A14,Raspored!$D$5:$D$24,"x")</f>
        <v/>
      </c>
      <c r="C14" s="7">
        <f>COUNTIFS(Raspored!$C$5:$C$24,$A14,Raspored!$E$5:$E$24,"x")</f>
        <v/>
      </c>
      <c r="D14" s="7">
        <f>COUNTIFS(Raspored!$C$5:$C$24,$A14,Raspored!$F$5:$F$24,"x")</f>
        <v/>
      </c>
      <c r="E14" s="7">
        <f>COUNTIFS(Raspored!$C$5:$C$24,$A14,Raspored!$G$5:$G$24,"x")</f>
        <v/>
      </c>
      <c r="F14" s="7">
        <f>COUNTIFS(Raspored!$C$5:$C$24,$A14,Raspored!$H$5:$H$24,"x")</f>
        <v/>
      </c>
    </row>
    <row r="15">
      <c r="A15" s="19" t="inlineStr">
        <is>
          <t>veljača</t>
        </is>
      </c>
      <c r="B15" s="7">
        <f>COUNTIFS(Raspored!$C$5:$C$24,$A15,Raspored!$D$5:$D$24,"x")</f>
        <v/>
      </c>
      <c r="C15" s="7">
        <f>COUNTIFS(Raspored!$C$5:$C$24,$A15,Raspored!$E$5:$E$24,"x")</f>
        <v/>
      </c>
      <c r="D15" s="7">
        <f>COUNTIFS(Raspored!$C$5:$C$24,$A15,Raspored!$F$5:$F$24,"x")</f>
        <v/>
      </c>
      <c r="E15" s="7">
        <f>COUNTIFS(Raspored!$C$5:$C$24,$A15,Raspored!$G$5:$G$24,"x")</f>
        <v/>
      </c>
      <c r="F15" s="7">
        <f>COUNTIFS(Raspored!$C$5:$C$24,$A15,Raspored!$H$5:$H$24,"x")</f>
        <v/>
      </c>
    </row>
    <row r="16">
      <c r="A16" s="19" t="inlineStr">
        <is>
          <t>ožujak</t>
        </is>
      </c>
      <c r="B16" s="7">
        <f>COUNTIFS(Raspored!$C$5:$C$24,$A16,Raspored!$D$5:$D$24,"x")</f>
        <v/>
      </c>
      <c r="C16" s="7">
        <f>COUNTIFS(Raspored!$C$5:$C$24,$A16,Raspored!$E$5:$E$24,"x")</f>
        <v/>
      </c>
      <c r="D16" s="7">
        <f>COUNTIFS(Raspored!$C$5:$C$24,$A16,Raspored!$F$5:$F$24,"x")</f>
        <v/>
      </c>
      <c r="E16" s="7">
        <f>COUNTIFS(Raspored!$C$5:$C$24,$A16,Raspored!$G$5:$G$24,"x")</f>
        <v/>
      </c>
      <c r="F16" s="7">
        <f>COUNTIFS(Raspored!$C$5:$C$24,$A16,Raspored!$H$5:$H$24,"x")</f>
        <v/>
      </c>
    </row>
    <row r="17">
      <c r="A17" s="19" t="inlineStr">
        <is>
          <t>travanj</t>
        </is>
      </c>
      <c r="B17" s="7">
        <f>COUNTIFS(Raspored!$C$5:$C$24,$A17,Raspored!$D$5:$D$24,"x")</f>
        <v/>
      </c>
      <c r="C17" s="7">
        <f>COUNTIFS(Raspored!$C$5:$C$24,$A17,Raspored!$E$5:$E$24,"x")</f>
        <v/>
      </c>
      <c r="D17" s="7">
        <f>COUNTIFS(Raspored!$C$5:$C$24,$A17,Raspored!$F$5:$F$24,"x")</f>
        <v/>
      </c>
      <c r="E17" s="7">
        <f>COUNTIFS(Raspored!$C$5:$C$24,$A17,Raspored!$G$5:$G$24,"x")</f>
        <v/>
      </c>
      <c r="F17" s="7">
        <f>COUNTIFS(Raspored!$C$5:$C$24,$A17,Raspored!$H$5:$H$24,"x")</f>
        <v/>
      </c>
    </row>
    <row r="18">
      <c r="A18" s="19" t="inlineStr">
        <is>
          <t>svibanj</t>
        </is>
      </c>
      <c r="B18" s="7">
        <f>COUNTIFS(Raspored!$C$5:$C$24,$A18,Raspored!$D$5:$D$24,"x")</f>
        <v/>
      </c>
      <c r="C18" s="7">
        <f>COUNTIFS(Raspored!$C$5:$C$24,$A18,Raspored!$E$5:$E$24,"x")</f>
        <v/>
      </c>
      <c r="D18" s="7">
        <f>COUNTIFS(Raspored!$C$5:$C$24,$A18,Raspored!$F$5:$F$24,"x")</f>
        <v/>
      </c>
      <c r="E18" s="7">
        <f>COUNTIFS(Raspored!$C$5:$C$24,$A18,Raspored!$G$5:$G$24,"x")</f>
        <v/>
      </c>
      <c r="F18" s="7">
        <f>COUNTIFS(Raspored!$C$5:$C$24,$A18,Raspored!$H$5:$H$24,"x")</f>
        <v/>
      </c>
    </row>
    <row r="19">
      <c r="A19" s="19" t="inlineStr">
        <is>
          <t>lipanj</t>
        </is>
      </c>
      <c r="B19" s="7">
        <f>COUNTIFS(Raspored!$C$5:$C$24,$A19,Raspored!$D$5:$D$24,"x")</f>
        <v/>
      </c>
      <c r="C19" s="7">
        <f>COUNTIFS(Raspored!$C$5:$C$24,$A19,Raspored!$E$5:$E$24,"x")</f>
        <v/>
      </c>
      <c r="D19" s="7">
        <f>COUNTIFS(Raspored!$C$5:$C$24,$A19,Raspored!$F$5:$F$24,"x")</f>
        <v/>
      </c>
      <c r="E19" s="7">
        <f>COUNTIFS(Raspored!$C$5:$C$24,$A19,Raspored!$G$5:$G$24,"x")</f>
        <v/>
      </c>
      <c r="F19" s="7">
        <f>COUNTIFS(Raspored!$C$5:$C$24,$A19,Raspored!$H$5:$H$24,"x")</f>
        <v/>
      </c>
    </row>
    <row r="20">
      <c r="A20" s="19" t="inlineStr">
        <is>
          <t>srpanj</t>
        </is>
      </c>
      <c r="B20" s="7">
        <f>COUNTIFS(Raspored!$C$5:$C$24,$A20,Raspored!$D$5:$D$24,"x")</f>
        <v/>
      </c>
      <c r="C20" s="7">
        <f>COUNTIFS(Raspored!$C$5:$C$24,$A20,Raspored!$E$5:$E$24,"x")</f>
        <v/>
      </c>
      <c r="D20" s="7">
        <f>COUNTIFS(Raspored!$C$5:$C$24,$A20,Raspored!$F$5:$F$24,"x")</f>
        <v/>
      </c>
      <c r="E20" s="7">
        <f>COUNTIFS(Raspored!$C$5:$C$24,$A20,Raspored!$G$5:$G$24,"x")</f>
        <v/>
      </c>
      <c r="F20" s="7">
        <f>COUNTIFS(Raspored!$C$5:$C$24,$A20,Raspored!$H$5:$H$24,"x")</f>
        <v/>
      </c>
    </row>
    <row r="21">
      <c r="A21" s="19" t="inlineStr">
        <is>
          <t>kolovoz</t>
        </is>
      </c>
      <c r="B21" s="7">
        <f>COUNTIFS(Raspored!$C$5:$C$24,$A21,Raspored!$D$5:$D$24,"x")</f>
        <v/>
      </c>
      <c r="C21" s="7">
        <f>COUNTIFS(Raspored!$C$5:$C$24,$A21,Raspored!$E$5:$E$24,"x")</f>
        <v/>
      </c>
      <c r="D21" s="7">
        <f>COUNTIFS(Raspored!$C$5:$C$24,$A21,Raspored!$F$5:$F$24,"x")</f>
        <v/>
      </c>
      <c r="E21" s="7">
        <f>COUNTIFS(Raspored!$C$5:$C$24,$A21,Raspored!$G$5:$G$24,"x")</f>
        <v/>
      </c>
      <c r="F21" s="7">
        <f>COUNTIFS(Raspored!$C$5:$C$24,$A21,Raspored!$H$5:$H$24,"x")</f>
        <v/>
      </c>
    </row>
    <row r="22">
      <c r="A22" s="19" t="inlineStr">
        <is>
          <t>rujan</t>
        </is>
      </c>
      <c r="B22" s="7">
        <f>COUNTIFS(Raspored!$C$5:$C$24,$A22,Raspored!$D$5:$D$24,"x")</f>
        <v/>
      </c>
      <c r="C22" s="7">
        <f>COUNTIFS(Raspored!$C$5:$C$24,$A22,Raspored!$E$5:$E$24,"x")</f>
        <v/>
      </c>
      <c r="D22" s="7">
        <f>COUNTIFS(Raspored!$C$5:$C$24,$A22,Raspored!$F$5:$F$24,"x")</f>
        <v/>
      </c>
      <c r="E22" s="7">
        <f>COUNTIFS(Raspored!$C$5:$C$24,$A22,Raspored!$G$5:$G$24,"x")</f>
        <v/>
      </c>
      <c r="F22" s="7">
        <f>COUNTIFS(Raspored!$C$5:$C$24,$A22,Raspored!$H$5:$H$24,"x")</f>
        <v/>
      </c>
    </row>
    <row r="23">
      <c r="A23" s="19" t="inlineStr">
        <is>
          <t>listopad</t>
        </is>
      </c>
      <c r="B23" s="7">
        <f>COUNTIFS(Raspored!$C$5:$C$24,$A23,Raspored!$D$5:$D$24,"x")</f>
        <v/>
      </c>
      <c r="C23" s="7">
        <f>COUNTIFS(Raspored!$C$5:$C$24,$A23,Raspored!$E$5:$E$24,"x")</f>
        <v/>
      </c>
      <c r="D23" s="7">
        <f>COUNTIFS(Raspored!$C$5:$C$24,$A23,Raspored!$F$5:$F$24,"x")</f>
        <v/>
      </c>
      <c r="E23" s="7">
        <f>COUNTIFS(Raspored!$C$5:$C$24,$A23,Raspored!$G$5:$G$24,"x")</f>
        <v/>
      </c>
      <c r="F23" s="7">
        <f>COUNTIFS(Raspored!$C$5:$C$24,$A23,Raspored!$H$5:$H$24,"x")</f>
        <v/>
      </c>
    </row>
    <row r="24">
      <c r="A24" s="19" t="inlineStr">
        <is>
          <t>studeni</t>
        </is>
      </c>
      <c r="B24" s="7">
        <f>COUNTIFS(Raspored!$C$5:$C$24,$A24,Raspored!$D$5:$D$24,"x")</f>
        <v/>
      </c>
      <c r="C24" s="7">
        <f>COUNTIFS(Raspored!$C$5:$C$24,$A24,Raspored!$E$5:$E$24,"x")</f>
        <v/>
      </c>
      <c r="D24" s="7">
        <f>COUNTIFS(Raspored!$C$5:$C$24,$A24,Raspored!$F$5:$F$24,"x")</f>
        <v/>
      </c>
      <c r="E24" s="7">
        <f>COUNTIFS(Raspored!$C$5:$C$24,$A24,Raspored!$G$5:$G$24,"x")</f>
        <v/>
      </c>
      <c r="F24" s="7">
        <f>COUNTIFS(Raspored!$C$5:$C$24,$A24,Raspored!$H$5:$H$24,"x")</f>
        <v/>
      </c>
    </row>
    <row r="25">
      <c r="A25" s="19" t="inlineStr">
        <is>
          <t>prosinac</t>
        </is>
      </c>
      <c r="B25" s="7">
        <f>COUNTIFS(Raspored!$C$5:$C$24,$A25,Raspored!$D$5:$D$24,"x")</f>
        <v/>
      </c>
      <c r="C25" s="7">
        <f>COUNTIFS(Raspored!$C$5:$C$24,$A25,Raspored!$E$5:$E$24,"x")</f>
        <v/>
      </c>
      <c r="D25" s="7">
        <f>COUNTIFS(Raspored!$C$5:$C$24,$A25,Raspored!$F$5:$F$24,"x")</f>
        <v/>
      </c>
      <c r="E25" s="7">
        <f>COUNTIFS(Raspored!$C$5:$C$24,$A25,Raspored!$G$5:$G$24,"x")</f>
        <v/>
      </c>
      <c r="F25" s="7">
        <f>COUNTIFS(Raspored!$C$5:$C$24,$A25,Raspored!$H$5:$H$24,"x")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47 (Pleternica)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46322</v>
      </c>
      <c r="B10" s="7" t="inlineStr">
        <is>
          <t>utorak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46331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46350</v>
      </c>
      <c r="B16" s="7" t="inlineStr">
        <is>
          <t>utorak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46352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46359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46366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46373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46377</v>
      </c>
      <c r="B21" s="7" t="inlineStr">
        <is>
          <t>ponedjeljak</t>
        </is>
      </c>
      <c r="C21" s="7" t="inlineStr">
        <is>
          <t>prosinac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46378</v>
      </c>
      <c r="B22" s="7" t="inlineStr">
        <is>
          <t>utorak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  <row r="23">
      <c r="A23" s="6" t="n">
        <v>46380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46387</v>
      </c>
      <c r="B24" s="7" t="inlineStr">
        <is>
          <t>četvrtak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</sheetData>
  <autoFilter ref="A4:I24"/>
  <conditionalFormatting sqref="D5:D24">
    <cfRule type="expression" priority="1" dxfId="0">
      <formula>D5="x"</formula>
    </cfRule>
  </conditionalFormatting>
  <conditionalFormatting sqref="E5:E24">
    <cfRule type="expression" priority="2" dxfId="1">
      <formula>E5="x"</formula>
    </cfRule>
  </conditionalFormatting>
  <conditionalFormatting sqref="F5:F24">
    <cfRule type="expression" priority="3" dxfId="2">
      <formula>F5="x"</formula>
    </cfRule>
  </conditionalFormatting>
  <conditionalFormatting sqref="G5:G24">
    <cfRule type="expression" priority="4" dxfId="3">
      <formula>G5="x"</formula>
    </cfRule>
  </conditionalFormatting>
  <conditionalFormatting sqref="H5:H24">
    <cfRule type="expression" priority="5" dxfId="4">
      <formula>H5="x"</formula>
    </cfRule>
  </conditionalFormatting>
  <conditionalFormatting sqref="A5:I2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46310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46317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6" t="n">
        <v>46319</v>
      </c>
      <c r="B5" s="19" t="inlineStr">
        <is>
          <t>subota</t>
        </is>
      </c>
      <c r="C5" s="12" t="inlineStr">
        <is>
          <t>Glomazni otpad</t>
        </is>
      </c>
      <c r="D5" s="19" t="n"/>
    </row>
    <row r="6">
      <c r="A6" s="26" t="n">
        <v>46321</v>
      </c>
      <c r="B6" s="19" t="inlineStr">
        <is>
          <t>ponedjeljak</t>
        </is>
      </c>
      <c r="C6" s="11" t="inlineStr">
        <is>
          <t>Staklo</t>
        </is>
      </c>
      <c r="D6" s="19" t="n"/>
    </row>
    <row r="7">
      <c r="A7" s="26" t="n">
        <v>46322</v>
      </c>
      <c r="B7" s="19" t="inlineStr">
        <is>
          <t>utorak</t>
        </is>
      </c>
      <c r="C7" s="9" t="inlineStr">
        <is>
          <t>Plastika i metal</t>
        </is>
      </c>
      <c r="D7" s="19" t="n"/>
    </row>
    <row r="8">
      <c r="A8" s="26" t="n">
        <v>46322</v>
      </c>
      <c r="B8" s="19" t="inlineStr">
        <is>
          <t>utorak</t>
        </is>
      </c>
      <c r="C8" s="10" t="inlineStr">
        <is>
          <t>Papir i karton</t>
        </is>
      </c>
      <c r="D8" s="19" t="n"/>
    </row>
    <row r="9">
      <c r="A9" s="26" t="n">
        <v>46324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46338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46345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46349</v>
      </c>
      <c r="B13" s="19" t="inlineStr">
        <is>
          <t>ponedjeljak</t>
        </is>
      </c>
      <c r="C13" s="11" t="inlineStr">
        <is>
          <t>Staklo</t>
        </is>
      </c>
      <c r="D13" s="19" t="n"/>
    </row>
    <row r="14">
      <c r="A14" s="26" t="n">
        <v>46350</v>
      </c>
      <c r="B14" s="19" t="inlineStr">
        <is>
          <t>utorak</t>
        </is>
      </c>
      <c r="C14" s="9" t="inlineStr">
        <is>
          <t>Plastika i metal</t>
        </is>
      </c>
      <c r="D14" s="19" t="n"/>
    </row>
    <row r="15">
      <c r="A15" s="26" t="n">
        <v>46350</v>
      </c>
      <c r="B15" s="19" t="inlineStr">
        <is>
          <t>utorak</t>
        </is>
      </c>
      <c r="C15" s="10" t="inlineStr">
        <is>
          <t>Papir i karton</t>
        </is>
      </c>
      <c r="D15" s="19" t="n"/>
    </row>
    <row r="16">
      <c r="A16" s="26" t="n">
        <v>46352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46359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46366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46373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46377</v>
      </c>
      <c r="B20" s="19" t="inlineStr">
        <is>
          <t>ponedjeljak</t>
        </is>
      </c>
      <c r="C20" s="11" t="inlineStr">
        <is>
          <t>Staklo</t>
        </is>
      </c>
      <c r="D20" s="19" t="n"/>
    </row>
    <row r="21">
      <c r="A21" s="26" t="n">
        <v>46378</v>
      </c>
      <c r="B21" s="19" t="inlineStr">
        <is>
          <t>utorak</t>
        </is>
      </c>
      <c r="C21" s="9" t="inlineStr">
        <is>
          <t>Plastika i metal</t>
        </is>
      </c>
      <c r="D21" s="19" t="n"/>
    </row>
    <row r="22">
      <c r="A22" s="26" t="n">
        <v>46378</v>
      </c>
      <c r="B22" s="19" t="inlineStr">
        <is>
          <t>utorak</t>
        </is>
      </c>
      <c r="C22" s="10" t="inlineStr">
        <is>
          <t>Papir i karton</t>
        </is>
      </c>
      <c r="D22" s="19" t="n"/>
    </row>
    <row r="23">
      <c r="A23" s="26" t="n">
        <v>46380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46387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(Pleternica): ulice i naselja</t>
        </is>
      </c>
    </row>
    <row r="4">
      <c r="A4" s="4" t="inlineStr">
        <is>
          <t>Ulica / naselje</t>
        </is>
      </c>
    </row>
    <row r="5">
      <c r="A5" s="19" t="inlineStr">
        <is>
          <t>Buk</t>
        </is>
      </c>
    </row>
    <row r="6">
      <c r="A6" s="19" t="inlineStr">
        <is>
          <t>Kalinić</t>
        </is>
      </c>
    </row>
    <row r="7">
      <c r="A7" s="19" t="inlineStr">
        <is>
          <t>Resnik</t>
        </is>
      </c>
    </row>
    <row r="8">
      <c r="A8" s="19" t="inlineStr">
        <is>
          <t>Svilna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
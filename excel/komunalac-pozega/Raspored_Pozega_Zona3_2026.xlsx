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'Raspored'!$A$4:$I$28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Biootpad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Plastika i metal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Papir i karton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0">
      <c r="A10" s="12" t="inlineStr">
        <is>
          <t>Staklo</t>
        </is>
      </c>
      <c r="B10" s="6">
        <f>IFERROR(1/(1/_xlfn.MINIFS(Raspored!$A$5:$A$28,Raspored!$H$5:$H$28,"x",Raspored!$A$5:$A$28,"&gt;="&amp;$B$3)),"nema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  <c r="F14" s="7">
        <f>COUNTIFS(Raspored!$C$5:$C$28,$A14,Raspored!$H$5:$H$28,"x")</f>
        <v/>
      </c>
    </row>
    <row r="15">
      <c r="A15" s="19" t="inlineStr">
        <is>
          <t>veljača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  <c r="F15" s="7">
        <f>COUNTIFS(Raspored!$C$5:$C$28,$A15,Raspored!$H$5:$H$28,"x")</f>
        <v/>
      </c>
    </row>
    <row r="16">
      <c r="A16" s="19" t="inlineStr">
        <is>
          <t>ožujak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  <c r="F16" s="7">
        <f>COUNTIFS(Raspored!$C$5:$C$28,$A16,Raspored!$H$5:$H$28,"x")</f>
        <v/>
      </c>
    </row>
    <row r="17">
      <c r="A17" s="19" t="inlineStr">
        <is>
          <t>travanj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  <c r="F17" s="7">
        <f>COUNTIFS(Raspored!$C$5:$C$28,$A17,Raspored!$H$5:$H$28,"x")</f>
        <v/>
      </c>
    </row>
    <row r="18">
      <c r="A18" s="19" t="inlineStr">
        <is>
          <t>svibanj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  <c r="F18" s="7">
        <f>COUNTIFS(Raspored!$C$5:$C$28,$A18,Raspored!$H$5:$H$28,"x")</f>
        <v/>
      </c>
    </row>
    <row r="19">
      <c r="A19" s="19" t="inlineStr">
        <is>
          <t>lipanj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  <c r="F19" s="7">
        <f>COUNTIFS(Raspored!$C$5:$C$28,$A19,Raspored!$H$5:$H$28,"x")</f>
        <v/>
      </c>
    </row>
    <row r="20">
      <c r="A20" s="19" t="inlineStr">
        <is>
          <t>srpanj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  <c r="F20" s="7">
        <f>COUNTIFS(Raspored!$C$5:$C$28,$A20,Raspored!$H$5:$H$28,"x")</f>
        <v/>
      </c>
    </row>
    <row r="21">
      <c r="A21" s="19" t="inlineStr">
        <is>
          <t>kolovoz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  <c r="F21" s="7">
        <f>COUNTIFS(Raspored!$C$5:$C$28,$A21,Raspored!$H$5:$H$28,"x")</f>
        <v/>
      </c>
    </row>
    <row r="22">
      <c r="A22" s="19" t="inlineStr">
        <is>
          <t>rujan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  <c r="F22" s="7">
        <f>COUNTIFS(Raspored!$C$5:$C$28,$A22,Raspored!$H$5:$H$28,"x")</f>
        <v/>
      </c>
    </row>
    <row r="23">
      <c r="A23" s="19" t="inlineStr">
        <is>
          <t>listopad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  <c r="F23" s="7">
        <f>COUNTIFS(Raspored!$C$5:$C$28,$A23,Raspored!$H$5:$H$28,"x")</f>
        <v/>
      </c>
    </row>
    <row r="24">
      <c r="A24" s="19" t="inlineStr">
        <is>
          <t>studeni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  <c r="F24" s="7">
        <f>COUNTIFS(Raspored!$C$5:$C$28,$A24,Raspored!$H$5:$H$28,"x")</f>
        <v/>
      </c>
    </row>
    <row r="25">
      <c r="A25" s="19" t="inlineStr">
        <is>
          <t>prosinac</t>
        </is>
      </c>
      <c r="B25" s="7">
        <f>COUNTIFS(Raspored!$C$5:$C$28,$A25,Raspored!$D$5:$D$28,"x")</f>
        <v/>
      </c>
      <c r="C25" s="7">
        <f>COUNTIFS(Raspored!$C$5:$C$28,$A25,Raspored!$E$5:$E$28,"x")</f>
        <v/>
      </c>
      <c r="D25" s="7">
        <f>COUNTIFS(Raspored!$C$5:$C$28,$A25,Raspored!$F$5:$F$28,"x")</f>
        <v/>
      </c>
      <c r="E25" s="7">
        <f>COUNTIFS(Raspored!$C$5:$C$28,$A25,Raspored!$G$5:$G$28,"x")</f>
        <v/>
      </c>
      <c r="F25" s="7">
        <f>COUNTIFS(Raspored!$C$5:$C$28,$A25,Raspored!$H$5:$H$28,"x")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46318</v>
      </c>
      <c r="B9" s="7" t="inlineStr">
        <is>
          <t>petak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inlineStr">
        <is>
          <t>x</t>
        </is>
      </c>
      <c r="I9" s="25" t="n"/>
    </row>
    <row r="10">
      <c r="A10" s="6" t="n">
        <v>46321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25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46332</v>
      </c>
      <c r="B13" s="7" t="inlineStr">
        <is>
          <t>petak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46339</v>
      </c>
      <c r="B15" s="7" t="inlineStr">
        <is>
          <t>petak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46342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46346</v>
      </c>
      <c r="B17" s="7" t="inlineStr">
        <is>
          <t>petak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inlineStr">
        <is>
          <t>x</t>
        </is>
      </c>
      <c r="I17" s="25" t="n"/>
    </row>
    <row r="18">
      <c r="A18" s="6" t="n">
        <v>46349</v>
      </c>
      <c r="B18" s="7" t="inlineStr">
        <is>
          <t>ponedjeljak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46353</v>
      </c>
      <c r="B19" s="7" t="inlineStr">
        <is>
          <t>petak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25" t="n"/>
    </row>
    <row r="20">
      <c r="A20" s="6" t="n">
        <v>46356</v>
      </c>
      <c r="B20" s="7" t="inlineStr">
        <is>
          <t>ponedjeljak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46360</v>
      </c>
      <c r="B21" s="7" t="inlineStr">
        <is>
          <t>petak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46363</v>
      </c>
      <c r="B22" s="7" t="inlineStr">
        <is>
          <t>ponedjeljak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46367</v>
      </c>
      <c r="B23" s="7" t="inlineStr">
        <is>
          <t>petak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46370</v>
      </c>
      <c r="B24" s="7" t="inlineStr">
        <is>
          <t>ponedjeljak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46374</v>
      </c>
      <c r="B25" s="7" t="inlineStr">
        <is>
          <t>petak</t>
        </is>
      </c>
      <c r="C25" s="7" t="inlineStr">
        <is>
          <t>prosinac</t>
        </is>
      </c>
      <c r="D25" s="7" t="n"/>
      <c r="E25" s="7" t="inlineStr">
        <is>
          <t>x</t>
        </is>
      </c>
      <c r="F25" s="7" t="n"/>
      <c r="G25" s="7" t="n"/>
      <c r="H25" s="7" t="inlineStr">
        <is>
          <t>x</t>
        </is>
      </c>
      <c r="I25" s="25" t="n"/>
    </row>
    <row r="26">
      <c r="A26" s="6" t="n">
        <v>46377</v>
      </c>
      <c r="B26" s="7" t="inlineStr">
        <is>
          <t>ponedjeljak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46384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46387</v>
      </c>
      <c r="B28" s="7" t="inlineStr">
        <is>
          <t>četvrtak</t>
        </is>
      </c>
      <c r="C28" s="7" t="inlineStr">
        <is>
          <t>prosinac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25" t="n"/>
    </row>
  </sheetData>
  <autoFilter ref="A4:I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H5:H28">
    <cfRule type="expression" priority="5" dxfId="4">
      <formula>H5="x"</formula>
    </cfRule>
  </conditionalFormatting>
  <conditionalFormatting sqref="A5:I2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9" t="inlineStr">
        <is>
          <t>Biootpad</t>
        </is>
      </c>
      <c r="D2" s="19" t="n"/>
    </row>
    <row r="3">
      <c r="A3" s="26" t="n">
        <v>46307</v>
      </c>
      <c r="B3" s="19" t="inlineStr">
        <is>
          <t>ponedjeljak</t>
        </is>
      </c>
      <c r="C3" s="5" t="inlineStr">
        <is>
          <t>Miješani komunalni otpad</t>
        </is>
      </c>
      <c r="D3" s="19" t="n"/>
    </row>
    <row r="4">
      <c r="A4" s="26" t="n">
        <v>46311</v>
      </c>
      <c r="B4" s="19" t="inlineStr">
        <is>
          <t>petak</t>
        </is>
      </c>
      <c r="C4" s="9" t="inlineStr">
        <is>
          <t>Biootpad</t>
        </is>
      </c>
      <c r="D4" s="19" t="n"/>
    </row>
    <row r="5">
      <c r="A5" s="26" t="n">
        <v>46314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46318</v>
      </c>
      <c r="B6" s="19" t="inlineStr">
        <is>
          <t>petak</t>
        </is>
      </c>
      <c r="C6" s="9" t="inlineStr">
        <is>
          <t>Biootpad</t>
        </is>
      </c>
      <c r="D6" s="19" t="n"/>
    </row>
    <row r="7">
      <c r="A7" s="26" t="n">
        <v>46318</v>
      </c>
      <c r="B7" s="19" t="inlineStr">
        <is>
          <t>petak</t>
        </is>
      </c>
      <c r="C7" s="12" t="inlineStr">
        <is>
          <t>Staklo</t>
        </is>
      </c>
      <c r="D7" s="19" t="n"/>
    </row>
    <row r="8">
      <c r="A8" s="26" t="n">
        <v>46321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46325</v>
      </c>
      <c r="B9" s="19" t="inlineStr">
        <is>
          <t>petak</t>
        </is>
      </c>
      <c r="C9" s="9" t="inlineStr">
        <is>
          <t>Biootpad</t>
        </is>
      </c>
      <c r="D9" s="19" t="n"/>
    </row>
    <row r="10">
      <c r="A10" s="26" t="n">
        <v>46325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46325</v>
      </c>
      <c r="B11" s="19" t="inlineStr">
        <is>
          <t>petak</t>
        </is>
      </c>
      <c r="C11" s="11" t="inlineStr">
        <is>
          <t>Papir i karton</t>
        </is>
      </c>
      <c r="D11" s="19" t="n"/>
    </row>
    <row r="12">
      <c r="A12" s="26" t="n">
        <v>46328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6" t="n">
        <v>46332</v>
      </c>
      <c r="B13" s="19" t="inlineStr">
        <is>
          <t>petak</t>
        </is>
      </c>
      <c r="C13" s="9" t="inlineStr">
        <is>
          <t>Biootpad</t>
        </is>
      </c>
      <c r="D13" s="19" t="n"/>
    </row>
    <row r="14">
      <c r="A14" s="26" t="n">
        <v>46335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46339</v>
      </c>
      <c r="B15" s="19" t="inlineStr">
        <is>
          <t>petak</t>
        </is>
      </c>
      <c r="C15" s="9" t="inlineStr">
        <is>
          <t>Biootpad</t>
        </is>
      </c>
      <c r="D15" s="19" t="n"/>
    </row>
    <row r="16">
      <c r="A16" s="26" t="n">
        <v>46342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46346</v>
      </c>
      <c r="B17" s="19" t="inlineStr">
        <is>
          <t>petak</t>
        </is>
      </c>
      <c r="C17" s="9" t="inlineStr">
        <is>
          <t>Biootpad</t>
        </is>
      </c>
      <c r="D17" s="19" t="n"/>
    </row>
    <row r="18">
      <c r="A18" s="26" t="n">
        <v>46346</v>
      </c>
      <c r="B18" s="19" t="inlineStr">
        <is>
          <t>petak</t>
        </is>
      </c>
      <c r="C18" s="12" t="inlineStr">
        <is>
          <t>Staklo</t>
        </is>
      </c>
      <c r="D18" s="19" t="n"/>
    </row>
    <row r="19">
      <c r="A19" s="26" t="n">
        <v>46349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46353</v>
      </c>
      <c r="B20" s="19" t="inlineStr">
        <is>
          <t>petak</t>
        </is>
      </c>
      <c r="C20" s="9" t="inlineStr">
        <is>
          <t>Biootpad</t>
        </is>
      </c>
      <c r="D20" s="19" t="n"/>
    </row>
    <row r="21">
      <c r="A21" s="26" t="n">
        <v>46353</v>
      </c>
      <c r="B21" s="19" t="inlineStr">
        <is>
          <t>petak</t>
        </is>
      </c>
      <c r="C21" s="10" t="inlineStr">
        <is>
          <t>Plastika i metal</t>
        </is>
      </c>
      <c r="D21" s="19" t="n"/>
    </row>
    <row r="22">
      <c r="A22" s="26" t="n">
        <v>46353</v>
      </c>
      <c r="B22" s="19" t="inlineStr">
        <is>
          <t>petak</t>
        </is>
      </c>
      <c r="C22" s="11" t="inlineStr">
        <is>
          <t>Papir i karton</t>
        </is>
      </c>
      <c r="D22" s="19" t="n"/>
    </row>
    <row r="23">
      <c r="A23" s="26" t="n">
        <v>46356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46360</v>
      </c>
      <c r="B24" s="19" t="inlineStr">
        <is>
          <t>petak</t>
        </is>
      </c>
      <c r="C24" s="9" t="inlineStr">
        <is>
          <t>Biootpad</t>
        </is>
      </c>
      <c r="D24" s="19" t="n"/>
    </row>
    <row r="25">
      <c r="A25" s="26" t="n">
        <v>46363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46367</v>
      </c>
      <c r="B26" s="19" t="inlineStr">
        <is>
          <t>petak</t>
        </is>
      </c>
      <c r="C26" s="9" t="inlineStr">
        <is>
          <t>Biootpad</t>
        </is>
      </c>
      <c r="D26" s="19" t="n"/>
    </row>
    <row r="27">
      <c r="A27" s="26" t="n">
        <v>46370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46374</v>
      </c>
      <c r="B28" s="19" t="inlineStr">
        <is>
          <t>petak</t>
        </is>
      </c>
      <c r="C28" s="9" t="inlineStr">
        <is>
          <t>Biootpad</t>
        </is>
      </c>
      <c r="D28" s="19" t="n"/>
    </row>
    <row r="29">
      <c r="A29" s="26" t="n">
        <v>46374</v>
      </c>
      <c r="B29" s="19" t="inlineStr">
        <is>
          <t>petak</t>
        </is>
      </c>
      <c r="C29" s="12" t="inlineStr">
        <is>
          <t>Staklo</t>
        </is>
      </c>
      <c r="D29" s="19" t="n"/>
    </row>
    <row r="30">
      <c r="A30" s="26" t="n">
        <v>46377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46384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6" t="n">
        <v>46387</v>
      </c>
      <c r="B32" s="19" t="inlineStr">
        <is>
          <t>četvrtak</t>
        </is>
      </c>
      <c r="C32" s="10" t="inlineStr">
        <is>
          <t>Plastika i metal</t>
        </is>
      </c>
      <c r="D32" s="19" t="n"/>
    </row>
    <row r="33">
      <c r="A33" s="26" t="n">
        <v>46387</v>
      </c>
      <c r="B33" s="19" t="inlineStr">
        <is>
          <t>četvrtak</t>
        </is>
      </c>
      <c r="C33" s="11" t="inlineStr">
        <is>
          <t>Papir i karton</t>
        </is>
      </c>
      <c r="D33" s="19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Ante Starčevića (Požega)</t>
        </is>
      </c>
    </row>
    <row r="6">
      <c r="A6" s="19" t="inlineStr">
        <is>
          <t>Dr. Ivana Pernara (Požega)</t>
        </is>
      </c>
    </row>
    <row r="7">
      <c r="A7" s="19" t="inlineStr">
        <is>
          <t>Eugena Podubskog (Požega)</t>
        </is>
      </c>
    </row>
    <row r="8">
      <c r="A8" s="19" t="inlineStr">
        <is>
          <t>Fra Grge Martića (Požega)</t>
        </is>
      </c>
    </row>
    <row r="9">
      <c r="A9" s="19" t="inlineStr">
        <is>
          <t>Fra Grgura Čevapovića (Požega)</t>
        </is>
      </c>
    </row>
    <row r="10">
      <c r="A10" s="19" t="inlineStr">
        <is>
          <t>Fra Kaje Adžića (Požega)</t>
        </is>
      </c>
    </row>
    <row r="11">
      <c r="A11" s="19" t="inlineStr">
        <is>
          <t>Hermine Tomić (Požega)</t>
        </is>
      </c>
    </row>
    <row r="12">
      <c r="A12" s="19" t="inlineStr">
        <is>
          <t>Ive Čakalića (Požega)</t>
        </is>
      </c>
    </row>
    <row r="13">
      <c r="A13" s="19" t="inlineStr">
        <is>
          <t>Josipa Andrića (Požega)</t>
        </is>
      </c>
    </row>
    <row r="14">
      <c r="A14" s="19" t="inlineStr">
        <is>
          <t>Josipa Paviševića (Požega)</t>
        </is>
      </c>
    </row>
    <row r="15">
      <c r="A15" s="19" t="inlineStr">
        <is>
          <t>Martićeva (Požega)</t>
        </is>
      </c>
    </row>
    <row r="16">
      <c r="A16" s="19" t="inlineStr">
        <is>
          <t>Milke Trnine (Požega)</t>
        </is>
      </c>
    </row>
    <row r="17">
      <c r="A17" s="19" t="inlineStr">
        <is>
          <t>Pavla Radića (Požega)</t>
        </is>
      </c>
    </row>
    <row r="18">
      <c r="A18" s="19" t="inlineStr">
        <is>
          <t>Rudinska (Požega)</t>
        </is>
      </c>
    </row>
    <row r="19">
      <c r="A19" s="19" t="inlineStr">
        <is>
          <t>Starčevićeva (Požega)</t>
        </is>
      </c>
    </row>
    <row r="20">
      <c r="A20" s="19" t="inlineStr">
        <is>
          <t>Sv. Leopolda Mandića (Požega)</t>
        </is>
      </c>
    </row>
    <row r="21">
      <c r="A21" s="19" t="inlineStr">
        <is>
          <t>Svetog Leopolda Mandića (Požega)</t>
        </is>
      </c>
    </row>
    <row r="22">
      <c r="A22" s="19" t="inlineStr">
        <is>
          <t>Vilima Justa (Požega)</t>
        </is>
      </c>
    </row>
    <row r="23">
      <c r="A23" s="19" t="inlineStr">
        <is>
          <t>Vilme Nožinić (Požega)</t>
        </is>
      </c>
    </row>
    <row r="24">
      <c r="A24" s="19" t="inlineStr">
        <is>
          <t>Zelena (Požega)</t>
        </is>
      </c>
    </row>
    <row r="25">
      <c r="A25" s="19" t="inlineStr">
        <is>
          <t>Zinke Kunc (Požega)</t>
        </is>
      </c>
    </row>
    <row r="26">
      <c r="A26" s="19" t="inlineStr">
        <is>
          <t>Zrinska - kućni brojevi 1-53 i 2-30 (Požega)</t>
        </is>
      </c>
    </row>
    <row r="27">
      <c r="A27" s="19" t="inlineStr">
        <is>
          <t>Đure Basaričeka - osim kućnih brojeva 8, 10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2026-10-08T05:52:22Z</dcterms:created>
  <dcterms:modified xmlns:dcterms="http://purl.org/dc/terms/" xmlns:xsi="http://www.w3.org/2001/XMLSchema-instance" xsi:type="dcterms:W3CDTF">2026-10-08T05:52:22Z</dcterms:modified>
</cp:coreProperties>
</file>
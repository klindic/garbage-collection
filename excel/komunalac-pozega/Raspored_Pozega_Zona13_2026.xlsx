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'Raspored'!$A$4:$I$31</definedName>
    <definedName name="_xlnm._FilterDatabase" localSheetId="2" hidden="1">'Po vrsti'!$A$1:$D$32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Biootpad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Plastika i metal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Papir i karton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0">
      <c r="A10" s="12" t="inlineStr">
        <is>
          <t>Staklo</t>
        </is>
      </c>
      <c r="B10" s="6">
        <f>IFERROR(1/(1/_xlfn.MINIFS(Raspored!$A$5:$A$31,Raspored!$H$5:$H$31,"x",Raspored!$A$5:$A$31,"&gt;="&amp;$B$3)),"nema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  <c r="F14" s="7">
        <f>COUNTIFS(Raspored!$C$5:$C$31,$A14,Raspored!$H$5:$H$31,"x")</f>
        <v/>
      </c>
    </row>
    <row r="15">
      <c r="A15" s="19" t="inlineStr">
        <is>
          <t>veljača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  <c r="F15" s="7">
        <f>COUNTIFS(Raspored!$C$5:$C$31,$A15,Raspored!$H$5:$H$31,"x")</f>
        <v/>
      </c>
    </row>
    <row r="16">
      <c r="A16" s="19" t="inlineStr">
        <is>
          <t>ožujak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  <c r="F16" s="7">
        <f>COUNTIFS(Raspored!$C$5:$C$31,$A16,Raspored!$H$5:$H$31,"x")</f>
        <v/>
      </c>
    </row>
    <row r="17">
      <c r="A17" s="19" t="inlineStr">
        <is>
          <t>travanj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  <c r="F17" s="7">
        <f>COUNTIFS(Raspored!$C$5:$C$31,$A17,Raspored!$H$5:$H$31,"x")</f>
        <v/>
      </c>
    </row>
    <row r="18">
      <c r="A18" s="19" t="inlineStr">
        <is>
          <t>svibanj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  <c r="F18" s="7">
        <f>COUNTIFS(Raspored!$C$5:$C$31,$A18,Raspored!$H$5:$H$31,"x")</f>
        <v/>
      </c>
    </row>
    <row r="19">
      <c r="A19" s="19" t="inlineStr">
        <is>
          <t>lipanj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  <c r="F19" s="7">
        <f>COUNTIFS(Raspored!$C$5:$C$31,$A19,Raspored!$H$5:$H$31,"x")</f>
        <v/>
      </c>
    </row>
    <row r="20">
      <c r="A20" s="19" t="inlineStr">
        <is>
          <t>srpanj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  <c r="F20" s="7">
        <f>COUNTIFS(Raspored!$C$5:$C$31,$A20,Raspored!$H$5:$H$31,"x")</f>
        <v/>
      </c>
    </row>
    <row r="21">
      <c r="A21" s="19" t="inlineStr">
        <is>
          <t>kolovoz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  <c r="F21" s="7">
        <f>COUNTIFS(Raspored!$C$5:$C$31,$A21,Raspored!$H$5:$H$31,"x")</f>
        <v/>
      </c>
    </row>
    <row r="22">
      <c r="A22" s="19" t="inlineStr">
        <is>
          <t>rujan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  <c r="F22" s="7">
        <f>COUNTIFS(Raspored!$C$5:$C$31,$A22,Raspored!$H$5:$H$31,"x")</f>
        <v/>
      </c>
    </row>
    <row r="23">
      <c r="A23" s="19" t="inlineStr">
        <is>
          <t>listopad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  <c r="F23" s="7">
        <f>COUNTIFS(Raspored!$C$5:$C$31,$A23,Raspored!$H$5:$H$31,"x")</f>
        <v/>
      </c>
    </row>
    <row r="24">
      <c r="A24" s="19" t="inlineStr">
        <is>
          <t>studeni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  <c r="F24" s="7">
        <f>COUNTIFS(Raspored!$C$5:$C$31,$A24,Raspored!$H$5:$H$31,"x")</f>
        <v/>
      </c>
    </row>
    <row r="25">
      <c r="A25" s="19" t="inlineStr">
        <is>
          <t>prosinac</t>
        </is>
      </c>
      <c r="B25" s="7">
        <f>COUNTIFS(Raspored!$C$5:$C$31,$A25,Raspored!$D$5:$D$31,"x")</f>
        <v/>
      </c>
      <c r="C25" s="7">
        <f>COUNTIFS(Raspored!$C$5:$C$31,$A25,Raspored!$E$5:$E$31,"x")</f>
        <v/>
      </c>
      <c r="D25" s="7">
        <f>COUNTIFS(Raspored!$C$5:$C$31,$A25,Raspored!$F$5:$F$31,"x")</f>
        <v/>
      </c>
      <c r="E25" s="7">
        <f>COUNTIFS(Raspored!$C$5:$C$31,$A25,Raspored!$G$5:$G$31,"x")</f>
        <v/>
      </c>
      <c r="F25" s="7">
        <f>COUNTIFS(Raspored!$C$5:$C$31,$A25,Raspored!$H$5:$H$31,"x")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13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46316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46323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n"/>
      <c r="E12" s="7" t="n"/>
      <c r="F12" s="7" t="n"/>
      <c r="G12" s="7" t="n"/>
      <c r="H12" s="7" t="inlineStr">
        <is>
          <t>x</t>
        </is>
      </c>
      <c r="I12" s="25" t="n"/>
    </row>
    <row r="13">
      <c r="A13" s="6" t="n">
        <v>46330</v>
      </c>
      <c r="B13" s="7" t="inlineStr">
        <is>
          <t>srijeda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46331</v>
      </c>
      <c r="B14" s="7" t="inlineStr">
        <is>
          <t>četvrtak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25" t="n"/>
    </row>
    <row r="15">
      <c r="A15" s="6" t="n">
        <v>46337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46338</v>
      </c>
      <c r="B16" s="7" t="inlineStr">
        <is>
          <t>četvrtak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46345</v>
      </c>
      <c r="B17" s="7" t="inlineStr">
        <is>
          <t>četvrtak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26" t="n">
        <v>46347</v>
      </c>
      <c r="B18" s="27" t="inlineStr">
        <is>
          <t>subota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7" t="n"/>
      <c r="I18" s="25" t="inlineStr">
        <is>
          <t>Pomaknuto zbog neradnog dana u tjednu</t>
        </is>
      </c>
    </row>
    <row r="19">
      <c r="A19" s="6" t="n">
        <v>46351</v>
      </c>
      <c r="B19" s="7" t="inlineStr">
        <is>
          <t>srijeda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46352</v>
      </c>
      <c r="B20" s="7" t="inlineStr">
        <is>
          <t>četvrtak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46356</v>
      </c>
      <c r="B21" s="7" t="inlineStr">
        <is>
          <t>ponedjeljak</t>
        </is>
      </c>
      <c r="C21" s="7" t="inlineStr">
        <is>
          <t>studeni</t>
        </is>
      </c>
      <c r="D21" s="7" t="n"/>
      <c r="E21" s="7" t="n"/>
      <c r="F21" s="7" t="n"/>
      <c r="G21" s="7" t="n"/>
      <c r="H21" s="7" t="inlineStr">
        <is>
          <t>x</t>
        </is>
      </c>
      <c r="I21" s="25" t="n"/>
    </row>
    <row r="22">
      <c r="A22" s="6" t="n">
        <v>46358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46359</v>
      </c>
      <c r="B23" s="7" t="inlineStr">
        <is>
          <t>četvrtak</t>
        </is>
      </c>
      <c r="C23" s="7" t="inlineStr">
        <is>
          <t>prosinac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25" t="n"/>
    </row>
    <row r="24">
      <c r="A24" s="6" t="n">
        <v>46365</v>
      </c>
      <c r="B24" s="7" t="inlineStr">
        <is>
          <t>srijeda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46366</v>
      </c>
      <c r="B25" s="7" t="inlineStr">
        <is>
          <t>četvrtak</t>
        </is>
      </c>
      <c r="C25" s="7" t="inlineStr">
        <is>
          <t>prosinac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46372</v>
      </c>
      <c r="B26" s="7" t="inlineStr">
        <is>
          <t>srijeda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46373</v>
      </c>
      <c r="B27" s="7" t="inlineStr">
        <is>
          <t>četvrtak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46379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46380</v>
      </c>
      <c r="B29" s="7" t="inlineStr">
        <is>
          <t>četvrtak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46386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46387</v>
      </c>
      <c r="B31" s="7" t="inlineStr">
        <is>
          <t>četvrtak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</sheetData>
  <autoFilter ref="A4:I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H5:H31">
    <cfRule type="expression" priority="5" dxfId="4">
      <formula>H5="x"</formula>
    </cfRule>
  </conditionalFormatting>
  <conditionalFormatting sqref="A5:I3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46303</v>
      </c>
      <c r="B2" s="19" t="inlineStr">
        <is>
          <t>četvrtak</t>
        </is>
      </c>
      <c r="C2" s="9" t="inlineStr">
        <is>
          <t>Biootpad</t>
        </is>
      </c>
      <c r="D2" s="19" t="n"/>
    </row>
    <row r="3">
      <c r="A3" s="28" t="n">
        <v>46309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46310</v>
      </c>
      <c r="B4" s="19" t="inlineStr">
        <is>
          <t>četvrtak</t>
        </is>
      </c>
      <c r="C4" s="9" t="inlineStr">
        <is>
          <t>Biootpad</t>
        </is>
      </c>
      <c r="D4" s="19" t="n"/>
    </row>
    <row r="5">
      <c r="A5" s="28" t="n">
        <v>46316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46317</v>
      </c>
      <c r="B6" s="19" t="inlineStr">
        <is>
          <t>četvrtak</t>
        </is>
      </c>
      <c r="C6" s="9" t="inlineStr">
        <is>
          <t>Biootpad</t>
        </is>
      </c>
      <c r="D6" s="19" t="n"/>
    </row>
    <row r="7">
      <c r="A7" s="28" t="n">
        <v>46323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46324</v>
      </c>
      <c r="B8" s="19" t="inlineStr">
        <is>
          <t>četvrtak</t>
        </is>
      </c>
      <c r="C8" s="9" t="inlineStr">
        <is>
          <t>Biootpad</t>
        </is>
      </c>
      <c r="D8" s="19" t="n"/>
    </row>
    <row r="9">
      <c r="A9" s="28" t="n">
        <v>46328</v>
      </c>
      <c r="B9" s="19" t="inlineStr">
        <is>
          <t>ponedjeljak</t>
        </is>
      </c>
      <c r="C9" s="12" t="inlineStr">
        <is>
          <t>Staklo</t>
        </is>
      </c>
      <c r="D9" s="19" t="n"/>
    </row>
    <row r="10">
      <c r="A10" s="28" t="n">
        <v>46330</v>
      </c>
      <c r="B10" s="19" t="inlineStr">
        <is>
          <t>srijeda</t>
        </is>
      </c>
      <c r="C10" s="5" t="inlineStr">
        <is>
          <t>Miješani komunalni otpad</t>
        </is>
      </c>
      <c r="D10" s="19" t="n"/>
    </row>
    <row r="11">
      <c r="A11" s="28" t="n">
        <v>46331</v>
      </c>
      <c r="B11" s="19" t="inlineStr">
        <is>
          <t>četvrtak</t>
        </is>
      </c>
      <c r="C11" s="9" t="inlineStr">
        <is>
          <t>Biootpad</t>
        </is>
      </c>
      <c r="D11" s="19" t="n"/>
    </row>
    <row r="12">
      <c r="A12" s="28" t="n">
        <v>46331</v>
      </c>
      <c r="B12" s="19" t="inlineStr">
        <is>
          <t>četvrtak</t>
        </is>
      </c>
      <c r="C12" s="10" t="inlineStr">
        <is>
          <t>Plastika i metal</t>
        </is>
      </c>
      <c r="D12" s="19" t="n"/>
    </row>
    <row r="13">
      <c r="A13" s="28" t="n">
        <v>46331</v>
      </c>
      <c r="B13" s="19" t="inlineStr">
        <is>
          <t>četvrtak</t>
        </is>
      </c>
      <c r="C13" s="11" t="inlineStr">
        <is>
          <t>Papir i karton</t>
        </is>
      </c>
      <c r="D13" s="19" t="n"/>
    </row>
    <row r="14">
      <c r="A14" s="28" t="n">
        <v>46337</v>
      </c>
      <c r="B14" s="19" t="inlineStr">
        <is>
          <t>srijeda</t>
        </is>
      </c>
      <c r="C14" s="5" t="inlineStr">
        <is>
          <t>Miješani komunalni otpad</t>
        </is>
      </c>
      <c r="D14" s="19" t="n"/>
    </row>
    <row r="15">
      <c r="A15" s="28" t="n">
        <v>46338</v>
      </c>
      <c r="B15" s="19" t="inlineStr">
        <is>
          <t>četvrtak</t>
        </is>
      </c>
      <c r="C15" s="9" t="inlineStr">
        <is>
          <t>Biootpad</t>
        </is>
      </c>
      <c r="D15" s="19" t="n"/>
    </row>
    <row r="16">
      <c r="A16" s="28" t="n">
        <v>46345</v>
      </c>
      <c r="B16" s="19" t="inlineStr">
        <is>
          <t>četvrtak</t>
        </is>
      </c>
      <c r="C16" s="9" t="inlineStr">
        <is>
          <t>Biootpad</t>
        </is>
      </c>
      <c r="D16" s="19" t="n"/>
    </row>
    <row r="17">
      <c r="A17" s="28" t="n">
        <v>46347</v>
      </c>
      <c r="B17" s="19" t="inlineStr">
        <is>
          <t>subota</t>
        </is>
      </c>
      <c r="C17" s="5" t="inlineStr">
        <is>
          <t>Miješani komunalni otpad</t>
        </is>
      </c>
      <c r="D17" s="19" t="inlineStr">
        <is>
          <t>Pomaknuto zbog neradnog dana u tjednu</t>
        </is>
      </c>
    </row>
    <row r="18">
      <c r="A18" s="28" t="n">
        <v>46351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46352</v>
      </c>
      <c r="B19" s="19" t="inlineStr">
        <is>
          <t>četvrtak</t>
        </is>
      </c>
      <c r="C19" s="9" t="inlineStr">
        <is>
          <t>Biootpad</t>
        </is>
      </c>
      <c r="D19" s="19" t="n"/>
    </row>
    <row r="20">
      <c r="A20" s="28" t="n">
        <v>46356</v>
      </c>
      <c r="B20" s="19" t="inlineStr">
        <is>
          <t>ponedjeljak</t>
        </is>
      </c>
      <c r="C20" s="12" t="inlineStr">
        <is>
          <t>Staklo</t>
        </is>
      </c>
      <c r="D20" s="19" t="n"/>
    </row>
    <row r="21">
      <c r="A21" s="28" t="n">
        <v>46358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46359</v>
      </c>
      <c r="B22" s="19" t="inlineStr">
        <is>
          <t>četvrtak</t>
        </is>
      </c>
      <c r="C22" s="9" t="inlineStr">
        <is>
          <t>Biootpad</t>
        </is>
      </c>
      <c r="D22" s="19" t="n"/>
    </row>
    <row r="23">
      <c r="A23" s="28" t="n">
        <v>46359</v>
      </c>
      <c r="B23" s="19" t="inlineStr">
        <is>
          <t>četvrtak</t>
        </is>
      </c>
      <c r="C23" s="10" t="inlineStr">
        <is>
          <t>Plastika i metal</t>
        </is>
      </c>
      <c r="D23" s="19" t="n"/>
    </row>
    <row r="24">
      <c r="A24" s="28" t="n">
        <v>46359</v>
      </c>
      <c r="B24" s="19" t="inlineStr">
        <is>
          <t>četvrtak</t>
        </is>
      </c>
      <c r="C24" s="11" t="inlineStr">
        <is>
          <t>Papir i karton</t>
        </is>
      </c>
      <c r="D24" s="19" t="n"/>
    </row>
    <row r="25">
      <c r="A25" s="28" t="n">
        <v>46365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46366</v>
      </c>
      <c r="B26" s="19" t="inlineStr">
        <is>
          <t>četvrtak</t>
        </is>
      </c>
      <c r="C26" s="9" t="inlineStr">
        <is>
          <t>Biootpad</t>
        </is>
      </c>
      <c r="D26" s="19" t="n"/>
    </row>
    <row r="27">
      <c r="A27" s="28" t="n">
        <v>46372</v>
      </c>
      <c r="B27" s="19" t="inlineStr">
        <is>
          <t>srijeda</t>
        </is>
      </c>
      <c r="C27" s="5" t="inlineStr">
        <is>
          <t>Miješani komunalni otpad</t>
        </is>
      </c>
      <c r="D27" s="19" t="n"/>
    </row>
    <row r="28">
      <c r="A28" s="28" t="n">
        <v>46373</v>
      </c>
      <c r="B28" s="19" t="inlineStr">
        <is>
          <t>četvrtak</t>
        </is>
      </c>
      <c r="C28" s="9" t="inlineStr">
        <is>
          <t>Biootpad</t>
        </is>
      </c>
      <c r="D28" s="19" t="n"/>
    </row>
    <row r="29">
      <c r="A29" s="28" t="n">
        <v>46379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46380</v>
      </c>
      <c r="B30" s="19" t="inlineStr">
        <is>
          <t>četvrtak</t>
        </is>
      </c>
      <c r="C30" s="9" t="inlineStr">
        <is>
          <t>Biootpad</t>
        </is>
      </c>
      <c r="D30" s="19" t="n"/>
    </row>
    <row r="31">
      <c r="A31" s="28" t="n">
        <v>46386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8" t="n">
        <v>46387</v>
      </c>
      <c r="B32" s="19" t="inlineStr">
        <is>
          <t>četvrtak</t>
        </is>
      </c>
      <c r="C32" s="9" t="inlineStr">
        <is>
          <t>Biootpad</t>
        </is>
      </c>
      <c r="D32" s="19" t="n"/>
    </row>
  </sheetData>
  <autoFilter ref="A1:D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Armina Pavića (Požega)</t>
        </is>
      </c>
    </row>
    <row r="6">
      <c r="A6" s="19" t="inlineStr">
        <is>
          <t>Arslanovci (Požega)</t>
        </is>
      </c>
    </row>
    <row r="7">
      <c r="A7" s="19" t="inlineStr">
        <is>
          <t>Augusta Cesarca (Požega)</t>
        </is>
      </c>
    </row>
    <row r="8">
      <c r="A8" s="19" t="inlineStr">
        <is>
          <t>Augusta Šenoe - osim kućnih brojeva 2 i 4 (Požega)</t>
        </is>
      </c>
    </row>
    <row r="9">
      <c r="A9" s="19" t="inlineStr">
        <is>
          <t>Baruna Trenka (Požega)</t>
        </is>
      </c>
    </row>
    <row r="10">
      <c r="A10" s="19" t="inlineStr">
        <is>
          <t>Brune Bušića (Požega)</t>
        </is>
      </c>
    </row>
    <row r="11">
      <c r="A11" s="19" t="inlineStr">
        <is>
          <t>Dubrovačka (Požega)</t>
        </is>
      </c>
    </row>
    <row r="12">
      <c r="A12" s="19" t="inlineStr">
        <is>
          <t>Filipovićeva (Požega)</t>
        </is>
      </c>
    </row>
    <row r="13">
      <c r="A13" s="19" t="inlineStr">
        <is>
          <t>Ivana Filipovića (Požega)</t>
        </is>
      </c>
    </row>
    <row r="14">
      <c r="A14" s="19" t="inlineStr">
        <is>
          <t>Ivana Matkovića (Požega)</t>
        </is>
      </c>
    </row>
    <row r="15">
      <c r="A15" s="19" t="inlineStr">
        <is>
          <t>Ivana Muljevića (Požega)</t>
        </is>
      </c>
    </row>
    <row r="16">
      <c r="A16" s="19" t="inlineStr">
        <is>
          <t>Kneza Branimira (Požega)</t>
        </is>
      </c>
    </row>
    <row r="17">
      <c r="A17" s="19" t="inlineStr">
        <is>
          <t>Komušanac (Požega)</t>
        </is>
      </c>
    </row>
    <row r="18">
      <c r="A18" s="19" t="inlineStr">
        <is>
          <t>Kralja Tomislava (Požega)</t>
        </is>
      </c>
    </row>
    <row r="19">
      <c r="A19" s="19" t="inlineStr">
        <is>
          <t>Majurska (Požega)</t>
        </is>
      </c>
    </row>
    <row r="20">
      <c r="A20" s="19" t="inlineStr">
        <is>
          <t>Nikole Tesle (Požega)</t>
        </is>
      </c>
    </row>
    <row r="21">
      <c r="A21" s="19" t="inlineStr">
        <is>
          <t>Pilanski put (Požega)</t>
        </is>
      </c>
    </row>
    <row r="22">
      <c r="A22" s="19" t="inlineStr">
        <is>
          <t>Snježne Gospe (Požega)</t>
        </is>
      </c>
    </row>
    <row r="23">
      <c r="A23" s="19" t="inlineStr">
        <is>
          <t>Sv. Ilije (Požega)</t>
        </is>
      </c>
    </row>
    <row r="24">
      <c r="A24" s="19" t="inlineStr">
        <is>
          <t>Svetog Ilije (Požega)</t>
        </is>
      </c>
    </row>
    <row r="25">
      <c r="A25" s="19" t="inlineStr">
        <is>
          <t>Teslina (Požega)</t>
        </is>
      </c>
    </row>
    <row r="26">
      <c r="A26" s="19" t="inlineStr">
        <is>
          <t>Tome Matića (Požega)</t>
        </is>
      </c>
    </row>
    <row r="27">
      <c r="A27" s="19" t="inlineStr">
        <is>
          <t>Trenkova (Požega)</t>
        </is>
      </c>
    </row>
    <row r="28">
      <c r="A28" s="19" t="inlineStr">
        <is>
          <t>Vranduk - kućni brojevi 74a, 126, 128, 128a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
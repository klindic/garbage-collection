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'Raspored'!$A$4:$F$61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IFERROR(1/(1/_xlfn.MINIFS(Raspored!$A$5:$A$61,Raspored!$D$5:$D$61,"x",Raspored!$A$5:$A$61,"&gt;="&amp;$B$3)),"nema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COUNTIF(Raspored!$D$5:$D$61,"x")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IFERROR(1/(1/_xlfn.MINIFS(Raspored!$A$5:$A$61,Raspored!$E$5:$E$61,"x",Raspored!$A$5:$A$61,"&gt;="&amp;$B$3)),"nema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COUNTIF(Raspored!$E$5:$E$61,"x")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COUNTIFS(Raspored!$C$5:$C$61,$A11,Raspored!$D$5:$D$61,"x")</f>
        <v/>
      </c>
      <c r="C11" s="7">
        <f>COUNTIFS(Raspored!$C$5:$C$61,$A11,Raspored!$E$5:$E$61,"x")</f>
        <v/>
      </c>
    </row>
    <row r="12">
      <c r="A12" s="13" t="inlineStr">
        <is>
          <t>veljača</t>
        </is>
      </c>
      <c r="B12" s="7">
        <f>COUNTIFS(Raspored!$C$5:$C$61,$A12,Raspored!$D$5:$D$61,"x")</f>
        <v/>
      </c>
      <c r="C12" s="7">
        <f>COUNTIFS(Raspored!$C$5:$C$61,$A12,Raspored!$E$5:$E$61,"x")</f>
        <v/>
      </c>
    </row>
    <row r="13">
      <c r="A13" s="13" t="inlineStr">
        <is>
          <t>ožujak</t>
        </is>
      </c>
      <c r="B13" s="7">
        <f>COUNTIFS(Raspored!$C$5:$C$61,$A13,Raspored!$D$5:$D$61,"x")</f>
        <v/>
      </c>
      <c r="C13" s="7">
        <f>COUNTIFS(Raspored!$C$5:$C$61,$A13,Raspored!$E$5:$E$61,"x")</f>
        <v/>
      </c>
    </row>
    <row r="14">
      <c r="A14" s="13" t="inlineStr">
        <is>
          <t>travanj</t>
        </is>
      </c>
      <c r="B14" s="7">
        <f>COUNTIFS(Raspored!$C$5:$C$61,$A14,Raspored!$D$5:$D$61,"x")</f>
        <v/>
      </c>
      <c r="C14" s="7">
        <f>COUNTIFS(Raspored!$C$5:$C$61,$A14,Raspored!$E$5:$E$61,"x")</f>
        <v/>
      </c>
    </row>
    <row r="15">
      <c r="A15" s="13" t="inlineStr">
        <is>
          <t>svibanj</t>
        </is>
      </c>
      <c r="B15" s="7">
        <f>COUNTIFS(Raspored!$C$5:$C$61,$A15,Raspored!$D$5:$D$61,"x")</f>
        <v/>
      </c>
      <c r="C15" s="7">
        <f>COUNTIFS(Raspored!$C$5:$C$61,$A15,Raspored!$E$5:$E$61,"x")</f>
        <v/>
      </c>
    </row>
    <row r="16">
      <c r="A16" s="13" t="inlineStr">
        <is>
          <t>lipanj</t>
        </is>
      </c>
      <c r="B16" s="7">
        <f>COUNTIFS(Raspored!$C$5:$C$61,$A16,Raspored!$D$5:$D$61,"x")</f>
        <v/>
      </c>
      <c r="C16" s="7">
        <f>COUNTIFS(Raspored!$C$5:$C$61,$A16,Raspored!$E$5:$E$61,"x")</f>
        <v/>
      </c>
    </row>
    <row r="17">
      <c r="A17" s="13" t="inlineStr">
        <is>
          <t>srpanj</t>
        </is>
      </c>
      <c r="B17" s="7">
        <f>COUNTIFS(Raspored!$C$5:$C$61,$A17,Raspored!$D$5:$D$61,"x")</f>
        <v/>
      </c>
      <c r="C17" s="7">
        <f>COUNTIFS(Raspored!$C$5:$C$61,$A17,Raspored!$E$5:$E$61,"x")</f>
        <v/>
      </c>
    </row>
    <row r="18">
      <c r="A18" s="13" t="inlineStr">
        <is>
          <t>kolovoz</t>
        </is>
      </c>
      <c r="B18" s="7">
        <f>COUNTIFS(Raspored!$C$5:$C$61,$A18,Raspored!$D$5:$D$61,"x")</f>
        <v/>
      </c>
      <c r="C18" s="7">
        <f>COUNTIFS(Raspored!$C$5:$C$61,$A18,Raspored!$E$5:$E$61,"x")</f>
        <v/>
      </c>
    </row>
    <row r="19">
      <c r="A19" s="13" t="inlineStr">
        <is>
          <t>rujan</t>
        </is>
      </c>
      <c r="B19" s="7">
        <f>COUNTIFS(Raspored!$C$5:$C$61,$A19,Raspored!$D$5:$D$61,"x")</f>
        <v/>
      </c>
      <c r="C19" s="7">
        <f>COUNTIFS(Raspored!$C$5:$C$61,$A19,Raspored!$E$5:$E$61,"x")</f>
        <v/>
      </c>
    </row>
    <row r="20">
      <c r="A20" s="13" t="inlineStr">
        <is>
          <t>listopad</t>
        </is>
      </c>
      <c r="B20" s="7">
        <f>COUNTIFS(Raspored!$C$5:$C$61,$A20,Raspored!$D$5:$D$61,"x")</f>
        <v/>
      </c>
      <c r="C20" s="7">
        <f>COUNTIFS(Raspored!$C$5:$C$61,$A20,Raspored!$E$5:$E$61,"x")</f>
        <v/>
      </c>
    </row>
    <row r="21">
      <c r="A21" s="13" t="inlineStr">
        <is>
          <t>studeni</t>
        </is>
      </c>
      <c r="B21" s="7">
        <f>COUNTIFS(Raspored!$C$5:$C$61,$A21,Raspored!$D$5:$D$61,"x")</f>
        <v/>
      </c>
      <c r="C21" s="7">
        <f>COUNTIFS(Raspored!$C$5:$C$61,$A21,Raspored!$E$5:$E$61,"x")</f>
        <v/>
      </c>
    </row>
    <row r="22">
      <c r="A22" s="13" t="inlineStr">
        <is>
          <t>prosinac</t>
        </is>
      </c>
      <c r="B22" s="7">
        <f>COUNTIFS(Raspored!$C$5:$C$61,$A22,Raspored!$D$5:$D$61,"x")</f>
        <v/>
      </c>
      <c r="C22" s="7">
        <f>COUNTIFS(Raspored!$C$5:$C$61,$A22,Raspored!$E$5:$E$61,"x")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Miješani otpad ljeti (travanj–listopad) srijedom, zimi (studeni–ožujak) četvrtkom – prema starijoj tablici bez godine (2019.). Reciklabilni otpad prva srijeda u mjesecu (od 8. mjeseca).</t>
        </is>
      </c>
    </row>
    <row r="28">
      <c r="A28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9">
      <c r="A29" s="17" t="inlineStr">
        <is>
          <t>• Pravne osobe: miješani otpad svakim danom (nije uključeno).</t>
        </is>
      </c>
    </row>
    <row r="30">
      <c r="A30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1">
      <c r="A31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5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46086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46113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46127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46141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46162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46169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46176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46190</v>
      </c>
      <c r="B30" s="7" t="inlineStr">
        <is>
          <t>srijeda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46197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46204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46211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46218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46225</v>
      </c>
      <c r="B35" s="7" t="inlineStr">
        <is>
          <t>srijeda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46232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19" t="n"/>
    </row>
    <row r="37">
      <c r="A37" s="6" t="n">
        <v>46239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20" t="n">
        <v>46240</v>
      </c>
      <c r="B38" s="21" t="inlineStr">
        <is>
          <t>četvrtak</t>
        </is>
      </c>
      <c r="C38" s="7" t="inlineStr">
        <is>
          <t>kolovoz</t>
        </is>
      </c>
      <c r="D38" s="7" t="n"/>
      <c r="E38" s="7" t="inlineStr">
        <is>
          <t>x</t>
        </is>
      </c>
      <c r="F38" s="19" t="inlineStr">
        <is>
          <t>Pomaknuto zbog neradnog dana u tjednu</t>
        </is>
      </c>
    </row>
    <row r="39">
      <c r="A39" s="6" t="n">
        <v>46246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46253</v>
      </c>
      <c r="B40" s="7" t="inlineStr">
        <is>
          <t>srijeda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46260</v>
      </c>
      <c r="B41" s="7" t="inlineStr">
        <is>
          <t>srijeda</t>
        </is>
      </c>
      <c r="C41" s="7" t="inlineStr">
        <is>
          <t>kolovoz</t>
        </is>
      </c>
      <c r="D41" s="7" t="inlineStr">
        <is>
          <t>x</t>
        </is>
      </c>
      <c r="E41" s="7" t="n"/>
      <c r="F41" s="19" t="n"/>
    </row>
    <row r="42">
      <c r="A42" s="6" t="n">
        <v>46267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46274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46281</v>
      </c>
      <c r="B44" s="7" t="inlineStr">
        <is>
          <t>srijeda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46288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19" t="n"/>
    </row>
    <row r="46">
      <c r="A46" s="6" t="n">
        <v>46295</v>
      </c>
      <c r="B46" s="7" t="inlineStr">
        <is>
          <t>srijeda</t>
        </is>
      </c>
      <c r="C46" s="7" t="inlineStr">
        <is>
          <t>rujan</t>
        </is>
      </c>
      <c r="D46" s="7" t="inlineStr">
        <is>
          <t>x</t>
        </is>
      </c>
      <c r="E46" s="7" t="n"/>
      <c r="F46" s="19" t="n"/>
    </row>
    <row r="47">
      <c r="A47" s="6" t="n">
        <v>46302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46309</v>
      </c>
      <c r="B48" s="7" t="inlineStr">
        <is>
          <t>srijeda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46316</v>
      </c>
      <c r="B49" s="7" t="inlineStr">
        <is>
          <t>srijeda</t>
        </is>
      </c>
      <c r="C49" s="7" t="inlineStr">
        <is>
          <t>listopad</t>
        </is>
      </c>
      <c r="D49" s="7" t="inlineStr">
        <is>
          <t>x</t>
        </is>
      </c>
      <c r="E49" s="7" t="n"/>
      <c r="F49" s="19" t="n"/>
    </row>
    <row r="50">
      <c r="A50" s="6" t="n">
        <v>46323</v>
      </c>
      <c r="B50" s="7" t="inlineStr">
        <is>
          <t>srijeda</t>
        </is>
      </c>
      <c r="C50" s="7" t="inlineStr">
        <is>
          <t>listopad</t>
        </is>
      </c>
      <c r="D50" s="7" t="inlineStr">
        <is>
          <t>x</t>
        </is>
      </c>
      <c r="E50" s="7" t="n"/>
      <c r="F50" s="19" t="n"/>
    </row>
    <row r="51">
      <c r="A51" s="6" t="n">
        <v>46330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19" t="n"/>
    </row>
    <row r="52">
      <c r="A52" s="6" t="n">
        <v>46331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46338</v>
      </c>
      <c r="B53" s="7" t="inlineStr">
        <is>
          <t>četvrtak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46345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19" t="n"/>
    </row>
    <row r="55">
      <c r="A55" s="6" t="n">
        <v>46352</v>
      </c>
      <c r="B55" s="7" t="inlineStr">
        <is>
          <t>četvrtak</t>
        </is>
      </c>
      <c r="C55" s="7" t="inlineStr">
        <is>
          <t>studeni</t>
        </is>
      </c>
      <c r="D55" s="7" t="inlineStr">
        <is>
          <t>x</t>
        </is>
      </c>
      <c r="E55" s="7" t="n"/>
      <c r="F55" s="19" t="n"/>
    </row>
    <row r="56">
      <c r="A56" s="6" t="n">
        <v>46358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19" t="n"/>
    </row>
    <row r="57">
      <c r="A57" s="6" t="n">
        <v>46359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  <row r="58">
      <c r="A58" s="6" t="n">
        <v>46366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n"/>
      <c r="F58" s="19" t="n"/>
    </row>
    <row r="59">
      <c r="A59" s="6" t="n">
        <v>46373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19" t="n"/>
    </row>
    <row r="60">
      <c r="A60" s="6" t="n">
        <v>46380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19" t="n"/>
    </row>
    <row r="61">
      <c r="A61" s="6" t="n">
        <v>46387</v>
      </c>
      <c r="B61" s="7" t="inlineStr">
        <is>
          <t>četvrtak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19" t="n"/>
    </row>
  </sheetData>
  <autoFilter ref="A4:F61"/>
  <conditionalFormatting sqref="D5:D61">
    <cfRule type="expression" priority="1" dxfId="0">
      <formula>D5="x"</formula>
    </cfRule>
  </conditionalFormatting>
  <conditionalFormatting sqref="E5:E61">
    <cfRule type="expression" priority="2" dxfId="1">
      <formula>E5="x"</formula>
    </cfRule>
  </conditionalFormatting>
  <conditionalFormatting sqref="A5:F61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2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2" t="n">
        <v>46037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2" t="n">
        <v>46044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2" t="n">
        <v>46051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2" t="n">
        <v>46058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2" t="n">
        <v>46065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2" t="n">
        <v>46072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2" t="n">
        <v>46079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2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2" t="n">
        <v>46086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2" t="n">
        <v>46093</v>
      </c>
      <c r="B13" s="13" t="inlineStr">
        <is>
          <t>četvrtak</t>
        </is>
      </c>
      <c r="C13" s="5" t="inlineStr">
        <is>
          <t>Miješani komunalni otpad</t>
        </is>
      </c>
      <c r="D13" s="13" t="n"/>
    </row>
    <row r="14">
      <c r="A14" s="22" t="n">
        <v>46100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2" t="n">
        <v>46107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2" t="n">
        <v>46113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2" t="n">
        <v>46120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2" t="n">
        <v>46127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2" t="n">
        <v>46134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2" t="n">
        <v>46141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2" t="n">
        <v>46148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2" t="n">
        <v>46155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2" t="n">
        <v>46162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2" t="n">
        <v>46169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2" t="n">
        <v>46176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2" t="n">
        <v>46183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2" t="n">
        <v>46190</v>
      </c>
      <c r="B27" s="13" t="inlineStr">
        <is>
          <t>srijeda</t>
        </is>
      </c>
      <c r="C27" s="5" t="inlineStr">
        <is>
          <t>Miješani komunalni otpad</t>
        </is>
      </c>
      <c r="D27" s="13" t="n"/>
    </row>
    <row r="28">
      <c r="A28" s="22" t="n">
        <v>46197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2" t="n">
        <v>46204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2" t="n">
        <v>46211</v>
      </c>
      <c r="B30" s="13" t="inlineStr">
        <is>
          <t>srijeda</t>
        </is>
      </c>
      <c r="C30" s="5" t="inlineStr">
        <is>
          <t>Miješani komunalni otpad</t>
        </is>
      </c>
      <c r="D30" s="13" t="n"/>
    </row>
    <row r="31">
      <c r="A31" s="22" t="n">
        <v>46218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2" t="n">
        <v>46225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2" t="n">
        <v>46232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2" t="n">
        <v>46239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2" t="n">
        <v>46240</v>
      </c>
      <c r="B35" s="13" t="inlineStr">
        <is>
          <t>četvrtak</t>
        </is>
      </c>
      <c r="C35" s="9" t="inlineStr">
        <is>
          <t>Reciklabilni (korisni) otpad – zelene i plave vrećice</t>
        </is>
      </c>
      <c r="D35" s="13" t="inlineStr">
        <is>
          <t>Pomaknuto zbog neradnog dana u tjednu</t>
        </is>
      </c>
    </row>
    <row r="36">
      <c r="A36" s="22" t="n">
        <v>46246</v>
      </c>
      <c r="B36" s="13" t="inlineStr">
        <is>
          <t>srijeda</t>
        </is>
      </c>
      <c r="C36" s="5" t="inlineStr">
        <is>
          <t>Miješani komunalni otpad</t>
        </is>
      </c>
      <c r="D36" s="13" t="n"/>
    </row>
    <row r="37">
      <c r="A37" s="22" t="n">
        <v>46253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2" t="n">
        <v>46260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2" t="n">
        <v>46267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2" t="n">
        <v>46267</v>
      </c>
      <c r="B40" s="13" t="inlineStr">
        <is>
          <t>srijeda</t>
        </is>
      </c>
      <c r="C40" s="9" t="inlineStr">
        <is>
          <t>Reciklabilni (korisni) otpad – zelene i plave vrećice</t>
        </is>
      </c>
      <c r="D40" s="13" t="n"/>
    </row>
    <row r="41">
      <c r="A41" s="22" t="n">
        <v>46274</v>
      </c>
      <c r="B41" s="13" t="inlineStr">
        <is>
          <t>srijeda</t>
        </is>
      </c>
      <c r="C41" s="5" t="inlineStr">
        <is>
          <t>Miješani komunalni otpad</t>
        </is>
      </c>
      <c r="D41" s="13" t="n"/>
    </row>
    <row r="42">
      <c r="A42" s="22" t="n">
        <v>46281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2" t="n">
        <v>46288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2" t="n">
        <v>46295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2" t="n">
        <v>46302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2" t="n">
        <v>46302</v>
      </c>
      <c r="B46" s="13" t="inlineStr">
        <is>
          <t>srijeda</t>
        </is>
      </c>
      <c r="C46" s="9" t="inlineStr">
        <is>
          <t>Reciklabilni (korisni) otpad – zelene i plave vrećice</t>
        </is>
      </c>
      <c r="D46" s="13" t="n"/>
    </row>
    <row r="47">
      <c r="A47" s="22" t="n">
        <v>46309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2" t="n">
        <v>46316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2" t="n">
        <v>46323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2" t="n">
        <v>46330</v>
      </c>
      <c r="B50" s="13" t="inlineStr">
        <is>
          <t>srijeda</t>
        </is>
      </c>
      <c r="C50" s="9" t="inlineStr">
        <is>
          <t>Reciklabilni (korisni) otpad – zelene i plave vrećice</t>
        </is>
      </c>
      <c r="D50" s="13" t="n"/>
    </row>
    <row r="51">
      <c r="A51" s="22" t="n">
        <v>46331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2" t="n">
        <v>46338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2" t="n">
        <v>46345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2" t="n">
        <v>46352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2" t="n">
        <v>46358</v>
      </c>
      <c r="B55" s="13" t="inlineStr">
        <is>
          <t>srijeda</t>
        </is>
      </c>
      <c r="C55" s="9" t="inlineStr">
        <is>
          <t>Reciklabilni (korisni) otpad – zelene i plave vrećice</t>
        </is>
      </c>
      <c r="D55" s="13" t="n"/>
    </row>
    <row r="56">
      <c r="A56" s="22" t="n">
        <v>46359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2" t="n">
        <v>46366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2" t="n">
        <v>46373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2" t="n">
        <v>46380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2" t="n">
        <v>46387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Bratiškovci (gornji dio)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2026-10-08T05:44:08Z</dcterms:created>
  <dcterms:modified xmlns:dcterms="http://purl.org/dc/terms/" xmlns:xsi="http://www.w3.org/2001/XMLSchema-instance" xsi:type="dcterms:W3CDTF">2026-10-08T05:44:08Z</dcterms:modified>
</cp:coreProperties>
</file>
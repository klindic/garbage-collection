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COUNTIFS(Raspored!$C$5:$C$62,$A11,Raspored!$D$5:$D$62,"x")</f>
        <v/>
      </c>
      <c r="C11" s="7">
        <f>COUNTIFS(Raspored!$C$5:$C$62,$A11,Raspored!$E$5:$E$62,"x")</f>
        <v/>
      </c>
    </row>
    <row r="12">
      <c r="A12" s="13" t="inlineStr">
        <is>
          <t>veljača</t>
        </is>
      </c>
      <c r="B12" s="7">
        <f>COUNTIFS(Raspored!$C$5:$C$62,$A12,Raspored!$D$5:$D$62,"x")</f>
        <v/>
      </c>
      <c r="C12" s="7">
        <f>COUNTIFS(Raspored!$C$5:$C$62,$A12,Raspored!$E$5:$E$62,"x")</f>
        <v/>
      </c>
    </row>
    <row r="13">
      <c r="A13" s="13" t="inlineStr">
        <is>
          <t>ožujak</t>
        </is>
      </c>
      <c r="B13" s="7">
        <f>COUNTIFS(Raspored!$C$5:$C$62,$A13,Raspored!$D$5:$D$62,"x")</f>
        <v/>
      </c>
      <c r="C13" s="7">
        <f>COUNTIFS(Raspored!$C$5:$C$62,$A13,Raspored!$E$5:$E$62,"x")</f>
        <v/>
      </c>
    </row>
    <row r="14">
      <c r="A14" s="13" t="inlineStr">
        <is>
          <t>travanj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</row>
    <row r="15">
      <c r="A15" s="13" t="inlineStr">
        <is>
          <t>svibanj</t>
        </is>
      </c>
      <c r="B15" s="7">
        <f>COUNTIFS(Raspored!$C$5:$C$62,$A15,Raspored!$D$5:$D$62,"x")</f>
        <v/>
      </c>
      <c r="C15" s="7">
        <f>COUNTIFS(Raspored!$C$5:$C$62,$A15,Raspored!$E$5:$E$62,"x")</f>
        <v/>
      </c>
    </row>
    <row r="16">
      <c r="A16" s="13" t="inlineStr">
        <is>
          <t>lipanj</t>
        </is>
      </c>
      <c r="B16" s="7">
        <f>COUNTIFS(Raspored!$C$5:$C$62,$A16,Raspored!$D$5:$D$62,"x")</f>
        <v/>
      </c>
      <c r="C16" s="7">
        <f>COUNTIFS(Raspored!$C$5:$C$62,$A16,Raspored!$E$5:$E$62,"x")</f>
        <v/>
      </c>
    </row>
    <row r="17">
      <c r="A17" s="13" t="inlineStr">
        <is>
          <t>srpanj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</row>
    <row r="18">
      <c r="A18" s="13" t="inlineStr">
        <is>
          <t>kolovoz</t>
        </is>
      </c>
      <c r="B18" s="7">
        <f>COUNTIFS(Raspored!$C$5:$C$62,$A18,Raspored!$D$5:$D$62,"x")</f>
        <v/>
      </c>
      <c r="C18" s="7">
        <f>COUNTIFS(Raspored!$C$5:$C$62,$A18,Raspored!$E$5:$E$62,"x")</f>
        <v/>
      </c>
    </row>
    <row r="19">
      <c r="A19" s="13" t="inlineStr">
        <is>
          <t>rujan</t>
        </is>
      </c>
      <c r="B19" s="7">
        <f>COUNTIFS(Raspored!$C$5:$C$62,$A19,Raspored!$D$5:$D$62,"x")</f>
        <v/>
      </c>
      <c r="C19" s="7">
        <f>COUNTIFS(Raspored!$C$5:$C$62,$A19,Raspored!$E$5:$E$62,"x")</f>
        <v/>
      </c>
    </row>
    <row r="20">
      <c r="A20" s="13" t="inlineStr">
        <is>
          <t>listopad</t>
        </is>
      </c>
      <c r="B20" s="7">
        <f>COUNTIFS(Raspored!$C$5:$C$62,$A20,Raspored!$D$5:$D$62,"x")</f>
        <v/>
      </c>
      <c r="C20" s="7">
        <f>COUNTIFS(Raspored!$C$5:$C$62,$A20,Raspored!$E$5:$E$62,"x")</f>
        <v/>
      </c>
    </row>
    <row r="21">
      <c r="A21" s="13" t="inlineStr">
        <is>
          <t>studeni</t>
        </is>
      </c>
      <c r="B21" s="7">
        <f>COUNTIFS(Raspored!$C$5:$C$62,$A21,Raspored!$D$5:$D$62,"x")</f>
        <v/>
      </c>
      <c r="C21" s="7">
        <f>COUNTIFS(Raspored!$C$5:$C$62,$A21,Raspored!$E$5:$E$62,"x")</f>
        <v/>
      </c>
    </row>
    <row r="22">
      <c r="A22" s="13" t="inlineStr">
        <is>
          <t>prosinac</t>
        </is>
      </c>
      <c r="B22" s="7">
        <f>COUNTIFS(Raspored!$C$5:$C$62,$A22,Raspored!$D$5:$D$62,"x")</f>
        <v/>
      </c>
      <c r="C22" s="7">
        <f>COUNTIFS(Raspored!$C$5:$C$62,$A22,Raspored!$E$5:$E$62,"x")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subotom, zimi (studeni–ožujak) petkom – prema starijoj tablici bez godine (2019.). Reciklabilni otpad prvi četvrtak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15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46108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46116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46123</v>
      </c>
      <c r="B20" s="7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46130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46137</v>
      </c>
      <c r="B22" s="7" t="inlineStr">
        <is>
          <t>subota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46144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46158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46165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46172</v>
      </c>
      <c r="B27" s="7" t="inlineStr">
        <is>
          <t>subota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46179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46186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46193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46200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46207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46214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46221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46228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46235</v>
      </c>
      <c r="B36" s="7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19" t="n"/>
    </row>
    <row r="38">
      <c r="A38" s="6" t="n">
        <v>46242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46249</v>
      </c>
      <c r="B39" s="7" t="inlineStr">
        <is>
          <t>subota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46256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46263</v>
      </c>
      <c r="B41" s="7" t="inlineStr">
        <is>
          <t>subota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19" t="n"/>
    </row>
    <row r="43">
      <c r="A43" s="6" t="n">
        <v>46270</v>
      </c>
      <c r="B43" s="7" t="inlineStr">
        <is>
          <t>subota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46277</v>
      </c>
      <c r="B44" s="7" t="inlineStr">
        <is>
          <t>subota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46284</v>
      </c>
      <c r="B45" s="7" t="inlineStr">
        <is>
          <t>subota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46291</v>
      </c>
      <c r="B46" s="7" t="inlineStr">
        <is>
          <t>subota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46296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19" t="n"/>
    </row>
    <row r="48">
      <c r="A48" s="6" t="n">
        <v>46298</v>
      </c>
      <c r="B48" s="7" t="inlineStr">
        <is>
          <t>subota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46305</v>
      </c>
      <c r="B49" s="7" t="inlineStr">
        <is>
          <t>subota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46312</v>
      </c>
      <c r="B50" s="7" t="inlineStr">
        <is>
          <t>subota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46319</v>
      </c>
      <c r="B51" s="7" t="inlineStr">
        <is>
          <t>subota</t>
        </is>
      </c>
      <c r="C51" s="7" t="inlineStr">
        <is>
          <t>listopad</t>
        </is>
      </c>
      <c r="D51" s="7" t="inlineStr">
        <is>
          <t>x</t>
        </is>
      </c>
      <c r="E51" s="7" t="n"/>
      <c r="F51" s="19" t="n"/>
    </row>
    <row r="52">
      <c r="A52" s="6" t="n">
        <v>46326</v>
      </c>
      <c r="B52" s="7" t="inlineStr">
        <is>
          <t>subota</t>
        </is>
      </c>
      <c r="C52" s="7" t="inlineStr">
        <is>
          <t>listopad</t>
        </is>
      </c>
      <c r="D52" s="7" t="inlineStr">
        <is>
          <t>x</t>
        </is>
      </c>
      <c r="E52" s="7" t="n"/>
      <c r="F52" s="19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19" t="n"/>
    </row>
    <row r="54">
      <c r="A54" s="6" t="n">
        <v>46332</v>
      </c>
      <c r="B54" s="7" t="inlineStr">
        <is>
          <t>petak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46339</v>
      </c>
      <c r="B55" s="7" t="inlineStr">
        <is>
          <t>petak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46346</v>
      </c>
      <c r="B56" s="7" t="inlineStr">
        <is>
          <t>petak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19" t="n"/>
    </row>
    <row r="57">
      <c r="A57" s="6" t="n">
        <v>46353</v>
      </c>
      <c r="B57" s="7" t="inlineStr">
        <is>
          <t>petak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19" t="n"/>
    </row>
    <row r="58">
      <c r="A58" s="6" t="n">
        <v>46359</v>
      </c>
      <c r="B58" s="7" t="inlineStr">
        <is>
          <t>četvrtak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19" t="n"/>
    </row>
    <row r="59">
      <c r="A59" s="6" t="n">
        <v>46360</v>
      </c>
      <c r="B59" s="7" t="inlineStr">
        <is>
          <t>petak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46367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46374</v>
      </c>
      <c r="B61" s="7" t="inlineStr">
        <is>
          <t>petak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  <row r="62">
      <c r="A62" s="6" t="n">
        <v>46381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19" t="n"/>
    </row>
  </sheetData>
  <autoFilter ref="A4:F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A5:F6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46038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46045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46052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46059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46066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46073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46080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46087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46094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46101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46108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46116</v>
      </c>
      <c r="B16" s="13" t="inlineStr">
        <is>
          <t>subota</t>
        </is>
      </c>
      <c r="C16" s="5" t="inlineStr">
        <is>
          <t>Miješani komunalni otpad</t>
        </is>
      </c>
      <c r="D16" s="13" t="n"/>
    </row>
    <row r="17">
      <c r="A17" s="20" t="n">
        <v>46123</v>
      </c>
      <c r="B17" s="13" t="inlineStr">
        <is>
          <t>subota</t>
        </is>
      </c>
      <c r="C17" s="5" t="inlineStr">
        <is>
          <t>Miješani komunalni otpad</t>
        </is>
      </c>
      <c r="D17" s="13" t="n"/>
    </row>
    <row r="18">
      <c r="A18" s="20" t="n">
        <v>46130</v>
      </c>
      <c r="B18" s="13" t="inlineStr">
        <is>
          <t>subota</t>
        </is>
      </c>
      <c r="C18" s="5" t="inlineStr">
        <is>
          <t>Miješani komunalni otpad</t>
        </is>
      </c>
      <c r="D18" s="13" t="n"/>
    </row>
    <row r="19">
      <c r="A19" s="20" t="n">
        <v>46137</v>
      </c>
      <c r="B19" s="13" t="inlineStr">
        <is>
          <t>subota</t>
        </is>
      </c>
      <c r="C19" s="5" t="inlineStr">
        <is>
          <t>Miješani komunalni otpad</t>
        </is>
      </c>
      <c r="D19" s="13" t="n"/>
    </row>
    <row r="20">
      <c r="A20" s="20" t="n">
        <v>46144</v>
      </c>
      <c r="B20" s="13" t="inlineStr">
        <is>
          <t>subota</t>
        </is>
      </c>
      <c r="C20" s="5" t="inlineStr">
        <is>
          <t>Miješani komunalni otpad</t>
        </is>
      </c>
      <c r="D20" s="13" t="n"/>
    </row>
    <row r="21">
      <c r="A21" s="20" t="n">
        <v>46151</v>
      </c>
      <c r="B21" s="13" t="inlineStr">
        <is>
          <t>subota</t>
        </is>
      </c>
      <c r="C21" s="5" t="inlineStr">
        <is>
          <t>Miješani komunalni otpad</t>
        </is>
      </c>
      <c r="D21" s="13" t="n"/>
    </row>
    <row r="22">
      <c r="A22" s="20" t="n">
        <v>46158</v>
      </c>
      <c r="B22" s="13" t="inlineStr">
        <is>
          <t>subota</t>
        </is>
      </c>
      <c r="C22" s="5" t="inlineStr">
        <is>
          <t>Miješani komunalni otpad</t>
        </is>
      </c>
      <c r="D22" s="13" t="n"/>
    </row>
    <row r="23">
      <c r="A23" s="20" t="n">
        <v>46165</v>
      </c>
      <c r="B23" s="13" t="inlineStr">
        <is>
          <t>subota</t>
        </is>
      </c>
      <c r="C23" s="5" t="inlineStr">
        <is>
          <t>Miješani komunalni otpad</t>
        </is>
      </c>
      <c r="D23" s="13" t="n"/>
    </row>
    <row r="24">
      <c r="A24" s="20" t="n">
        <v>46172</v>
      </c>
      <c r="B24" s="13" t="inlineStr">
        <is>
          <t>subota</t>
        </is>
      </c>
      <c r="C24" s="5" t="inlineStr">
        <is>
          <t>Miješani komunalni otpad</t>
        </is>
      </c>
      <c r="D24" s="13" t="n"/>
    </row>
    <row r="25">
      <c r="A25" s="20" t="n">
        <v>46179</v>
      </c>
      <c r="B25" s="13" t="inlineStr">
        <is>
          <t>subota</t>
        </is>
      </c>
      <c r="C25" s="5" t="inlineStr">
        <is>
          <t>Miješani komunalni otpad</t>
        </is>
      </c>
      <c r="D25" s="13" t="n"/>
    </row>
    <row r="26">
      <c r="A26" s="20" t="n">
        <v>46186</v>
      </c>
      <c r="B26" s="13" t="inlineStr">
        <is>
          <t>subota</t>
        </is>
      </c>
      <c r="C26" s="5" t="inlineStr">
        <is>
          <t>Miješani komunalni otpad</t>
        </is>
      </c>
      <c r="D26" s="13" t="n"/>
    </row>
    <row r="27">
      <c r="A27" s="20" t="n">
        <v>46193</v>
      </c>
      <c r="B27" s="13" t="inlineStr">
        <is>
          <t>subota</t>
        </is>
      </c>
      <c r="C27" s="5" t="inlineStr">
        <is>
          <t>Miješani komunalni otpad</t>
        </is>
      </c>
      <c r="D27" s="13" t="n"/>
    </row>
    <row r="28">
      <c r="A28" s="20" t="n">
        <v>46200</v>
      </c>
      <c r="B28" s="13" t="inlineStr">
        <is>
          <t>subota</t>
        </is>
      </c>
      <c r="C28" s="5" t="inlineStr">
        <is>
          <t>Miješani komunalni otpad</t>
        </is>
      </c>
      <c r="D28" s="13" t="n"/>
    </row>
    <row r="29">
      <c r="A29" s="20" t="n">
        <v>46207</v>
      </c>
      <c r="B29" s="13" t="inlineStr">
        <is>
          <t>subota</t>
        </is>
      </c>
      <c r="C29" s="5" t="inlineStr">
        <is>
          <t>Miješani komunalni otpad</t>
        </is>
      </c>
      <c r="D29" s="13" t="n"/>
    </row>
    <row r="30">
      <c r="A30" s="20" t="n">
        <v>46214</v>
      </c>
      <c r="B30" s="13" t="inlineStr">
        <is>
          <t>subota</t>
        </is>
      </c>
      <c r="C30" s="5" t="inlineStr">
        <is>
          <t>Miješani komunalni otpad</t>
        </is>
      </c>
      <c r="D30" s="13" t="n"/>
    </row>
    <row r="31">
      <c r="A31" s="20" t="n">
        <v>46221</v>
      </c>
      <c r="B31" s="13" t="inlineStr">
        <is>
          <t>subota</t>
        </is>
      </c>
      <c r="C31" s="5" t="inlineStr">
        <is>
          <t>Miješani komunalni otpad</t>
        </is>
      </c>
      <c r="D31" s="13" t="n"/>
    </row>
    <row r="32">
      <c r="A32" s="20" t="n">
        <v>46228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0" t="n">
        <v>46235</v>
      </c>
      <c r="B33" s="13" t="inlineStr">
        <is>
          <t>subota</t>
        </is>
      </c>
      <c r="C33" s="5" t="inlineStr">
        <is>
          <t>Miješani komunalni otpad</t>
        </is>
      </c>
      <c r="D33" s="13" t="n"/>
    </row>
    <row r="34">
      <c r="A34" s="20" t="n">
        <v>46240</v>
      </c>
      <c r="B34" s="13" t="inlineStr">
        <is>
          <t>četvrtak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46242</v>
      </c>
      <c r="B35" s="13" t="inlineStr">
        <is>
          <t>subota</t>
        </is>
      </c>
      <c r="C35" s="5" t="inlineStr">
        <is>
          <t>Miješani komunalni otpad</t>
        </is>
      </c>
      <c r="D35" s="13" t="n"/>
    </row>
    <row r="36">
      <c r="A36" s="20" t="n">
        <v>46249</v>
      </c>
      <c r="B36" s="13" t="inlineStr">
        <is>
          <t>subota</t>
        </is>
      </c>
      <c r="C36" s="5" t="inlineStr">
        <is>
          <t>Miješani komunalni otpad</t>
        </is>
      </c>
      <c r="D36" s="13" t="n"/>
    </row>
    <row r="37">
      <c r="A37" s="20" t="n">
        <v>46256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0" t="n">
        <v>46263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46268</v>
      </c>
      <c r="B39" s="13" t="inlineStr">
        <is>
          <t>četvrtak</t>
        </is>
      </c>
      <c r="C39" s="9" t="inlineStr">
        <is>
          <t>Reciklabilni (korisni) otpad – zelene i plave vrećice</t>
        </is>
      </c>
      <c r="D39" s="13" t="n"/>
    </row>
    <row r="40">
      <c r="A40" s="20" t="n">
        <v>46270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46277</v>
      </c>
      <c r="B41" s="13" t="inlineStr">
        <is>
          <t>subota</t>
        </is>
      </c>
      <c r="C41" s="5" t="inlineStr">
        <is>
          <t>Miješani komunalni otpad</t>
        </is>
      </c>
      <c r="D41" s="13" t="n"/>
    </row>
    <row r="42">
      <c r="A42" s="20" t="n">
        <v>46284</v>
      </c>
      <c r="B42" s="13" t="inlineStr">
        <is>
          <t>subota</t>
        </is>
      </c>
      <c r="C42" s="5" t="inlineStr">
        <is>
          <t>Miješani komunalni otpad</t>
        </is>
      </c>
      <c r="D42" s="13" t="n"/>
    </row>
    <row r="43">
      <c r="A43" s="20" t="n">
        <v>46291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46296</v>
      </c>
      <c r="B44" s="13" t="inlineStr">
        <is>
          <t>četvrtak</t>
        </is>
      </c>
      <c r="C44" s="9" t="inlineStr">
        <is>
          <t>Reciklabilni (korisni) otpad – zelene i plave vrećice</t>
        </is>
      </c>
      <c r="D44" s="13" t="n"/>
    </row>
    <row r="45">
      <c r="A45" s="20" t="n">
        <v>46298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46305</v>
      </c>
      <c r="B46" s="13" t="inlineStr">
        <is>
          <t>subota</t>
        </is>
      </c>
      <c r="C46" s="5" t="inlineStr">
        <is>
          <t>Miješani komunalni otpad</t>
        </is>
      </c>
      <c r="D46" s="13" t="n"/>
    </row>
    <row r="47">
      <c r="A47" s="20" t="n">
        <v>46312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46319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46326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0" t="n">
        <v>46331</v>
      </c>
      <c r="B50" s="13" t="inlineStr">
        <is>
          <t>četvrtak</t>
        </is>
      </c>
      <c r="C50" s="9" t="inlineStr">
        <is>
          <t>Reciklabilni (korisni) otpad – zelene i plave vrećice</t>
        </is>
      </c>
      <c r="D50" s="13" t="n"/>
    </row>
    <row r="51">
      <c r="A51" s="20" t="n">
        <v>46332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46339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46346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46353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46359</v>
      </c>
      <c r="B55" s="13" t="inlineStr">
        <is>
          <t>četvrtak</t>
        </is>
      </c>
      <c r="C55" s="9" t="inlineStr">
        <is>
          <t>Reciklabilni (korisni) otpad – zelene i plave vrećice</t>
        </is>
      </c>
      <c r="D55" s="13" t="n"/>
    </row>
    <row r="56">
      <c r="A56" s="20" t="n">
        <v>46360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46367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46374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46381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Sonković (gornji dio)</t>
        </is>
      </c>
    </row>
    <row r="6">
      <c r="A6" s="13" t="inlineStr">
        <is>
          <t>Skradinsko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
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COUNTIFS(Raspored!$C$5:$C$57,$A11,Raspored!$D$5:$D$57,"x")</f>
        <v/>
      </c>
      <c r="C11" s="7">
        <f>COUNTIFS(Raspored!$C$5:$C$57,$A11,Raspored!$E$5:$E$57,"x")</f>
        <v/>
      </c>
    </row>
    <row r="12">
      <c r="A12" s="13" t="inlineStr">
        <is>
          <t>veljača</t>
        </is>
      </c>
      <c r="B12" s="7">
        <f>COUNTIFS(Raspored!$C$5:$C$57,$A12,Raspored!$D$5:$D$57,"x")</f>
        <v/>
      </c>
      <c r="C12" s="7">
        <f>COUNTIFS(Raspored!$C$5:$C$57,$A12,Raspored!$E$5:$E$57,"x")</f>
        <v/>
      </c>
    </row>
    <row r="13">
      <c r="A13" s="13" t="inlineStr">
        <is>
          <t>ožujak</t>
        </is>
      </c>
      <c r="B13" s="7">
        <f>COUNTIFS(Raspored!$C$5:$C$57,$A13,Raspored!$D$5:$D$57,"x")</f>
        <v/>
      </c>
      <c r="C13" s="7">
        <f>COUNTIFS(Raspored!$C$5:$C$57,$A13,Raspored!$E$5:$E$57,"x")</f>
        <v/>
      </c>
    </row>
    <row r="14">
      <c r="A14" s="13" t="inlineStr">
        <is>
          <t>travanj</t>
        </is>
      </c>
      <c r="B14" s="7">
        <f>COUNTIFS(Raspored!$C$5:$C$57,$A14,Raspored!$D$5:$D$57,"x")</f>
        <v/>
      </c>
      <c r="C14" s="7">
        <f>COUNTIFS(Raspored!$C$5:$C$57,$A14,Raspored!$E$5:$E$57,"x")</f>
        <v/>
      </c>
    </row>
    <row r="15">
      <c r="A15" s="13" t="inlineStr">
        <is>
          <t>svibanj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</row>
    <row r="16">
      <c r="A16" s="13" t="inlineStr">
        <is>
          <t>lipanj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</row>
    <row r="17">
      <c r="A17" s="13" t="inlineStr">
        <is>
          <t>srpanj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</row>
    <row r="18">
      <c r="A18" s="13" t="inlineStr">
        <is>
          <t>kolovoz</t>
        </is>
      </c>
      <c r="B18" s="7">
        <f>COUNTIFS(Raspored!$C$5:$C$57,$A18,Raspored!$D$5:$D$57,"x")</f>
        <v/>
      </c>
      <c r="C18" s="7">
        <f>COUNTIFS(Raspored!$C$5:$C$57,$A18,Raspored!$E$5:$E$57,"x")</f>
        <v/>
      </c>
    </row>
    <row r="19">
      <c r="A19" s="13" t="inlineStr">
        <is>
          <t>rujan</t>
        </is>
      </c>
      <c r="B19" s="7">
        <f>COUNTIFS(Raspored!$C$5:$C$57,$A19,Raspored!$D$5:$D$57,"x")</f>
        <v/>
      </c>
      <c r="C19" s="7">
        <f>COUNTIFS(Raspored!$C$5:$C$57,$A19,Raspored!$E$5:$E$57,"x")</f>
        <v/>
      </c>
    </row>
    <row r="20">
      <c r="A20" s="13" t="inlineStr">
        <is>
          <t>listopad</t>
        </is>
      </c>
      <c r="B20" s="7">
        <f>COUNTIFS(Raspored!$C$5:$C$57,$A20,Raspored!$D$5:$D$57,"x")</f>
        <v/>
      </c>
      <c r="C20" s="7">
        <f>COUNTIFS(Raspored!$C$5:$C$57,$A20,Raspored!$E$5:$E$57,"x")</f>
        <v/>
      </c>
    </row>
    <row r="21">
      <c r="A21" s="13" t="inlineStr">
        <is>
          <t>studeni</t>
        </is>
      </c>
      <c r="B21" s="7">
        <f>COUNTIFS(Raspored!$C$5:$C$57,$A21,Raspored!$D$5:$D$57,"x")</f>
        <v/>
      </c>
      <c r="C21" s="7">
        <f>COUNTIFS(Raspored!$C$5:$C$57,$A21,Raspored!$E$5:$E$57,"x")</f>
        <v/>
      </c>
    </row>
    <row r="22">
      <c r="A22" s="13" t="inlineStr">
        <is>
          <t>prosinac</t>
        </is>
      </c>
      <c r="B22" s="7">
        <f>COUNTIFS(Raspored!$C$5:$C$57,$A22,Raspored!$D$5:$D$57,"x")</f>
        <v/>
      </c>
      <c r="C22" s="7">
        <f>COUNTIFS(Raspored!$C$5:$C$57,$A22,Raspored!$E$5:$E$57,"x")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ljeti (travanj–listopad) petkom, zimi (studeni–ožujak) petkom – prema starijoj tablici bez godine (2019.). Naselje nije navedeno u rasporedu reciklabilnog otpada (2026.); uključeni su samo odvozi iz općih obavijesti.</t>
        </is>
      </c>
    </row>
    <row r="27">
      <c r="A27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8">
      <c r="A28" s="17" t="inlineStr">
        <is>
          <t>• Pravne osobe: miješani otpad svakim danom (nije uključeno).</t>
        </is>
      </c>
    </row>
    <row r="29">
      <c r="A29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0">
      <c r="A30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13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19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46094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46101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46108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46115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46129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46136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46143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46157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46171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46185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46199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46227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n"/>
      <c r="F36" s="19" t="n"/>
    </row>
    <row r="37">
      <c r="A37" s="6" t="n">
        <v>46241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19" t="n"/>
    </row>
    <row r="38">
      <c r="A38" s="6" t="n">
        <v>46248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46255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19" t="n"/>
    </row>
    <row r="41">
      <c r="A41" s="6" t="n">
        <v>46269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19" t="n"/>
    </row>
    <row r="42">
      <c r="A42" s="6" t="n">
        <v>46276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46283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46290</v>
      </c>
      <c r="B44" s="7" t="inlineStr">
        <is>
          <t>petak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46297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19" t="n"/>
    </row>
    <row r="46">
      <c r="A46" s="6" t="n">
        <v>46304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46311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19" t="n"/>
    </row>
    <row r="48">
      <c r="A48" s="6" t="n">
        <v>46318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46325</v>
      </c>
      <c r="B49" s="7" t="inlineStr">
        <is>
          <t>petak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19" t="n"/>
    </row>
    <row r="50">
      <c r="A50" s="6" t="n">
        <v>46332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19" t="n"/>
    </row>
    <row r="51">
      <c r="A51" s="6" t="n">
        <v>46339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19" t="n"/>
    </row>
    <row r="52">
      <c r="A52" s="6" t="n">
        <v>46346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19" t="n"/>
    </row>
    <row r="53">
      <c r="A53" s="6" t="n">
        <v>46353</v>
      </c>
      <c r="B53" s="7" t="inlineStr">
        <is>
          <t>petak</t>
        </is>
      </c>
      <c r="C53" s="7" t="inlineStr">
        <is>
          <t>studeni</t>
        </is>
      </c>
      <c r="D53" s="7" t="inlineStr">
        <is>
          <t>x</t>
        </is>
      </c>
      <c r="E53" s="7" t="n"/>
      <c r="F53" s="19" t="n"/>
    </row>
    <row r="54">
      <c r="A54" s="6" t="n">
        <v>46360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19" t="n"/>
    </row>
    <row r="55">
      <c r="A55" s="6" t="n">
        <v>46367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19" t="n"/>
    </row>
    <row r="56">
      <c r="A56" s="6" t="n">
        <v>46374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  <row r="57">
      <c r="A57" s="6" t="n">
        <v>46381</v>
      </c>
      <c r="B57" s="7" t="inlineStr">
        <is>
          <t>petak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19" t="n"/>
    </row>
  </sheetData>
  <autoFilter ref="A4:F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A5:F5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46031</v>
      </c>
      <c r="B3" s="13" t="inlineStr">
        <is>
          <t>petak</t>
        </is>
      </c>
      <c r="C3" s="5" t="inlineStr">
        <is>
          <t>Miješani komunalni otpad</t>
        </is>
      </c>
      <c r="D3" s="13" t="n"/>
    </row>
    <row r="4">
      <c r="A4" s="20" t="n">
        <v>46038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0" t="n">
        <v>46045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46052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0" t="n">
        <v>46059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0" t="n">
        <v>46066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46073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0" t="n">
        <v>46080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0" t="n">
        <v>46087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46094</v>
      </c>
      <c r="B13" s="13" t="inlineStr">
        <is>
          <t>petak</t>
        </is>
      </c>
      <c r="C13" s="5" t="inlineStr">
        <is>
          <t>Miješani komunalni otpad</t>
        </is>
      </c>
      <c r="D13" s="13" t="n"/>
    </row>
    <row r="14">
      <c r="A14" s="20" t="n">
        <v>46101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46108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0" t="n">
        <v>46115</v>
      </c>
      <c r="B16" s="13" t="inlineStr">
        <is>
          <t>petak</t>
        </is>
      </c>
      <c r="C16" s="5" t="inlineStr">
        <is>
          <t>Miješani komunalni otpad</t>
        </is>
      </c>
      <c r="D16" s="13" t="n"/>
    </row>
    <row r="17">
      <c r="A17" s="20" t="n">
        <v>46122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46129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0" t="n">
        <v>46136</v>
      </c>
      <c r="B19" s="13" t="inlineStr">
        <is>
          <t>petak</t>
        </is>
      </c>
      <c r="C19" s="5" t="inlineStr">
        <is>
          <t>Miješani komunalni otpad</t>
        </is>
      </c>
      <c r="D19" s="13" t="n"/>
    </row>
    <row r="20">
      <c r="A20" s="20" t="n">
        <v>46143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46150</v>
      </c>
      <c r="B21" s="13" t="inlineStr">
        <is>
          <t>petak</t>
        </is>
      </c>
      <c r="C21" s="5" t="inlineStr">
        <is>
          <t>Miješani komunalni otpad</t>
        </is>
      </c>
      <c r="D21" s="13" t="n"/>
    </row>
    <row r="22">
      <c r="A22" s="20" t="n">
        <v>46157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46164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46171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0" t="n">
        <v>46178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46185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46192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46199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46206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46213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46220</v>
      </c>
      <c r="B31" s="13" t="inlineStr">
        <is>
          <t>petak</t>
        </is>
      </c>
      <c r="C31" s="5" t="inlineStr">
        <is>
          <t>Miješani komunalni otpad</t>
        </is>
      </c>
      <c r="D31" s="13" t="n"/>
    </row>
    <row r="32">
      <c r="A32" s="20" t="n">
        <v>46227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46234</v>
      </c>
      <c r="B33" s="13" t="inlineStr">
        <is>
          <t>petak</t>
        </is>
      </c>
      <c r="C33" s="5" t="inlineStr">
        <is>
          <t>Miješani komunalni otpad</t>
        </is>
      </c>
      <c r="D33" s="13" t="n"/>
    </row>
    <row r="34">
      <c r="A34" s="20" t="n">
        <v>46241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0" t="n">
        <v>46248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46255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0" t="n">
        <v>46262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46269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46276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0" t="n">
        <v>46283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46290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46297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46304</v>
      </c>
      <c r="B43" s="13" t="inlineStr">
        <is>
          <t>petak</t>
        </is>
      </c>
      <c r="C43" s="5" t="inlineStr">
        <is>
          <t>Miješani komunalni otpad</t>
        </is>
      </c>
      <c r="D43" s="13" t="n"/>
    </row>
    <row r="44">
      <c r="A44" s="20" t="n">
        <v>46311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46318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0" t="n">
        <v>46325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46332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46339</v>
      </c>
      <c r="B48" s="13" t="inlineStr">
        <is>
          <t>petak</t>
        </is>
      </c>
      <c r="C48" s="5" t="inlineStr">
        <is>
          <t>Miješani komunalni otpad</t>
        </is>
      </c>
      <c r="D48" s="13" t="n"/>
    </row>
    <row r="49">
      <c r="A49" s="20" t="n">
        <v>46346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46353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0" t="n">
        <v>46360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46367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46374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46381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Čulišić</t>
        </is>
      </c>
    </row>
    <row r="6">
      <c r="A6" s="13" t="inlineStr">
        <is>
          <t>Laće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
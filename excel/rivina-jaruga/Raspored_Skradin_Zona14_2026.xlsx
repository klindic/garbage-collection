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'Raspored'!$A$4:$F$62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COUNTIFS(Raspored!$C$5:$C$62,$A11,Raspored!$D$5:$D$62,"x")</f>
        <v/>
      </c>
      <c r="C11" s="7">
        <f>COUNTIFS(Raspored!$C$5:$C$62,$A11,Raspored!$E$5:$E$62,"x")</f>
        <v/>
      </c>
    </row>
    <row r="12">
      <c r="A12" s="13" t="inlineStr">
        <is>
          <t>veljača</t>
        </is>
      </c>
      <c r="B12" s="7">
        <f>COUNTIFS(Raspored!$C$5:$C$62,$A12,Raspored!$D$5:$D$62,"x")</f>
        <v/>
      </c>
      <c r="C12" s="7">
        <f>COUNTIFS(Raspored!$C$5:$C$62,$A12,Raspored!$E$5:$E$62,"x")</f>
        <v/>
      </c>
    </row>
    <row r="13">
      <c r="A13" s="13" t="inlineStr">
        <is>
          <t>ožujak</t>
        </is>
      </c>
      <c r="B13" s="7">
        <f>COUNTIFS(Raspored!$C$5:$C$62,$A13,Raspored!$D$5:$D$62,"x")</f>
        <v/>
      </c>
      <c r="C13" s="7">
        <f>COUNTIFS(Raspored!$C$5:$C$62,$A13,Raspored!$E$5:$E$62,"x")</f>
        <v/>
      </c>
    </row>
    <row r="14">
      <c r="A14" s="13" t="inlineStr">
        <is>
          <t>travanj</t>
        </is>
      </c>
      <c r="B14" s="7">
        <f>COUNTIFS(Raspored!$C$5:$C$62,$A14,Raspored!$D$5:$D$62,"x")</f>
        <v/>
      </c>
      <c r="C14" s="7">
        <f>COUNTIFS(Raspored!$C$5:$C$62,$A14,Raspored!$E$5:$E$62,"x")</f>
        <v/>
      </c>
    </row>
    <row r="15">
      <c r="A15" s="13" t="inlineStr">
        <is>
          <t>svibanj</t>
        </is>
      </c>
      <c r="B15" s="7">
        <f>COUNTIFS(Raspored!$C$5:$C$62,$A15,Raspored!$D$5:$D$62,"x")</f>
        <v/>
      </c>
      <c r="C15" s="7">
        <f>COUNTIFS(Raspored!$C$5:$C$62,$A15,Raspored!$E$5:$E$62,"x")</f>
        <v/>
      </c>
    </row>
    <row r="16">
      <c r="A16" s="13" t="inlineStr">
        <is>
          <t>lipanj</t>
        </is>
      </c>
      <c r="B16" s="7">
        <f>COUNTIFS(Raspored!$C$5:$C$62,$A16,Raspored!$D$5:$D$62,"x")</f>
        <v/>
      </c>
      <c r="C16" s="7">
        <f>COUNTIFS(Raspored!$C$5:$C$62,$A16,Raspored!$E$5:$E$62,"x")</f>
        <v/>
      </c>
    </row>
    <row r="17">
      <c r="A17" s="13" t="inlineStr">
        <is>
          <t>srpanj</t>
        </is>
      </c>
      <c r="B17" s="7">
        <f>COUNTIFS(Raspored!$C$5:$C$62,$A17,Raspored!$D$5:$D$62,"x")</f>
        <v/>
      </c>
      <c r="C17" s="7">
        <f>COUNTIFS(Raspored!$C$5:$C$62,$A17,Raspored!$E$5:$E$62,"x")</f>
        <v/>
      </c>
    </row>
    <row r="18">
      <c r="A18" s="13" t="inlineStr">
        <is>
          <t>kolovoz</t>
        </is>
      </c>
      <c r="B18" s="7">
        <f>COUNTIFS(Raspored!$C$5:$C$62,$A18,Raspored!$D$5:$D$62,"x")</f>
        <v/>
      </c>
      <c r="C18" s="7">
        <f>COUNTIFS(Raspored!$C$5:$C$62,$A18,Raspored!$E$5:$E$62,"x")</f>
        <v/>
      </c>
    </row>
    <row r="19">
      <c r="A19" s="13" t="inlineStr">
        <is>
          <t>rujan</t>
        </is>
      </c>
      <c r="B19" s="7">
        <f>COUNTIFS(Raspored!$C$5:$C$62,$A19,Raspored!$D$5:$D$62,"x")</f>
        <v/>
      </c>
      <c r="C19" s="7">
        <f>COUNTIFS(Raspored!$C$5:$C$62,$A19,Raspored!$E$5:$E$62,"x")</f>
        <v/>
      </c>
    </row>
    <row r="20">
      <c r="A20" s="13" t="inlineStr">
        <is>
          <t>listopad</t>
        </is>
      </c>
      <c r="B20" s="7">
        <f>COUNTIFS(Raspored!$C$5:$C$62,$A20,Raspored!$D$5:$D$62,"x")</f>
        <v/>
      </c>
      <c r="C20" s="7">
        <f>COUNTIFS(Raspored!$C$5:$C$62,$A20,Raspored!$E$5:$E$62,"x")</f>
        <v/>
      </c>
    </row>
    <row r="21">
      <c r="A21" s="13" t="inlineStr">
        <is>
          <t>studeni</t>
        </is>
      </c>
      <c r="B21" s="7">
        <f>COUNTIFS(Raspored!$C$5:$C$62,$A21,Raspored!$D$5:$D$62,"x")</f>
        <v/>
      </c>
      <c r="C21" s="7">
        <f>COUNTIFS(Raspored!$C$5:$C$62,$A21,Raspored!$E$5:$E$62,"x")</f>
        <v/>
      </c>
    </row>
    <row r="22">
      <c r="A22" s="13" t="inlineStr">
        <is>
          <t>prosinac</t>
        </is>
      </c>
      <c r="B22" s="7">
        <f>COUNTIFS(Raspored!$C$5:$C$62,$A22,Raspored!$D$5:$D$62,"x")</f>
        <v/>
      </c>
      <c r="C22" s="7">
        <f>COUNTIFS(Raspored!$C$5:$C$62,$A22,Raspored!$E$5:$E$62,"x")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petkom, zimi (studeni–ožujak) petkom – prema starijoj tablici bez godine (2019.). Reciklabilni otpad prvi ponedjeljak u mjesecu (od 8. mjeseca).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14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46094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46108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46129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46143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46237</v>
      </c>
      <c r="B37" s="7" t="inlineStr">
        <is>
          <t>ponedjeljak</t>
        </is>
      </c>
      <c r="C37" s="7" t="inlineStr">
        <is>
          <t>kolovoz</t>
        </is>
      </c>
      <c r="D37" s="7" t="n"/>
      <c r="E37" s="7" t="inlineStr">
        <is>
          <t>x</t>
        </is>
      </c>
      <c r="F37" s="19" t="n"/>
    </row>
    <row r="38">
      <c r="A38" s="6" t="n">
        <v>46241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46248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46262</v>
      </c>
      <c r="B41" s="7" t="inlineStr">
        <is>
          <t>petak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46269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46272</v>
      </c>
      <c r="B43" s="7" t="inlineStr">
        <is>
          <t>ponedjeljak</t>
        </is>
      </c>
      <c r="C43" s="7" t="inlineStr">
        <is>
          <t>rujan</t>
        </is>
      </c>
      <c r="D43" s="7" t="n"/>
      <c r="E43" s="7" t="inlineStr">
        <is>
          <t>x</t>
        </is>
      </c>
      <c r="F43" s="19" t="n"/>
    </row>
    <row r="44">
      <c r="A44" s="6" t="n">
        <v>46276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46283</v>
      </c>
      <c r="B45" s="7" t="inlineStr">
        <is>
          <t>petak</t>
        </is>
      </c>
      <c r="C45" s="7" t="inlineStr">
        <is>
          <t>rujan</t>
        </is>
      </c>
      <c r="D45" s="7" t="inlineStr">
        <is>
          <t>x</t>
        </is>
      </c>
      <c r="E45" s="7" t="n"/>
      <c r="F45" s="19" t="n"/>
    </row>
    <row r="46">
      <c r="A46" s="6" t="n">
        <v>46290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n"/>
      <c r="F46" s="19" t="n"/>
    </row>
    <row r="47">
      <c r="A47" s="6" t="n">
        <v>46297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46300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19" t="n"/>
    </row>
    <row r="49">
      <c r="A49" s="6" t="n">
        <v>46304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46311</v>
      </c>
      <c r="B50" s="7" t="inlineStr">
        <is>
          <t>petak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19" t="n"/>
    </row>
    <row r="51">
      <c r="A51" s="6" t="n">
        <v>46318</v>
      </c>
      <c r="B51" s="7" t="inlineStr">
        <is>
          <t>petak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19" t="n"/>
    </row>
    <row r="52">
      <c r="A52" s="6" t="n">
        <v>46325</v>
      </c>
      <c r="B52" s="7" t="inlineStr">
        <is>
          <t>petak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19" t="n"/>
    </row>
    <row r="53">
      <c r="A53" s="6" t="n">
        <v>46328</v>
      </c>
      <c r="B53" s="7" t="inlineStr">
        <is>
          <t>ponedjeljak</t>
        </is>
      </c>
      <c r="C53" s="7" t="inlineStr">
        <is>
          <t>studeni</t>
        </is>
      </c>
      <c r="D53" s="7" t="n"/>
      <c r="E53" s="7" t="inlineStr">
        <is>
          <t>x</t>
        </is>
      </c>
      <c r="F53" s="19" t="n"/>
    </row>
    <row r="54">
      <c r="A54" s="6" t="n">
        <v>46332</v>
      </c>
      <c r="B54" s="7" t="inlineStr">
        <is>
          <t>petak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19" t="n"/>
    </row>
    <row r="55">
      <c r="A55" s="6" t="n">
        <v>46339</v>
      </c>
      <c r="B55" s="7" t="inlineStr">
        <is>
          <t>petak</t>
        </is>
      </c>
      <c r="C55" s="7" t="inlineStr">
        <is>
          <t>studeni</t>
        </is>
      </c>
      <c r="D55" s="7" t="inlineStr">
        <is>
          <t>x</t>
        </is>
      </c>
      <c r="E55" s="7" t="n"/>
      <c r="F55" s="19" t="n"/>
    </row>
    <row r="56">
      <c r="A56" s="6" t="n">
        <v>46346</v>
      </c>
      <c r="B56" s="7" t="inlineStr">
        <is>
          <t>petak</t>
        </is>
      </c>
      <c r="C56" s="7" t="inlineStr">
        <is>
          <t>studeni</t>
        </is>
      </c>
      <c r="D56" s="7" t="inlineStr">
        <is>
          <t>x</t>
        </is>
      </c>
      <c r="E56" s="7" t="n"/>
      <c r="F56" s="19" t="n"/>
    </row>
    <row r="57">
      <c r="A57" s="6" t="n">
        <v>46353</v>
      </c>
      <c r="B57" s="7" t="inlineStr">
        <is>
          <t>petak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19" t="n"/>
    </row>
    <row r="58">
      <c r="A58" s="6" t="n">
        <v>46360</v>
      </c>
      <c r="B58" s="7" t="inlineStr">
        <is>
          <t>petak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19" t="n"/>
    </row>
    <row r="59">
      <c r="A59" s="6" t="n">
        <v>46363</v>
      </c>
      <c r="B59" s="7" t="inlineStr">
        <is>
          <t>ponedjeljak</t>
        </is>
      </c>
      <c r="C59" s="7" t="inlineStr">
        <is>
          <t>prosinac</t>
        </is>
      </c>
      <c r="D59" s="7" t="n"/>
      <c r="E59" s="7" t="inlineStr">
        <is>
          <t>x</t>
        </is>
      </c>
      <c r="F59" s="19" t="n"/>
    </row>
    <row r="60">
      <c r="A60" s="6" t="n">
        <v>46367</v>
      </c>
      <c r="B60" s="7" t="inlineStr">
        <is>
          <t>petak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19" t="n"/>
    </row>
    <row r="61">
      <c r="A61" s="6" t="n">
        <v>46374</v>
      </c>
      <c r="B61" s="7" t="inlineStr">
        <is>
          <t>petak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19" t="n"/>
    </row>
    <row r="62">
      <c r="A62" s="6" t="n">
        <v>46381</v>
      </c>
      <c r="B62" s="7" t="inlineStr">
        <is>
          <t>petak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19" t="n"/>
    </row>
  </sheetData>
  <autoFilter ref="A4:F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A5:F62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0" t="n">
        <v>46038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46045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46052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46059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46066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46073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46080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46087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46094</v>
      </c>
      <c r="B13" s="13" t="inlineStr">
        <is>
          <t>petak</t>
        </is>
      </c>
      <c r="C13" s="5" t="inlineStr">
        <is>
          <t>Miješani komunalni otpad</t>
        </is>
      </c>
      <c r="D13" s="13" t="n"/>
    </row>
    <row r="14">
      <c r="A14" s="20" t="n">
        <v>46101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46108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46115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0" t="n">
        <v>46122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46129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46136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0" t="n">
        <v>46143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46150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0" t="n">
        <v>46157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46164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46171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46178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46185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46192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46199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46206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46213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46220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0" t="n">
        <v>46227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46234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46237</v>
      </c>
      <c r="B34" s="13" t="inlineStr">
        <is>
          <t>ponedjeljak</t>
        </is>
      </c>
      <c r="C34" s="9" t="inlineStr">
        <is>
          <t>Reciklabilni (korisni) otpad – zelene i plave vrećice</t>
        </is>
      </c>
      <c r="D34" s="13" t="n"/>
    </row>
    <row r="35">
      <c r="A35" s="20" t="n">
        <v>46241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46248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46255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46262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46269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46272</v>
      </c>
      <c r="B40" s="13" t="inlineStr">
        <is>
          <t>ponedjeljak</t>
        </is>
      </c>
      <c r="C40" s="9" t="inlineStr">
        <is>
          <t>Reciklabilni (korisni) otpad – zelene i plave vrećice</t>
        </is>
      </c>
      <c r="D40" s="13" t="n"/>
    </row>
    <row r="41">
      <c r="A41" s="20" t="n">
        <v>46276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46283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46290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0" t="n">
        <v>46297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46300</v>
      </c>
      <c r="B45" s="13" t="inlineStr">
        <is>
          <t>ponedjeljak</t>
        </is>
      </c>
      <c r="C45" s="9" t="inlineStr">
        <is>
          <t>Reciklabilni (korisni) otpad – zelene i plave vrećice</t>
        </is>
      </c>
      <c r="D45" s="13" t="n"/>
    </row>
    <row r="46">
      <c r="A46" s="20" t="n">
        <v>46304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46311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46318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0" t="n">
        <v>46325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46328</v>
      </c>
      <c r="B50" s="13" t="inlineStr">
        <is>
          <t>ponedjeljak</t>
        </is>
      </c>
      <c r="C50" s="9" t="inlineStr">
        <is>
          <t>Reciklabilni (korisni) otpad – zelene i plave vrećice</t>
        </is>
      </c>
      <c r="D50" s="13" t="n"/>
    </row>
    <row r="51">
      <c r="A51" s="20" t="n">
        <v>46332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46339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46346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46353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46360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0" t="n">
        <v>46363</v>
      </c>
      <c r="B56" s="13" t="inlineStr">
        <is>
          <t>ponedjeljak</t>
        </is>
      </c>
      <c r="C56" s="9" t="inlineStr">
        <is>
          <t>Reciklabilni (korisni) otpad – zelene i plave vrećice</t>
        </is>
      </c>
      <c r="D56" s="13" t="n"/>
    </row>
    <row r="57">
      <c r="A57" s="20" t="n">
        <v>46367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46374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0" t="n">
        <v>46381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Velika Glava</t>
        </is>
      </c>
    </row>
    <row r="6">
      <c r="A6" s="13" t="inlineStr">
        <is>
          <t>Pamučari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
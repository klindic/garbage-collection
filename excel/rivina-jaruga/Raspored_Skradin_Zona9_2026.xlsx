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'Raspored'!$A$4:$F$58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COUNTIFS(Raspored!$C$5:$C$58,$A11,Raspored!$D$5:$D$58,"x")</f>
        <v/>
      </c>
      <c r="C11" s="7">
        <f>COUNTIFS(Raspored!$C$5:$C$58,$A11,Raspored!$E$5:$E$58,"x")</f>
        <v/>
      </c>
    </row>
    <row r="12">
      <c r="A12" s="13" t="inlineStr">
        <is>
          <t>veljača</t>
        </is>
      </c>
      <c r="B12" s="7">
        <f>COUNTIFS(Raspored!$C$5:$C$58,$A12,Raspored!$D$5:$D$58,"x")</f>
        <v/>
      </c>
      <c r="C12" s="7">
        <f>COUNTIFS(Raspored!$C$5:$C$58,$A12,Raspored!$E$5:$E$58,"x")</f>
        <v/>
      </c>
    </row>
    <row r="13">
      <c r="A13" s="13" t="inlineStr">
        <is>
          <t>ožujak</t>
        </is>
      </c>
      <c r="B13" s="7">
        <f>COUNTIFS(Raspored!$C$5:$C$58,$A13,Raspored!$D$5:$D$58,"x")</f>
        <v/>
      </c>
      <c r="C13" s="7">
        <f>COUNTIFS(Raspored!$C$5:$C$58,$A13,Raspored!$E$5:$E$58,"x")</f>
        <v/>
      </c>
    </row>
    <row r="14">
      <c r="A14" s="13" t="inlineStr">
        <is>
          <t>travanj</t>
        </is>
      </c>
      <c r="B14" s="7">
        <f>COUNTIFS(Raspored!$C$5:$C$58,$A14,Raspored!$D$5:$D$58,"x")</f>
        <v/>
      </c>
      <c r="C14" s="7">
        <f>COUNTIFS(Raspored!$C$5:$C$58,$A14,Raspored!$E$5:$E$58,"x")</f>
        <v/>
      </c>
    </row>
    <row r="15">
      <c r="A15" s="13" t="inlineStr">
        <is>
          <t>svibanj</t>
        </is>
      </c>
      <c r="B15" s="7">
        <f>COUNTIFS(Raspored!$C$5:$C$58,$A15,Raspored!$D$5:$D$58,"x")</f>
        <v/>
      </c>
      <c r="C15" s="7">
        <f>COUNTIFS(Raspored!$C$5:$C$58,$A15,Raspored!$E$5:$E$58,"x")</f>
        <v/>
      </c>
    </row>
    <row r="16">
      <c r="A16" s="13" t="inlineStr">
        <is>
          <t>lipanj</t>
        </is>
      </c>
      <c r="B16" s="7">
        <f>COUNTIFS(Raspored!$C$5:$C$58,$A16,Raspored!$D$5:$D$58,"x")</f>
        <v/>
      </c>
      <c r="C16" s="7">
        <f>COUNTIFS(Raspored!$C$5:$C$58,$A16,Raspored!$E$5:$E$58,"x")</f>
        <v/>
      </c>
    </row>
    <row r="17">
      <c r="A17" s="13" t="inlineStr">
        <is>
          <t>srpanj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</row>
    <row r="18">
      <c r="A18" s="13" t="inlineStr">
        <is>
          <t>kolovoz</t>
        </is>
      </c>
      <c r="B18" s="7">
        <f>COUNTIFS(Raspored!$C$5:$C$58,$A18,Raspored!$D$5:$D$58,"x")</f>
        <v/>
      </c>
      <c r="C18" s="7">
        <f>COUNTIFS(Raspored!$C$5:$C$58,$A18,Raspored!$E$5:$E$58,"x")</f>
        <v/>
      </c>
    </row>
    <row r="19">
      <c r="A19" s="13" t="inlineStr">
        <is>
          <t>rujan</t>
        </is>
      </c>
      <c r="B19" s="7">
        <f>COUNTIFS(Raspored!$C$5:$C$58,$A19,Raspored!$D$5:$D$58,"x")</f>
        <v/>
      </c>
      <c r="C19" s="7">
        <f>COUNTIFS(Raspored!$C$5:$C$58,$A19,Raspored!$E$5:$E$58,"x")</f>
        <v/>
      </c>
    </row>
    <row r="20">
      <c r="A20" s="13" t="inlineStr">
        <is>
          <t>listopad</t>
        </is>
      </c>
      <c r="B20" s="7">
        <f>COUNTIFS(Raspored!$C$5:$C$58,$A20,Raspored!$D$5:$D$58,"x")</f>
        <v/>
      </c>
      <c r="C20" s="7">
        <f>COUNTIFS(Raspored!$C$5:$C$58,$A20,Raspored!$E$5:$E$58,"x")</f>
        <v/>
      </c>
    </row>
    <row r="21">
      <c r="A21" s="13" t="inlineStr">
        <is>
          <t>studeni</t>
        </is>
      </c>
      <c r="B21" s="7">
        <f>COUNTIFS(Raspored!$C$5:$C$58,$A21,Raspored!$D$5:$D$58,"x")</f>
        <v/>
      </c>
      <c r="C21" s="7">
        <f>COUNTIFS(Raspored!$C$5:$C$58,$A21,Raspored!$E$5:$E$58,"x")</f>
        <v/>
      </c>
    </row>
    <row r="22">
      <c r="A22" s="13" t="inlineStr">
        <is>
          <t>prosinac</t>
        </is>
      </c>
      <c r="B22" s="7">
        <f>COUNTIFS(Raspored!$C$5:$C$58,$A22,Raspored!$D$5:$D$58,"x")</f>
        <v/>
      </c>
      <c r="C22" s="7">
        <f>COUNTIFS(Raspored!$C$5:$C$58,$A22,Raspored!$E$5:$E$58,"x")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četvrtkom, zimi (studeni–ožujak) četvrtkom – prema starijoj tablici bez godine (2019.). Reciklabilni otpad prvi četvrtak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46114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46135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46177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46268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46275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46282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46289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46296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46303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46310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46317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46324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46338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46345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46366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46380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  <row r="58">
      <c r="A58" s="6" t="n">
        <v>46387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</sheetData>
  <autoFilter ref="A4:F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A5:F5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46044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46051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46058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46065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46072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46079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46093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46100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46107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46114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0" t="n">
        <v>46121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46128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46135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0" t="n">
        <v>46142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46149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46156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46163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46170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46177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46184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46191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46198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0" t="n">
        <v>46205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46212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46219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46226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46233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46240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46240</v>
      </c>
      <c r="B35" s="13" t="inlineStr">
        <is>
          <t>četvrtak</t>
        </is>
      </c>
      <c r="C35" s="9" t="inlineStr">
        <is>
          <t>Reciklabilni (korisni) otpad – zelene i plave vrećice</t>
        </is>
      </c>
      <c r="D35" s="13" t="n"/>
    </row>
    <row r="36">
      <c r="A36" s="20" t="n">
        <v>46247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46254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46261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46268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46268</v>
      </c>
      <c r="B40" s="13" t="inlineStr">
        <is>
          <t>četvrtak</t>
        </is>
      </c>
      <c r="C40" s="9" t="inlineStr">
        <is>
          <t>Reciklabilni (korisni) otpad – zelene i plave vrećice</t>
        </is>
      </c>
      <c r="D40" s="13" t="n"/>
    </row>
    <row r="41">
      <c r="A41" s="20" t="n">
        <v>46275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46282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46289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46296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46296</v>
      </c>
      <c r="B45" s="13" t="inlineStr">
        <is>
          <t>četvrtak</t>
        </is>
      </c>
      <c r="C45" s="9" t="inlineStr">
        <is>
          <t>Reciklabilni (korisni) otpad – zelene i plave vrećice</t>
        </is>
      </c>
      <c r="D45" s="13" t="n"/>
    </row>
    <row r="46">
      <c r="A46" s="20" t="n">
        <v>46303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46310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46317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46324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0" t="n">
        <v>46331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46331</v>
      </c>
      <c r="B51" s="13" t="inlineStr">
        <is>
          <t>četvrtak</t>
        </is>
      </c>
      <c r="C51" s="9" t="inlineStr">
        <is>
          <t>Reciklabilni (korisni) otpad – zelene i plave vrećice</t>
        </is>
      </c>
      <c r="D51" s="13" t="n"/>
    </row>
    <row r="52">
      <c r="A52" s="20" t="n">
        <v>46338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46345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46352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46359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46359</v>
      </c>
      <c r="B56" s="13" t="inlineStr">
        <is>
          <t>četvrtak</t>
        </is>
      </c>
      <c r="C56" s="9" t="inlineStr">
        <is>
          <t>Reciklabilni (korisni) otpad – zelene i plave vrećice</t>
        </is>
      </c>
      <c r="D56" s="13" t="n"/>
    </row>
    <row r="57">
      <c r="A57" s="20" t="n">
        <v>46366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46373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46380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46387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Bićine</t>
        </is>
      </c>
    </row>
    <row r="6">
      <c r="A6" s="13" t="inlineStr">
        <is>
          <t>Skorići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
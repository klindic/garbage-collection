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'Raspored'!$A$4:$G$91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Kostrena-A,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IFERROR(1/(1/_xlfn.MINIFS(Raspored!$A$5:$A$91,Raspored!$D$5:$D$91,"x",Raspored!$A$5:$A$91,"&gt;="&amp;$B$3)),"nema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COUNTIF(Raspored!$D$5:$D$91,"x")</f>
        <v/>
      </c>
    </row>
    <row r="7">
      <c r="A7" s="9" t="inlineStr">
        <is>
          <t>Plastična, metalna i višeslojna ambalaža</t>
        </is>
      </c>
      <c r="B7" s="6">
        <f>IFERROR(1/(1/_xlfn.MINIFS(Raspored!$A$5:$A$91,Raspored!$E$5:$E$91,"x",Raspored!$A$5:$A$91,"&gt;="&amp;$B$3)),"nema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COUNTIF(Raspored!$E$5:$E$91,"x")</f>
        <v/>
      </c>
    </row>
    <row r="8">
      <c r="A8" s="10" t="inlineStr">
        <is>
          <t>Papir i karton</t>
        </is>
      </c>
      <c r="B8" s="6">
        <f>IFERROR(1/(1/_xlfn.MINIFS(Raspored!$A$5:$A$91,Raspored!$F$5:$F$91,"x",Raspored!$A$5:$A$91,"&gt;="&amp;$B$3)),"nema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COUNTIFS(Raspored!$C$5:$C$91,$A12,Raspored!$D$5:$D$91,"x")</f>
        <v/>
      </c>
      <c r="C12" s="7">
        <f>COUNTIFS(Raspored!$C$5:$C$91,$A12,Raspored!$E$5:$E$91,"x")</f>
        <v/>
      </c>
      <c r="D12" s="7">
        <f>COUNTIFS(Raspored!$C$5:$C$91,$A12,Raspored!$F$5:$F$91,"x")</f>
        <v/>
      </c>
    </row>
    <row r="13">
      <c r="A13" s="15" t="inlineStr">
        <is>
          <t>veljača</t>
        </is>
      </c>
      <c r="B13" s="7">
        <f>COUNTIFS(Raspored!$C$5:$C$91,$A13,Raspored!$D$5:$D$91,"x")</f>
        <v/>
      </c>
      <c r="C13" s="7">
        <f>COUNTIFS(Raspored!$C$5:$C$91,$A13,Raspored!$E$5:$E$91,"x")</f>
        <v/>
      </c>
      <c r="D13" s="7">
        <f>COUNTIFS(Raspored!$C$5:$C$91,$A13,Raspored!$F$5:$F$91,"x")</f>
        <v/>
      </c>
    </row>
    <row r="14">
      <c r="A14" s="15" t="inlineStr">
        <is>
          <t>ožujak</t>
        </is>
      </c>
      <c r="B14" s="7">
        <f>COUNTIFS(Raspored!$C$5:$C$91,$A14,Raspored!$D$5:$D$91,"x")</f>
        <v/>
      </c>
      <c r="C14" s="7">
        <f>COUNTIFS(Raspored!$C$5:$C$91,$A14,Raspored!$E$5:$E$91,"x")</f>
        <v/>
      </c>
      <c r="D14" s="7">
        <f>COUNTIFS(Raspored!$C$5:$C$91,$A14,Raspored!$F$5:$F$91,"x")</f>
        <v/>
      </c>
    </row>
    <row r="15">
      <c r="A15" s="15" t="inlineStr">
        <is>
          <t>travanj</t>
        </is>
      </c>
      <c r="B15" s="7">
        <f>COUNTIFS(Raspored!$C$5:$C$91,$A15,Raspored!$D$5:$D$91,"x")</f>
        <v/>
      </c>
      <c r="C15" s="7">
        <f>COUNTIFS(Raspored!$C$5:$C$91,$A15,Raspored!$E$5:$E$91,"x")</f>
        <v/>
      </c>
      <c r="D15" s="7">
        <f>COUNTIFS(Raspored!$C$5:$C$91,$A15,Raspored!$F$5:$F$91,"x")</f>
        <v/>
      </c>
    </row>
    <row r="16">
      <c r="A16" s="15" t="inlineStr">
        <is>
          <t>svibanj</t>
        </is>
      </c>
      <c r="B16" s="7">
        <f>COUNTIFS(Raspored!$C$5:$C$91,$A16,Raspored!$D$5:$D$91,"x")</f>
        <v/>
      </c>
      <c r="C16" s="7">
        <f>COUNTIFS(Raspored!$C$5:$C$91,$A16,Raspored!$E$5:$E$91,"x")</f>
        <v/>
      </c>
      <c r="D16" s="7">
        <f>COUNTIFS(Raspored!$C$5:$C$91,$A16,Raspored!$F$5:$F$91,"x")</f>
        <v/>
      </c>
    </row>
    <row r="17">
      <c r="A17" s="15" t="inlineStr">
        <is>
          <t>lipanj</t>
        </is>
      </c>
      <c r="B17" s="7">
        <f>COUNTIFS(Raspored!$C$5:$C$91,$A17,Raspored!$D$5:$D$91,"x")</f>
        <v/>
      </c>
      <c r="C17" s="7">
        <f>COUNTIFS(Raspored!$C$5:$C$91,$A17,Raspored!$E$5:$E$91,"x")</f>
        <v/>
      </c>
      <c r="D17" s="7">
        <f>COUNTIFS(Raspored!$C$5:$C$91,$A17,Raspored!$F$5:$F$91,"x")</f>
        <v/>
      </c>
    </row>
    <row r="18">
      <c r="A18" s="15" t="inlineStr">
        <is>
          <t>srpanj</t>
        </is>
      </c>
      <c r="B18" s="7">
        <f>COUNTIFS(Raspored!$C$5:$C$91,$A18,Raspored!$D$5:$D$91,"x")</f>
        <v/>
      </c>
      <c r="C18" s="7">
        <f>COUNTIFS(Raspored!$C$5:$C$91,$A18,Raspored!$E$5:$E$91,"x")</f>
        <v/>
      </c>
      <c r="D18" s="7">
        <f>COUNTIFS(Raspored!$C$5:$C$91,$A18,Raspored!$F$5:$F$91,"x")</f>
        <v/>
      </c>
    </row>
    <row r="19">
      <c r="A19" s="15" t="inlineStr">
        <is>
          <t>kolovoz</t>
        </is>
      </c>
      <c r="B19" s="7">
        <f>COUNTIFS(Raspored!$C$5:$C$91,$A19,Raspored!$D$5:$D$91,"x")</f>
        <v/>
      </c>
      <c r="C19" s="7">
        <f>COUNTIFS(Raspored!$C$5:$C$91,$A19,Raspored!$E$5:$E$91,"x")</f>
        <v/>
      </c>
      <c r="D19" s="7">
        <f>COUNTIFS(Raspored!$C$5:$C$91,$A19,Raspored!$F$5:$F$91,"x")</f>
        <v/>
      </c>
    </row>
    <row r="20">
      <c r="A20" s="15" t="inlineStr">
        <is>
          <t>rujan</t>
        </is>
      </c>
      <c r="B20" s="7">
        <f>COUNTIFS(Raspored!$C$5:$C$91,$A20,Raspored!$D$5:$D$91,"x")</f>
        <v/>
      </c>
      <c r="C20" s="7">
        <f>COUNTIFS(Raspored!$C$5:$C$91,$A20,Raspored!$E$5:$E$91,"x")</f>
        <v/>
      </c>
      <c r="D20" s="7">
        <f>COUNTIFS(Raspored!$C$5:$C$91,$A20,Raspored!$F$5:$F$91,"x")</f>
        <v/>
      </c>
    </row>
    <row r="21">
      <c r="A21" s="15" t="inlineStr">
        <is>
          <t>listopad</t>
        </is>
      </c>
      <c r="B21" s="7">
        <f>COUNTIFS(Raspored!$C$5:$C$91,$A21,Raspored!$D$5:$D$91,"x")</f>
        <v/>
      </c>
      <c r="C21" s="7">
        <f>COUNTIFS(Raspored!$C$5:$C$91,$A21,Raspored!$E$5:$E$91,"x")</f>
        <v/>
      </c>
      <c r="D21" s="7">
        <f>COUNTIFS(Raspored!$C$5:$C$91,$A21,Raspored!$F$5:$F$91,"x")</f>
        <v/>
      </c>
    </row>
    <row r="22">
      <c r="A22" s="15" t="inlineStr">
        <is>
          <t>studeni</t>
        </is>
      </c>
      <c r="B22" s="7">
        <f>COUNTIFS(Raspored!$C$5:$C$91,$A22,Raspored!$D$5:$D$91,"x")</f>
        <v/>
      </c>
      <c r="C22" s="7">
        <f>COUNTIFS(Raspored!$C$5:$C$91,$A22,Raspored!$E$5:$E$91,"x")</f>
        <v/>
      </c>
      <c r="D22" s="7">
        <f>COUNTIFS(Raspored!$C$5:$C$91,$A22,Raspored!$F$5:$F$91,"x")</f>
        <v/>
      </c>
    </row>
    <row r="23">
      <c r="A23" s="15" t="inlineStr">
        <is>
          <t>prosinac</t>
        </is>
      </c>
      <c r="B23" s="7">
        <f>COUNTIFS(Raspored!$C$5:$C$91,$A23,Raspored!$D$5:$D$91,"x")</f>
        <v/>
      </c>
      <c r="C23" s="7">
        <f>COUNTIFS(Raspored!$C$5:$C$91,$A23,Raspored!$E$5:$E$91,"x")</f>
        <v/>
      </c>
      <c r="D23" s="7">
        <f>COUNTIFS(Raspored!$C$5:$C$91,$A23,Raspored!$F$5:$F$91,"x")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Kostrena-A (Kostrena)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46098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46100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46105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46112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46114</v>
      </c>
      <c r="B26" s="7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46119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46128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46140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46147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46149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46154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46155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46161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46163</v>
      </c>
      <c r="B38" s="7" t="inlineStr">
        <is>
          <t>četvrtak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46168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46175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46177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46182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46189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46191</v>
      </c>
      <c r="B45" s="7" t="inlineStr">
        <is>
          <t>četvrtak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46196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46203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46205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46210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46211</v>
      </c>
      <c r="B50" s="7" t="inlineStr">
        <is>
          <t>srijeda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46217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46219</v>
      </c>
      <c r="B52" s="7" t="inlineStr">
        <is>
          <t>četvrtak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46224</v>
      </c>
      <c r="B53" s="7" t="inlineStr">
        <is>
          <t>utorak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46238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46240</v>
      </c>
      <c r="B56" s="7" t="inlineStr">
        <is>
          <t>četvrtak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46245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46252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46254</v>
      </c>
      <c r="B60" s="7" t="inlineStr">
        <is>
          <t>četvrtak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46266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46268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46273</v>
      </c>
      <c r="B64" s="7" t="inlineStr">
        <is>
          <t>utorak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46280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46282</v>
      </c>
      <c r="B67" s="7" t="inlineStr">
        <is>
          <t>četvrtak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46287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46294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46296</v>
      </c>
      <c r="B70" s="7" t="inlineStr">
        <is>
          <t>četvrtak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46308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46309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46310</v>
      </c>
      <c r="B74" s="7" t="inlineStr">
        <is>
          <t>četvrtak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46315</v>
      </c>
      <c r="B75" s="7" t="inlineStr">
        <is>
          <t>utorak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46322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46329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46336</v>
      </c>
      <c r="B79" s="7" t="inlineStr">
        <is>
          <t>utorak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46343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46357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46359</v>
      </c>
      <c r="B85" s="7" t="inlineStr">
        <is>
          <t>četvrtak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46364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46371</v>
      </c>
      <c r="B88" s="7" t="inlineStr">
        <is>
          <t>utorak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46373</v>
      </c>
      <c r="B89" s="7" t="inlineStr">
        <is>
          <t>četvrtak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46378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46385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</sheetData>
  <autoFilter ref="A4:G91"/>
  <conditionalFormatting sqref="D5:D91">
    <cfRule type="expression" priority="1" dxfId="0">
      <formula>D5="x"</formula>
    </cfRule>
  </conditionalFormatting>
  <conditionalFormatting sqref="E5:E91">
    <cfRule type="expression" priority="2" dxfId="1">
      <formula>E5="x"</formula>
    </cfRule>
  </conditionalFormatting>
  <conditionalFormatting sqref="F5:F91">
    <cfRule type="expression" priority="3" dxfId="2">
      <formula>F5="x"</formula>
    </cfRule>
  </conditionalFormatting>
  <conditionalFormatting sqref="A5:G9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9" t="inlineStr">
        <is>
          <t>Plastična, metalna i višeslojna ambalaža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2" t="n">
        <v>46058</v>
      </c>
      <c r="B9" s="15" t="inlineStr">
        <is>
          <t>četvrtak</t>
        </is>
      </c>
      <c r="C9" s="9" t="inlineStr">
        <is>
          <t>Plastična, metalna i višeslojna ambalaža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2" t="n">
        <v>46072</v>
      </c>
      <c r="B13" s="15" t="inlineStr">
        <is>
          <t>četvrtak</t>
        </is>
      </c>
      <c r="C13" s="9" t="inlineStr">
        <is>
          <t>Plastična, metalna i višeslojna ambalaža</t>
        </is>
      </c>
      <c r="D13" s="15" t="n"/>
    </row>
    <row r="14">
      <c r="A14" s="22" t="n">
        <v>46077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46084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2" t="n">
        <v>46086</v>
      </c>
      <c r="B16" s="15" t="inlineStr">
        <is>
          <t>četvrtak</t>
        </is>
      </c>
      <c r="C16" s="9" t="inlineStr">
        <is>
          <t>Plastična, metalna i višeslojna ambalaža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 (zeleni spremnik)</t>
        </is>
      </c>
      <c r="D17" s="15" t="n"/>
    </row>
    <row r="18">
      <c r="A18" s="22" t="n">
        <v>46092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 (zeleni spremnik)</t>
        </is>
      </c>
      <c r="D19" s="15" t="n"/>
    </row>
    <row r="20">
      <c r="A20" s="22" t="n">
        <v>46100</v>
      </c>
      <c r="B20" s="15" t="inlineStr">
        <is>
          <t>četvrtak</t>
        </is>
      </c>
      <c r="C20" s="9" t="inlineStr">
        <is>
          <t>Plastična, metalna i višeslojna ambalaža</t>
        </is>
      </c>
      <c r="D20" s="15" t="n"/>
    </row>
    <row r="21">
      <c r="A21" s="22" t="n">
        <v>46105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2" t="n">
        <v>46112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2" t="n">
        <v>46114</v>
      </c>
      <c r="B23" s="15" t="inlineStr">
        <is>
          <t>četvrtak</t>
        </is>
      </c>
      <c r="C23" s="9" t="inlineStr">
        <is>
          <t>Plastična, metalna i višeslojna ambalaža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46120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2" t="n">
        <v>46128</v>
      </c>
      <c r="B27" s="15" t="inlineStr">
        <is>
          <t>četvrtak</t>
        </is>
      </c>
      <c r="C27" s="9" t="inlineStr">
        <is>
          <t>Plastična, metalna i višeslojna ambalaža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2" t="n">
        <v>46140</v>
      </c>
      <c r="B29" s="15" t="inlineStr">
        <is>
          <t>utorak</t>
        </is>
      </c>
      <c r="C29" s="5" t="inlineStr">
        <is>
          <t>Miješani komunalni otpad (zeleni spremnik)</t>
        </is>
      </c>
      <c r="D29" s="15" t="n"/>
    </row>
    <row r="30">
      <c r="A30" s="22" t="n">
        <v>46147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2" t="n">
        <v>46149</v>
      </c>
      <c r="B31" s="15" t="inlineStr">
        <is>
          <t>četvrtak</t>
        </is>
      </c>
      <c r="C31" s="9" t="inlineStr">
        <is>
          <t>Plastična, metalna i višeslojna ambalaža</t>
        </is>
      </c>
      <c r="D31" s="15" t="n"/>
    </row>
    <row r="32">
      <c r="A32" s="22" t="n">
        <v>46154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2" t="n">
        <v>46155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2" t="n">
        <v>46161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2" t="n">
        <v>46163</v>
      </c>
      <c r="B35" s="15" t="inlineStr">
        <is>
          <t>četvrtak</t>
        </is>
      </c>
      <c r="C35" s="9" t="inlineStr">
        <is>
          <t>Plastična, metalna i višeslojna ambalaža</t>
        </is>
      </c>
      <c r="D35" s="15" t="n"/>
    </row>
    <row r="36">
      <c r="A36" s="22" t="n">
        <v>46168</v>
      </c>
      <c r="B36" s="15" t="inlineStr">
        <is>
          <t>utorak</t>
        </is>
      </c>
      <c r="C36" s="5" t="inlineStr">
        <is>
          <t>Miješani komunalni otpad (zeleni spremnik)</t>
        </is>
      </c>
      <c r="D36" s="15" t="n"/>
    </row>
    <row r="37">
      <c r="A37" s="22" t="n">
        <v>46175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2" t="n">
        <v>46177</v>
      </c>
      <c r="B38" s="15" t="inlineStr">
        <is>
          <t>četvrtak</t>
        </is>
      </c>
      <c r="C38" s="9" t="inlineStr">
        <is>
          <t>Plastična, metalna i višeslojna ambalaža</t>
        </is>
      </c>
      <c r="D38" s="15" t="n"/>
    </row>
    <row r="39">
      <c r="A39" s="22" t="n">
        <v>46182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2" t="n">
        <v>46183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2" t="n">
        <v>46191</v>
      </c>
      <c r="B42" s="15" t="inlineStr">
        <is>
          <t>četvrtak</t>
        </is>
      </c>
      <c r="C42" s="9" t="inlineStr">
        <is>
          <t>Plastična, metalna i višeslojna ambalaža</t>
        </is>
      </c>
      <c r="D42" s="15" t="n"/>
    </row>
    <row r="43">
      <c r="A43" s="22" t="n">
        <v>46196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2" t="n">
        <v>46203</v>
      </c>
      <c r="B44" s="15" t="inlineStr">
        <is>
          <t>utorak</t>
        </is>
      </c>
      <c r="C44" s="5" t="inlineStr">
        <is>
          <t>Miješani komunalni otpad (zeleni spremnik)</t>
        </is>
      </c>
      <c r="D44" s="15" t="n"/>
    </row>
    <row r="45">
      <c r="A45" s="22" t="n">
        <v>46205</v>
      </c>
      <c r="B45" s="15" t="inlineStr">
        <is>
          <t>četvrtak</t>
        </is>
      </c>
      <c r="C45" s="9" t="inlineStr">
        <is>
          <t>Plastična, metalna i višeslojna ambalaža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2" t="n">
        <v>46211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2" t="n">
        <v>46219</v>
      </c>
      <c r="B49" s="15" t="inlineStr">
        <is>
          <t>četvrtak</t>
        </is>
      </c>
      <c r="C49" s="9" t="inlineStr">
        <is>
          <t>Plastična, metalna i višeslojna ambalaža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2" t="n">
        <v>46231</v>
      </c>
      <c r="B51" s="15" t="inlineStr">
        <is>
          <t>utorak</t>
        </is>
      </c>
      <c r="C51" s="5" t="inlineStr">
        <is>
          <t>Miješani komunalni otpad (zeleni spremnik)</t>
        </is>
      </c>
      <c r="D51" s="15" t="n"/>
    </row>
    <row r="52">
      <c r="A52" s="22" t="n">
        <v>46238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2" t="n">
        <v>46240</v>
      </c>
      <c r="B53" s="15" t="inlineStr">
        <is>
          <t>četvrtak</t>
        </is>
      </c>
      <c r="C53" s="9" t="inlineStr">
        <is>
          <t>Plastična, metalna i višeslojna ambalaža</t>
        </is>
      </c>
      <c r="D53" s="15" t="n"/>
    </row>
    <row r="54">
      <c r="A54" s="22" t="n">
        <v>46245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2" t="n">
        <v>46246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2" t="n">
        <v>46254</v>
      </c>
      <c r="B57" s="15" t="inlineStr">
        <is>
          <t>četvrtak</t>
        </is>
      </c>
      <c r="C57" s="9" t="inlineStr">
        <is>
          <t>Plastična, metalna i višeslojna ambalaža</t>
        </is>
      </c>
      <c r="D57" s="15" t="n"/>
    </row>
    <row r="58">
      <c r="A58" s="22" t="n">
        <v>46259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2" t="n">
        <v>46266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2" t="n">
        <v>46268</v>
      </c>
      <c r="B60" s="15" t="inlineStr">
        <is>
          <t>četvrtak</t>
        </is>
      </c>
      <c r="C60" s="9" t="inlineStr">
        <is>
          <t>Plastična, metalna i višeslojna ambalaža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 (zeleni spremnik)</t>
        </is>
      </c>
      <c r="D61" s="15" t="n"/>
    </row>
    <row r="62">
      <c r="A62" s="22" t="n">
        <v>46274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 (zeleni spremnik)</t>
        </is>
      </c>
      <c r="D63" s="15" t="n"/>
    </row>
    <row r="64">
      <c r="A64" s="22" t="n">
        <v>46282</v>
      </c>
      <c r="B64" s="15" t="inlineStr">
        <is>
          <t>četvrtak</t>
        </is>
      </c>
      <c r="C64" s="9" t="inlineStr">
        <is>
          <t>Plastična, metalna i višeslojna ambalaža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2" t="n">
        <v>46294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2" t="n">
        <v>46296</v>
      </c>
      <c r="B67" s="15" t="inlineStr">
        <is>
          <t>četvrtak</t>
        </is>
      </c>
      <c r="C67" s="9" t="inlineStr">
        <is>
          <t>Plastična, metalna i višeslojna ambalaža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 (zeleni spremnik)</t>
        </is>
      </c>
      <c r="D68" s="15" t="n"/>
    </row>
    <row r="69">
      <c r="A69" s="22" t="n">
        <v>46308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2" t="n">
        <v>46309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46310</v>
      </c>
      <c r="B71" s="15" t="inlineStr">
        <is>
          <t>četvrtak</t>
        </is>
      </c>
      <c r="C71" s="9" t="inlineStr">
        <is>
          <t>Plastična, metalna i višeslojna ambalaža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2" t="n">
        <v>46322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2" t="n">
        <v>46329</v>
      </c>
      <c r="B74" s="15" t="inlineStr">
        <is>
          <t>utorak</t>
        </is>
      </c>
      <c r="C74" s="5" t="inlineStr">
        <is>
          <t>Miješani komunalni otpad (zeleni spremnik)</t>
        </is>
      </c>
      <c r="D74" s="15" t="n"/>
    </row>
    <row r="75">
      <c r="A75" s="22" t="n">
        <v>46331</v>
      </c>
      <c r="B75" s="15" t="inlineStr">
        <is>
          <t>četvrtak</t>
        </is>
      </c>
      <c r="C75" s="9" t="inlineStr">
        <is>
          <t>Plastična, metalna i višeslojna ambalaža</t>
        </is>
      </c>
      <c r="D75" s="15" t="n"/>
    </row>
    <row r="76">
      <c r="A76" s="22" t="n">
        <v>46336</v>
      </c>
      <c r="B76" s="15" t="inlineStr">
        <is>
          <t>utorak</t>
        </is>
      </c>
      <c r="C76" s="5" t="inlineStr">
        <is>
          <t>Miješani komunalni otpad (zeleni spremnik)</t>
        </is>
      </c>
      <c r="D76" s="15" t="n"/>
    </row>
    <row r="77">
      <c r="A77" s="22" t="n">
        <v>46337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 (zeleni spremnik)</t>
        </is>
      </c>
      <c r="D78" s="15" t="n"/>
    </row>
    <row r="79">
      <c r="A79" s="22" t="n">
        <v>46345</v>
      </c>
      <c r="B79" s="15" t="inlineStr">
        <is>
          <t>četvrtak</t>
        </is>
      </c>
      <c r="C79" s="9" t="inlineStr">
        <is>
          <t>Plastična, metalna i višeslojna ambalaža</t>
        </is>
      </c>
      <c r="D79" s="15" t="n"/>
    </row>
    <row r="80">
      <c r="A80" s="22" t="n">
        <v>46350</v>
      </c>
      <c r="B80" s="15" t="inlineStr">
        <is>
          <t>utorak</t>
        </is>
      </c>
      <c r="C80" s="5" t="inlineStr">
        <is>
          <t>Miješani komunalni otpad (zeleni spremnik)</t>
        </is>
      </c>
      <c r="D80" s="15" t="n"/>
    </row>
    <row r="81">
      <c r="A81" s="22" t="n">
        <v>46357</v>
      </c>
      <c r="B81" s="15" t="inlineStr">
        <is>
          <t>utorak</t>
        </is>
      </c>
      <c r="C81" s="5" t="inlineStr">
        <is>
          <t>Miješani komunalni otpad (zeleni spremnik)</t>
        </is>
      </c>
      <c r="D81" s="15" t="n"/>
    </row>
    <row r="82">
      <c r="A82" s="22" t="n">
        <v>46359</v>
      </c>
      <c r="B82" s="15" t="inlineStr">
        <is>
          <t>četvrtak</t>
        </is>
      </c>
      <c r="C82" s="9" t="inlineStr">
        <is>
          <t>Plastična, metalna i višeslojna ambalaža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 (zeleni spremnik)</t>
        </is>
      </c>
      <c r="D83" s="15" t="n"/>
    </row>
    <row r="84">
      <c r="A84" s="22" t="n">
        <v>46365</v>
      </c>
      <c r="B84" s="15" t="inlineStr">
        <is>
          <t>srijeda</t>
        </is>
      </c>
      <c r="C84" s="10" t="inlineStr">
        <is>
          <t>Papir i karton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 (zeleni spremnik)</t>
        </is>
      </c>
      <c r="D85" s="15" t="n"/>
    </row>
    <row r="86">
      <c r="A86" s="22" t="n">
        <v>46373</v>
      </c>
      <c r="B86" s="15" t="inlineStr">
        <is>
          <t>četvrtak</t>
        </is>
      </c>
      <c r="C86" s="9" t="inlineStr">
        <is>
          <t>Plastična, metalna i višeslojna ambalaža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 (zeleni spremnik)</t>
        </is>
      </c>
      <c r="D87" s="15" t="n"/>
    </row>
    <row r="88">
      <c r="A88" s="22" t="n">
        <v>46385</v>
      </c>
      <c r="B88" s="15" t="inlineStr">
        <is>
          <t>utorak</t>
        </is>
      </c>
      <c r="C88" s="5" t="inlineStr">
        <is>
          <t>Miješani komunalni otpad (zeleni spremnik)</t>
        </is>
      </c>
      <c r="D88" s="15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Kostrena-A (Kostrena): ulice i naselja</t>
        </is>
      </c>
    </row>
    <row r="4">
      <c r="A4" s="4" t="inlineStr">
        <is>
          <t>Ulica / naselje</t>
        </is>
      </c>
    </row>
    <row r="5">
      <c r="A5" s="15" t="inlineStr">
        <is>
          <t>Darka Medanića</t>
        </is>
      </c>
    </row>
    <row r="6">
      <c r="A6" s="15" t="inlineStr">
        <is>
          <t>Doričići</t>
        </is>
      </c>
    </row>
    <row r="7">
      <c r="A7" s="15" t="inlineStr">
        <is>
          <t>Dujmići</t>
        </is>
      </c>
    </row>
    <row r="8">
      <c r="A8" s="15" t="inlineStr">
        <is>
          <t>Glavani</t>
        </is>
      </c>
    </row>
    <row r="9">
      <c r="A9" s="15" t="inlineStr">
        <is>
          <t>Ive Šodića</t>
        </is>
      </c>
    </row>
    <row r="10">
      <c r="A10" s="15" t="inlineStr">
        <is>
          <t>Kostrenskih boraca</t>
        </is>
      </c>
    </row>
    <row r="11">
      <c r="A11" s="15" t="inlineStr">
        <is>
          <t>Maračići</t>
        </is>
      </c>
    </row>
    <row r="12">
      <c r="A12" s="15" t="inlineStr">
        <is>
          <t>Martinšćica</t>
        </is>
      </c>
    </row>
    <row r="13">
      <c r="A13" s="15" t="inlineStr">
        <is>
          <t>Nova Voda</t>
        </is>
      </c>
    </row>
    <row r="14">
      <c r="A14" s="15" t="inlineStr">
        <is>
          <t>Paveki</t>
        </is>
      </c>
    </row>
    <row r="15">
      <c r="A15" s="15" t="inlineStr">
        <is>
          <t>Perovići</t>
        </is>
      </c>
    </row>
    <row r="16">
      <c r="A16" s="15" t="inlineStr">
        <is>
          <t>Plešići</t>
        </is>
      </c>
    </row>
    <row r="17">
      <c r="A17" s="15" t="inlineStr">
        <is>
          <t>Randići</t>
        </is>
      </c>
    </row>
    <row r="18">
      <c r="A18" s="15" t="inlineStr">
        <is>
          <t>Rožići</t>
        </is>
      </c>
    </row>
    <row r="19">
      <c r="A19" s="15" t="inlineStr">
        <is>
          <t>Rožmanići</t>
        </is>
      </c>
    </row>
    <row r="20">
      <c r="A20" s="15" t="inlineStr">
        <is>
          <t>Stara Voda</t>
        </is>
      </c>
    </row>
    <row r="21">
      <c r="A21" s="15" t="inlineStr">
        <is>
          <t>Suzanićev put</t>
        </is>
      </c>
    </row>
    <row r="22">
      <c r="A22" s="15" t="inlineStr">
        <is>
          <t>Sveta Lucija</t>
        </is>
      </c>
    </row>
    <row r="23">
      <c r="A23" s="15" t="inlineStr">
        <is>
          <t>Šetalište Kostrenskih Pomoraca</t>
        </is>
      </c>
    </row>
    <row r="24">
      <c r="A24" s="15" t="inlineStr">
        <is>
          <t>Šodići</t>
        </is>
      </c>
    </row>
    <row r="25">
      <c r="A25" s="15" t="inlineStr">
        <is>
          <t>Šodići Stari</t>
        </is>
      </c>
    </row>
    <row r="26">
      <c r="A26" s="15" t="inlineStr">
        <is>
          <t>Šojska</t>
        </is>
      </c>
    </row>
    <row r="27">
      <c r="A27" s="15" t="inlineStr">
        <is>
          <t>Uvala Svežanj</t>
        </is>
      </c>
    </row>
    <row r="28">
      <c r="A28" s="15" t="inlineStr">
        <is>
          <t>Vrh Martinšćice</t>
        </is>
      </c>
    </row>
    <row r="29">
      <c r="A29" s="15" t="inlineStr">
        <is>
          <t>Žarka Pezelja</t>
        </is>
      </c>
    </row>
    <row r="30">
      <c r="A30" s="15" t="inlineStr">
        <is>
          <t>Željka Čepulića</t>
        </is>
      </c>
    </row>
    <row r="31">
      <c r="A31" s="15" t="inlineStr">
        <is>
          <t>Žuknica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
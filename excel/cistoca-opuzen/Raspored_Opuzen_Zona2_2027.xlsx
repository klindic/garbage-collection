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(zeleni spremnik)</t>
        </is>
      </c>
      <c r="B6" s="6">
        <f>IFERROR(1/(1/_xlfn.MINIFS(Raspored!$A$5:$A$20,Raspored!$D$5:$D$20,"x",Raspored!$A$5:$A$20,"&gt;="&amp;$B$3)),"nema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Biootpad (smeđi spremnik)</t>
        </is>
      </c>
      <c r="B7" s="6">
        <f>IFERROR(1/(1/_xlfn.MINIFS(Raspored!$A$5:$A$20,Raspored!$E$5:$E$20,"x",Raspored!$A$5:$A$20,"&gt;="&amp;$B$3)),"nema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Plastična ambalaža (žuti spremnik)</t>
        </is>
      </c>
      <c r="B8" s="6">
        <f>IFERROR(1/(1/_xlfn.MINIFS(Raspored!$A$5:$A$20,Raspored!$F$5:$F$20,"x",Raspored!$A$5:$A$20,"&gt;="&amp;$B$3)),"nema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Papir i karton (plavi spremnik)</t>
        </is>
      </c>
      <c r="B9" s="6">
        <f>IFERROR(1/(1/_xlfn.MINIFS(Raspored!$A$5:$A$20,Raspored!$G$5:$G$20,"x",Raspored!$A$5:$A$20,"&gt;="&amp;$B$3)),"nema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  <c r="E13" s="7">
        <f>COUNTIFS(Raspored!$C$5:$C$20,$A13,Raspored!$G$5:$G$20,"x")</f>
        <v/>
      </c>
    </row>
    <row r="14">
      <c r="A14" s="17" t="inlineStr">
        <is>
          <t>veljača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</row>
    <row r="15">
      <c r="A15" s="17" t="inlineStr">
        <is>
          <t>ožujak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</row>
    <row r="16">
      <c r="A16" s="17" t="inlineStr">
        <is>
          <t>travanj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</row>
    <row r="17">
      <c r="A17" s="17" t="inlineStr">
        <is>
          <t>svibanj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</row>
    <row r="18">
      <c r="A18" s="17" t="inlineStr">
        <is>
          <t>lipanj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</row>
    <row r="19">
      <c r="A19" s="17" t="inlineStr">
        <is>
          <t>srpanj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</row>
    <row r="20">
      <c r="A20" s="17" t="inlineStr">
        <is>
          <t>kolovoz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</row>
    <row r="21">
      <c r="A21" s="17" t="inlineStr">
        <is>
          <t>rujan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</row>
    <row r="22">
      <c r="A22" s="17" t="inlineStr">
        <is>
          <t>listopad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</row>
    <row r="23">
      <c r="A23" s="17" t="inlineStr">
        <is>
          <t>studeni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</row>
    <row r="24">
      <c r="A24" s="17" t="inlineStr">
        <is>
          <t>prosinac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2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46394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46398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46401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46405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46408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46412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46415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46419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46422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46426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46429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46433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46436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46440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46443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</sheetData>
  <autoFilter ref="A4:H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A5:H2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46391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4" t="n">
        <v>46391</v>
      </c>
      <c r="B3" s="17" t="inlineStr">
        <is>
          <t>ponedjeljak</t>
        </is>
      </c>
      <c r="C3" s="10" t="inlineStr">
        <is>
          <t>Plastična ambalaža (žuti spremnik)</t>
        </is>
      </c>
      <c r="D3" s="17" t="n"/>
    </row>
    <row r="4">
      <c r="A4" s="24" t="n">
        <v>46394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4" t="n">
        <v>46394</v>
      </c>
      <c r="B5" s="17" t="inlineStr">
        <is>
          <t>četvrtak</t>
        </is>
      </c>
      <c r="C5" s="9" t="inlineStr">
        <is>
          <t>Biootpad (smeđi spremnik)</t>
        </is>
      </c>
      <c r="D5" s="17" t="n"/>
    </row>
    <row r="6">
      <c r="A6" s="24" t="n">
        <v>46398</v>
      </c>
      <c r="B6" s="17" t="inlineStr">
        <is>
          <t>ponedjeljak</t>
        </is>
      </c>
      <c r="C6" s="5" t="inlineStr">
        <is>
          <t>Miješani komunalni otpad (zeleni spremnik)</t>
        </is>
      </c>
      <c r="D6" s="17" t="n"/>
    </row>
    <row r="7">
      <c r="A7" s="24" t="n">
        <v>46398</v>
      </c>
      <c r="B7" s="17" t="inlineStr">
        <is>
          <t>ponedjeljak</t>
        </is>
      </c>
      <c r="C7" s="11" t="inlineStr">
        <is>
          <t>Papir i karton (plavi spremnik)</t>
        </is>
      </c>
      <c r="D7" s="17" t="n"/>
    </row>
    <row r="8">
      <c r="A8" s="24" t="n">
        <v>46401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46401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46405</v>
      </c>
      <c r="B10" s="17" t="inlineStr">
        <is>
          <t>ponedjeljak</t>
        </is>
      </c>
      <c r="C10" s="5" t="inlineStr">
        <is>
          <t>Miješani komunalni otpad (zeleni spremnik)</t>
        </is>
      </c>
      <c r="D10" s="17" t="n"/>
    </row>
    <row r="11">
      <c r="A11" s="24" t="n">
        <v>46405</v>
      </c>
      <c r="B11" s="17" t="inlineStr">
        <is>
          <t>ponedjeljak</t>
        </is>
      </c>
      <c r="C11" s="10" t="inlineStr">
        <is>
          <t>Plastična ambalaža (žuti spremnik)</t>
        </is>
      </c>
      <c r="D11" s="17" t="n"/>
    </row>
    <row r="12">
      <c r="A12" s="24" t="n">
        <v>46408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4" t="n">
        <v>46408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46412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4" t="n">
        <v>46412</v>
      </c>
      <c r="B15" s="17" t="inlineStr">
        <is>
          <t>ponedjeljak</t>
        </is>
      </c>
      <c r="C15" s="11" t="inlineStr">
        <is>
          <t>Papir i karton (plavi spremnik)</t>
        </is>
      </c>
      <c r="D15" s="17" t="n"/>
    </row>
    <row r="16">
      <c r="A16" s="24" t="n">
        <v>46415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4" t="n">
        <v>46415</v>
      </c>
      <c r="B17" s="17" t="inlineStr">
        <is>
          <t>četvrtak</t>
        </is>
      </c>
      <c r="C17" s="9" t="inlineStr">
        <is>
          <t>Biootpad (smeđi spremnik)</t>
        </is>
      </c>
      <c r="D17" s="17" t="n"/>
    </row>
    <row r="18">
      <c r="A18" s="24" t="n">
        <v>46419</v>
      </c>
      <c r="B18" s="17" t="inlineStr">
        <is>
          <t>ponedjeljak</t>
        </is>
      </c>
      <c r="C18" s="5" t="inlineStr">
        <is>
          <t>Miješani komunalni otpad (zeleni spremnik)</t>
        </is>
      </c>
      <c r="D18" s="17" t="n"/>
    </row>
    <row r="19">
      <c r="A19" s="24" t="n">
        <v>46419</v>
      </c>
      <c r="B19" s="17" t="inlineStr">
        <is>
          <t>ponedjeljak</t>
        </is>
      </c>
      <c r="C19" s="10" t="inlineStr">
        <is>
          <t>Plastična ambalaža (žuti spremnik)</t>
        </is>
      </c>
      <c r="D19" s="17" t="n"/>
    </row>
    <row r="20">
      <c r="A20" s="24" t="n">
        <v>46422</v>
      </c>
      <c r="B20" s="17" t="inlineStr">
        <is>
          <t>četvrtak</t>
        </is>
      </c>
      <c r="C20" s="5" t="inlineStr">
        <is>
          <t>Miješani komunalni otpad (zeleni spremnik)</t>
        </is>
      </c>
      <c r="D20" s="17" t="n"/>
    </row>
    <row r="21">
      <c r="A21" s="24" t="n">
        <v>46422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46426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4" t="n">
        <v>46426</v>
      </c>
      <c r="B23" s="17" t="inlineStr">
        <is>
          <t>ponedjeljak</t>
        </is>
      </c>
      <c r="C23" s="11" t="inlineStr">
        <is>
          <t>Papir i karton (plavi spremnik)</t>
        </is>
      </c>
      <c r="D23" s="17" t="n"/>
    </row>
    <row r="24">
      <c r="A24" s="24" t="n">
        <v>46429</v>
      </c>
      <c r="B24" s="17" t="inlineStr">
        <is>
          <t>četvrtak</t>
        </is>
      </c>
      <c r="C24" s="5" t="inlineStr">
        <is>
          <t>Miješani komunalni otpad (zeleni spremnik)</t>
        </is>
      </c>
      <c r="D24" s="17" t="n"/>
    </row>
    <row r="25">
      <c r="A25" s="24" t="n">
        <v>46429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46433</v>
      </c>
      <c r="B26" s="17" t="inlineStr">
        <is>
          <t>ponedjeljak</t>
        </is>
      </c>
      <c r="C26" s="5" t="inlineStr">
        <is>
          <t>Miješani komunalni otpad (zeleni spremnik)</t>
        </is>
      </c>
      <c r="D26" s="17" t="n"/>
    </row>
    <row r="27">
      <c r="A27" s="24" t="n">
        <v>46433</v>
      </c>
      <c r="B27" s="17" t="inlineStr">
        <is>
          <t>ponedjeljak</t>
        </is>
      </c>
      <c r="C27" s="10" t="inlineStr">
        <is>
          <t>Plastična ambalaža (žuti spremnik)</t>
        </is>
      </c>
      <c r="D27" s="17" t="n"/>
    </row>
    <row r="28">
      <c r="A28" s="24" t="n">
        <v>46436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46436</v>
      </c>
      <c r="B29" s="17" t="inlineStr">
        <is>
          <t>četvrtak</t>
        </is>
      </c>
      <c r="C29" s="9" t="inlineStr">
        <is>
          <t>Biootpad (smeđi spremnik)</t>
        </is>
      </c>
      <c r="D29" s="17" t="n"/>
    </row>
    <row r="30">
      <c r="A30" s="24" t="n">
        <v>46440</v>
      </c>
      <c r="B30" s="17" t="inlineStr">
        <is>
          <t>ponedjeljak</t>
        </is>
      </c>
      <c r="C30" s="5" t="inlineStr">
        <is>
          <t>Miješani komunalni otpad (zeleni spremnik)</t>
        </is>
      </c>
      <c r="D30" s="17" t="n"/>
    </row>
    <row r="31">
      <c r="A31" s="24" t="n">
        <v>46440</v>
      </c>
      <c r="B31" s="17" t="inlineStr">
        <is>
          <t>ponedjeljak</t>
        </is>
      </c>
      <c r="C31" s="11" t="inlineStr">
        <is>
          <t>Papir i karton (plavi spremnik)</t>
        </is>
      </c>
      <c r="D31" s="17" t="n"/>
    </row>
    <row r="32">
      <c r="A32" s="24" t="n">
        <v>46443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4" t="n">
        <v>46443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Prašnica</t>
        </is>
      </c>
    </row>
    <row r="6">
      <c r="A6" s="17" t="inlineStr">
        <is>
          <t>Jasenska</t>
        </is>
      </c>
    </row>
    <row r="7">
      <c r="A7" s="17" t="inlineStr">
        <is>
          <t>Jadranska</t>
        </is>
      </c>
    </row>
    <row r="8">
      <c r="A8" s="17" t="inlineStr">
        <is>
          <t>Pinovac</t>
        </is>
      </c>
    </row>
    <row r="9">
      <c r="A9" s="17" t="inlineStr">
        <is>
          <t>Strimen</t>
        </is>
      </c>
    </row>
    <row r="10">
      <c r="A10" s="17" t="inlineStr">
        <is>
          <t>Ušće</t>
        </is>
      </c>
    </row>
    <row r="11">
      <c r="A11" s="17" t="inlineStr">
        <is>
          <t>Trn</t>
        </is>
      </c>
    </row>
    <row r="12">
      <c r="A12" s="17" t="inlineStr">
        <is>
          <t>Josipa bana Jelačića</t>
        </is>
      </c>
    </row>
    <row r="13">
      <c r="A13" s="17" t="inlineStr">
        <is>
          <t>Pržinovac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2026-10-08T05:28:20Z</dcterms:created>
  <dcterms:modified xmlns:dcterms="http://purl.org/dc/terms/" xmlns:xsi="http://www.w3.org/2001/XMLSchema-instance" xsi:type="dcterms:W3CDTF">2026-10-08T05:28:20Z</dcterms:modified>
</cp:coreProperties>
</file>
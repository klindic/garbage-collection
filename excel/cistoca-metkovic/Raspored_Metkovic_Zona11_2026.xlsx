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'Raspored'!$A$4:$E$51</definedName>
    <definedName name="_xlnm._FilterDatabase" localSheetId="2" hidden="1">'Po vrsti'!$A$1:$D$48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COUNTIFS(Raspored!$C$5:$C$51,$A10,Raspored!$D$5:$D$51,"x")</f>
        <v/>
      </c>
    </row>
    <row r="11">
      <c r="A11" s="11" t="inlineStr">
        <is>
          <t>veljača</t>
        </is>
      </c>
      <c r="B11" s="7">
        <f>COUNTIFS(Raspored!$C$5:$C$51,$A11,Raspored!$D$5:$D$51,"x")</f>
        <v/>
      </c>
    </row>
    <row r="12">
      <c r="A12" s="11" t="inlineStr">
        <is>
          <t>ožujak</t>
        </is>
      </c>
      <c r="B12" s="7">
        <f>COUNTIFS(Raspored!$C$5:$C$51,$A12,Raspored!$D$5:$D$51,"x")</f>
        <v/>
      </c>
    </row>
    <row r="13">
      <c r="A13" s="11" t="inlineStr">
        <is>
          <t>travanj</t>
        </is>
      </c>
      <c r="B13" s="7">
        <f>COUNTIFS(Raspored!$C$5:$C$51,$A13,Raspored!$D$5:$D$51,"x")</f>
        <v/>
      </c>
    </row>
    <row r="14">
      <c r="A14" s="11" t="inlineStr">
        <is>
          <t>svibanj</t>
        </is>
      </c>
      <c r="B14" s="7">
        <f>COUNTIFS(Raspored!$C$5:$C$51,$A14,Raspored!$D$5:$D$51,"x")</f>
        <v/>
      </c>
    </row>
    <row r="15">
      <c r="A15" s="11" t="inlineStr">
        <is>
          <t>lipanj</t>
        </is>
      </c>
      <c r="B15" s="7">
        <f>COUNTIFS(Raspored!$C$5:$C$51,$A15,Raspored!$D$5:$D$51,"x")</f>
        <v/>
      </c>
    </row>
    <row r="16">
      <c r="A16" s="11" t="inlineStr">
        <is>
          <t>srpanj</t>
        </is>
      </c>
      <c r="B16" s="7">
        <f>COUNTIFS(Raspored!$C$5:$C$51,$A16,Raspored!$D$5:$D$51,"x")</f>
        <v/>
      </c>
    </row>
    <row r="17">
      <c r="A17" s="11" t="inlineStr">
        <is>
          <t>kolovoz</t>
        </is>
      </c>
      <c r="B17" s="7">
        <f>COUNTIFS(Raspored!$C$5:$C$51,$A17,Raspored!$D$5:$D$51,"x")</f>
        <v/>
      </c>
    </row>
    <row r="18">
      <c r="A18" s="11" t="inlineStr">
        <is>
          <t>rujan</t>
        </is>
      </c>
      <c r="B18" s="7">
        <f>COUNTIFS(Raspored!$C$5:$C$51,$A18,Raspored!$D$5:$D$51,"x")</f>
        <v/>
      </c>
    </row>
    <row r="19">
      <c r="A19" s="11" t="inlineStr">
        <is>
          <t>listopad</t>
        </is>
      </c>
      <c r="B19" s="7">
        <f>COUNTIFS(Raspored!$C$5:$C$51,$A19,Raspored!$D$5:$D$51,"x")</f>
        <v/>
      </c>
    </row>
    <row r="20">
      <c r="A20" s="11" t="inlineStr">
        <is>
          <t>studeni</t>
        </is>
      </c>
      <c r="B20" s="7">
        <f>COUNTIFS(Raspored!$C$5:$C$51,$A20,Raspored!$D$5:$D$51,"x")</f>
        <v/>
      </c>
    </row>
    <row r="21">
      <c r="A21" s="11" t="inlineStr">
        <is>
          <t>prosinac</t>
        </is>
      </c>
      <c r="B21" s="7">
        <f>COUNTIFS(Raspored!$C$5:$C$51,$A21,Raspored!$D$5:$D$51,"x")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Zajednički kontejneri u navedenim ulicama.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11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</sheetData>
  <autoFilter ref="A4:E51"/>
  <conditionalFormatting sqref="D5:D51">
    <cfRule type="expression" priority="1" dxfId="0">
      <formula>D5="x"</formula>
    </cfRule>
  </conditionalFormatting>
  <conditionalFormatting sqref="A5:E5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otpad (zelena posuda)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otpad (zelena posuda)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otpad (zelena posuda)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otpad (zelena posuda)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otpad (zelena posuda)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otpad (zelena posuda)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otpad (zelena posuda)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otpad (zelena posuda)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otpad (zelena posuda)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otpad (zelena posuda)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otpad (zelena posuda)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otpad (zelena posuda)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otpad (zelena posuda)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otpad (zelena posuda)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otpad (zelena posuda)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otpad (zelena posuda)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otpad (zelena posuda)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otpad (zelena posuda)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otpad (zelena posuda)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otpad (zelena posuda)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otpad (zelena posuda)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otpad (zelena posuda)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otpad (zelena posuda)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otpad (zelena posuda)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otpad (zelena posuda)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otpad (zelena posuda)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otpad (zelena posuda)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otpad (zelena posuda)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otpad (zelena posuda)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otpad (zelena posuda)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otpad (zelena posuda)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otpad (zelena posuda)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otpad (zelena posuda)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otpad (zelena posuda)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otpad (zelena posuda)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otpad (zelena posuda)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otpad (zelena posuda)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otpad (zelena posuda)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otpad (zelena posuda)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otpad (zelena posuda)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otpad (zelena posuda)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otpad (zelena posuda)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otpad (zelena posuda)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otpad (zelena posuda)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otpad (zelena posuda)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otpad (zelena posuda)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otpad (zelena posuda)</t>
        </is>
      </c>
      <c r="D48" s="11" t="n"/>
    </row>
  </sheetData>
  <autoFilter ref="A1:D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(Metković): ulice i naselja</t>
        </is>
      </c>
    </row>
    <row r="2">
      <c r="A2" s="16" t="inlineStr">
        <is>
          <t>ANDRIJE KAČIĆA MIOŠIĆA - KONTEJNERI; ANTUNA GUSTAVA MATOŠA - KONTEJNERI; DUBROVAČKA ULICA- KONTEJNERI; ILIJE BOŠNJAKA - KONTEJNERI; MOBINE - KONTEJNERI; SPLITSKA ULICA - KONTEJNERI; TINA UJEVIĆA - KONTEJNERI</t>
        </is>
      </c>
    </row>
    <row r="4">
      <c r="A4" s="4" t="inlineStr">
        <is>
          <t>Ulica / naselje</t>
        </is>
      </c>
    </row>
    <row r="5">
      <c r="A5" s="11" t="inlineStr">
        <is>
          <t>Andrije Kačića Miošića</t>
        </is>
      </c>
    </row>
    <row r="6">
      <c r="A6" s="11" t="inlineStr">
        <is>
          <t>Antuna Gustava Matoša</t>
        </is>
      </c>
    </row>
    <row r="7">
      <c r="A7" s="11" t="inlineStr">
        <is>
          <t>Dubrovačka</t>
        </is>
      </c>
    </row>
    <row r="8">
      <c r="A8" s="11" t="inlineStr">
        <is>
          <t>Ilije Bošnjaka</t>
        </is>
      </c>
    </row>
    <row r="9">
      <c r="A9" s="11" t="inlineStr">
        <is>
          <t>Mobine</t>
        </is>
      </c>
    </row>
    <row r="10">
      <c r="A10" s="11" t="inlineStr">
        <is>
          <t>Splitska</t>
        </is>
      </c>
    </row>
    <row r="11">
      <c r="A11" s="11" t="inlineStr">
        <is>
          <t>Tina Ujevića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
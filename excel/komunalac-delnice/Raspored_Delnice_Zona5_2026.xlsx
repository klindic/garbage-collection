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'Raspored'!$A$4:$H$78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Papir i karton (plavi spremnik)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9">
      <c r="A9" s="11" t="inlineStr">
        <is>
          <t>Staklena ambalaža (prozirne vreće)</t>
        </is>
      </c>
      <c r="B9" s="6">
        <f>IFERROR(1/(1/_xlfn.MINIFS(Raspored!$A$5:$A$78,Raspored!$G$5:$G$78,"x",Raspored!$A$5:$A$78,"&gt;="&amp;$B$3)),"nema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  <c r="E13" s="7">
        <f>COUNTIFS(Raspored!$C$5:$C$78,$A13,Raspored!$G$5:$G$78,"x")</f>
        <v/>
      </c>
    </row>
    <row r="14">
      <c r="A14" s="17" t="inlineStr">
        <is>
          <t>veljača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  <c r="E14" s="7">
        <f>COUNTIFS(Raspored!$C$5:$C$78,$A14,Raspored!$G$5:$G$78,"x")</f>
        <v/>
      </c>
    </row>
    <row r="15">
      <c r="A15" s="17" t="inlineStr">
        <is>
          <t>ožujak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  <c r="E15" s="7">
        <f>COUNTIFS(Raspored!$C$5:$C$78,$A15,Raspored!$G$5:$G$78,"x")</f>
        <v/>
      </c>
    </row>
    <row r="16">
      <c r="A16" s="17" t="inlineStr">
        <is>
          <t>travanj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  <c r="E16" s="7">
        <f>COUNTIFS(Raspored!$C$5:$C$78,$A16,Raspored!$G$5:$G$78,"x")</f>
        <v/>
      </c>
    </row>
    <row r="17">
      <c r="A17" s="17" t="inlineStr">
        <is>
          <t>svibanj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  <c r="E17" s="7">
        <f>COUNTIFS(Raspored!$C$5:$C$78,$A17,Raspored!$G$5:$G$78,"x")</f>
        <v/>
      </c>
    </row>
    <row r="18">
      <c r="A18" s="17" t="inlineStr">
        <is>
          <t>lipanj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  <c r="E18" s="7">
        <f>COUNTIFS(Raspored!$C$5:$C$78,$A18,Raspored!$G$5:$G$78,"x")</f>
        <v/>
      </c>
    </row>
    <row r="19">
      <c r="A19" s="17" t="inlineStr">
        <is>
          <t>srpanj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  <c r="E19" s="7">
        <f>COUNTIFS(Raspored!$C$5:$C$78,$A19,Raspored!$G$5:$G$78,"x")</f>
        <v/>
      </c>
    </row>
    <row r="20">
      <c r="A20" s="17" t="inlineStr">
        <is>
          <t>kolovoz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  <c r="E20" s="7">
        <f>COUNTIFS(Raspored!$C$5:$C$78,$A20,Raspored!$G$5:$G$78,"x")</f>
        <v/>
      </c>
    </row>
    <row r="21">
      <c r="A21" s="17" t="inlineStr">
        <is>
          <t>rujan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  <c r="E21" s="7">
        <f>COUNTIFS(Raspored!$C$5:$C$78,$A21,Raspored!$G$5:$G$78,"x")</f>
        <v/>
      </c>
    </row>
    <row r="22">
      <c r="A22" s="17" t="inlineStr">
        <is>
          <t>listopad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  <c r="E22" s="7">
        <f>COUNTIFS(Raspored!$C$5:$C$78,$A22,Raspored!$G$5:$G$78,"x")</f>
        <v/>
      </c>
    </row>
    <row r="23">
      <c r="A23" s="17" t="inlineStr">
        <is>
          <t>studeni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  <c r="E23" s="7">
        <f>COUNTIFS(Raspored!$C$5:$C$78,$A23,Raspored!$G$5:$G$78,"x")</f>
        <v/>
      </c>
    </row>
    <row r="24">
      <c r="A24" s="17" t="inlineStr">
        <is>
          <t>prosinac</t>
        </is>
      </c>
      <c r="B24" s="7">
        <f>COUNTIFS(Raspored!$C$5:$C$78,$A24,Raspored!$D$5:$D$78,"x")</f>
        <v/>
      </c>
      <c r="C24" s="7">
        <f>COUNTIFS(Raspored!$C$5:$C$78,$A24,Raspored!$E$5:$E$78,"x")</f>
        <v/>
      </c>
      <c r="D24" s="7">
        <f>COUNTIFS(Raspored!$C$5:$C$78,$A24,Raspored!$F$5:$F$78,"x")</f>
        <v/>
      </c>
      <c r="E24" s="7">
        <f>COUNTIFS(Raspored!$C$5:$C$78,$A24,Raspored!$G$5:$G$78,"x")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papir 06.04.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46175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46203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46210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46231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46238</v>
      </c>
      <c r="B48" s="7" t="inlineStr">
        <is>
          <t>utorak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46245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46259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46266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46267</v>
      </c>
      <c r="B54" s="7" t="inlineStr">
        <is>
          <t>srijeda</t>
        </is>
      </c>
      <c r="C54" s="7" t="inlineStr">
        <is>
          <t>rujan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46273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46287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46294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46301</v>
      </c>
      <c r="B60" s="7" t="inlineStr">
        <is>
          <t>utorak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46308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46315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46322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46329</v>
      </c>
      <c r="B66" s="7" t="inlineStr">
        <is>
          <t>utorak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46330</v>
      </c>
      <c r="B67" s="7" t="inlineStr">
        <is>
          <t>srijeda</t>
        </is>
      </c>
      <c r="C67" s="7" t="inlineStr">
        <is>
          <t>studeni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46336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46350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46357</v>
      </c>
      <c r="B72" s="7" t="inlineStr">
        <is>
          <t>utorak</t>
        </is>
      </c>
      <c r="C72" s="7" t="inlineStr">
        <is>
          <t>prosinac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3" t="n"/>
    </row>
    <row r="73">
      <c r="A73" s="6" t="n">
        <v>46358</v>
      </c>
      <c r="B73" s="7" t="inlineStr">
        <is>
          <t>srijeda</t>
        </is>
      </c>
      <c r="C73" s="7" t="inlineStr">
        <is>
          <t>prosinac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46364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46385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</sheetData>
  <autoFilter ref="A4:H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G5:G78">
    <cfRule type="expression" priority="4" dxfId="3">
      <formula>G5="x"</formula>
    </cfRule>
  </conditionalFormatting>
  <conditionalFormatting sqref="A5:H7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Plastična i metalna ambalaža (spremnik s narančastim poklopcem)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11" t="inlineStr">
        <is>
          <t>Staklena ambalaža (prozirne vreće)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 (plavi spremnik)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Plastična i metalna ambalaža (spremnik s narančastim poklopcem)</t>
        </is>
      </c>
      <c r="D12" s="17" t="n"/>
    </row>
    <row r="13">
      <c r="A13" s="24" t="n">
        <v>46070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46077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1" t="inlineStr">
        <is>
          <t>Staklena ambalaža (prozirne vreće)</t>
        </is>
      </c>
      <c r="D16" s="17" t="n"/>
    </row>
    <row r="17">
      <c r="A17" s="24" t="n">
        <v>46085</v>
      </c>
      <c r="B17" s="17" t="inlineStr">
        <is>
          <t>srijeda</t>
        </is>
      </c>
      <c r="C17" s="10" t="inlineStr">
        <is>
          <t>Papir i karton (plavi spremnik)</t>
        </is>
      </c>
      <c r="D17" s="17" t="n"/>
    </row>
    <row r="18">
      <c r="A18" s="24" t="n">
        <v>46091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46092</v>
      </c>
      <c r="B19" s="17" t="inlineStr">
        <is>
          <t>srijeda</t>
        </is>
      </c>
      <c r="C19" s="9" t="inlineStr">
        <is>
          <t>Plastična i metalna ambalaža (spremnik s narančastim poklopcem)</t>
        </is>
      </c>
      <c r="D19" s="17" t="n"/>
    </row>
    <row r="20">
      <c r="A20" s="24" t="n">
        <v>46098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46105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46112</v>
      </c>
      <c r="B23" s="17" t="inlineStr">
        <is>
          <t>utorak</t>
        </is>
      </c>
      <c r="C23" s="11" t="inlineStr">
        <is>
          <t>Staklena ambalaža (prozirne vreće)</t>
        </is>
      </c>
      <c r="D23" s="17" t="n"/>
    </row>
    <row r="24">
      <c r="A24" s="24" t="n">
        <v>46113</v>
      </c>
      <c r="B24" s="17" t="inlineStr">
        <is>
          <t>srijeda</t>
        </is>
      </c>
      <c r="C24" s="10" t="inlineStr">
        <is>
          <t>Papir i karton (plavi spremnik)</t>
        </is>
      </c>
      <c r="D24" s="17" t="n"/>
    </row>
    <row r="25">
      <c r="A25" s="24" t="n">
        <v>46119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46120</v>
      </c>
      <c r="B26" s="17" t="inlineStr">
        <is>
          <t>srijeda</t>
        </is>
      </c>
      <c r="C26" s="9" t="inlineStr">
        <is>
          <t>Plastična i metalna ambalaža (spremnik s narančastim poklopcem)</t>
        </is>
      </c>
      <c r="D26" s="17" t="n"/>
    </row>
    <row r="27">
      <c r="A27" s="24" t="n">
        <v>46126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46133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46147</v>
      </c>
      <c r="B31" s="17" t="inlineStr">
        <is>
          <t>utorak</t>
        </is>
      </c>
      <c r="C31" s="11" t="inlineStr">
        <is>
          <t>Staklena ambalaža (prozirne vreće)</t>
        </is>
      </c>
      <c r="D31" s="17" t="n"/>
    </row>
    <row r="32">
      <c r="A32" s="24" t="n">
        <v>46154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46155</v>
      </c>
      <c r="B33" s="17" t="inlineStr">
        <is>
          <t>srijeda</t>
        </is>
      </c>
      <c r="C33" s="9" t="inlineStr">
        <is>
          <t>Plastična i metalna ambalaža (spremnik s narančastim poklopcem)</t>
        </is>
      </c>
      <c r="D33" s="17" t="n"/>
    </row>
    <row r="34">
      <c r="A34" s="24" t="n">
        <v>46161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46175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46175</v>
      </c>
      <c r="B37" s="17" t="inlineStr">
        <is>
          <t>utorak</t>
        </is>
      </c>
      <c r="C37" s="11" t="inlineStr">
        <is>
          <t>Staklena ambalaža (prozirne vreće)</t>
        </is>
      </c>
      <c r="D37" s="17" t="n"/>
    </row>
    <row r="38">
      <c r="A38" s="24" t="n">
        <v>46176</v>
      </c>
      <c r="B38" s="17" t="inlineStr">
        <is>
          <t>srijeda</t>
        </is>
      </c>
      <c r="C38" s="10" t="inlineStr">
        <is>
          <t>Papir i karton (plavi spremnik)</t>
        </is>
      </c>
      <c r="D38" s="17" t="n"/>
    </row>
    <row r="39">
      <c r="A39" s="24" t="n">
        <v>46182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46183</v>
      </c>
      <c r="B40" s="17" t="inlineStr">
        <is>
          <t>srijeda</t>
        </is>
      </c>
      <c r="C40" s="9" t="inlineStr">
        <is>
          <t>Plastična i metalna ambalaža (spremnik s narančastim poklopcem)</t>
        </is>
      </c>
      <c r="D40" s="17" t="n"/>
    </row>
    <row r="41">
      <c r="A41" s="24" t="n">
        <v>46189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46196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46203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46203</v>
      </c>
      <c r="B44" s="17" t="inlineStr">
        <is>
          <t>utorak</t>
        </is>
      </c>
      <c r="C44" s="11" t="inlineStr">
        <is>
          <t>Staklena ambalaža (prozirne vreće)</t>
        </is>
      </c>
      <c r="D44" s="17" t="n"/>
    </row>
    <row r="45">
      <c r="A45" s="24" t="n">
        <v>46210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46211</v>
      </c>
      <c r="B46" s="17" t="inlineStr">
        <is>
          <t>srijeda</t>
        </is>
      </c>
      <c r="C46" s="9" t="inlineStr">
        <is>
          <t>Plastična i metalna ambalaža (spremnik s narančastim poklopcem)</t>
        </is>
      </c>
      <c r="D46" s="17" t="n"/>
    </row>
    <row r="47">
      <c r="A47" s="24" t="n">
        <v>46211</v>
      </c>
      <c r="B47" s="17" t="inlineStr">
        <is>
          <t>srijeda</t>
        </is>
      </c>
      <c r="C47" s="10" t="inlineStr">
        <is>
          <t>Papir i karton (plavi spremnik)</t>
        </is>
      </c>
      <c r="D47" s="17" t="n"/>
    </row>
    <row r="48">
      <c r="A48" s="24" t="n">
        <v>46217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46224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46231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46231</v>
      </c>
      <c r="B51" s="17" t="inlineStr">
        <is>
          <t>utorak</t>
        </is>
      </c>
      <c r="C51" s="11" t="inlineStr">
        <is>
          <t>Staklena ambalaža (prozirne vreće)</t>
        </is>
      </c>
      <c r="D51" s="17" t="n"/>
    </row>
    <row r="52">
      <c r="A52" s="24" t="n">
        <v>46232</v>
      </c>
      <c r="B52" s="17" t="inlineStr">
        <is>
          <t>srijeda</t>
        </is>
      </c>
      <c r="C52" s="10" t="inlineStr">
        <is>
          <t>Papir i karton (plavi spremnik)</t>
        </is>
      </c>
      <c r="D52" s="17" t="n"/>
    </row>
    <row r="53">
      <c r="A53" s="24" t="n">
        <v>46238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46245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46246</v>
      </c>
      <c r="B55" s="17" t="inlineStr">
        <is>
          <t>srijeda</t>
        </is>
      </c>
      <c r="C55" s="9" t="inlineStr">
        <is>
          <t>Plastična i metalna ambalaža (spremnik s narančastim poklopcem)</t>
        </is>
      </c>
      <c r="D55" s="17" t="n"/>
    </row>
    <row r="56">
      <c r="A56" s="24" t="n">
        <v>46252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46259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46266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46266</v>
      </c>
      <c r="B59" s="17" t="inlineStr">
        <is>
          <t>utorak</t>
        </is>
      </c>
      <c r="C59" s="11" t="inlineStr">
        <is>
          <t>Staklena ambalaža (prozirne vreće)</t>
        </is>
      </c>
      <c r="D59" s="17" t="n"/>
    </row>
    <row r="60">
      <c r="A60" s="24" t="n">
        <v>46267</v>
      </c>
      <c r="B60" s="17" t="inlineStr">
        <is>
          <t>srijeda</t>
        </is>
      </c>
      <c r="C60" s="10" t="inlineStr">
        <is>
          <t>Papir i karton (plavi spremnik)</t>
        </is>
      </c>
      <c r="D60" s="17" t="n"/>
    </row>
    <row r="61">
      <c r="A61" s="24" t="n">
        <v>46273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46274</v>
      </c>
      <c r="B62" s="17" t="inlineStr">
        <is>
          <t>srijeda</t>
        </is>
      </c>
      <c r="C62" s="9" t="inlineStr">
        <is>
          <t>Plastična i metalna ambalaža (spremnik s narančastim poklopcem)</t>
        </is>
      </c>
      <c r="D62" s="17" t="n"/>
    </row>
    <row r="63">
      <c r="A63" s="24" t="n">
        <v>46280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46287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46294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46301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46301</v>
      </c>
      <c r="B67" s="17" t="inlineStr">
        <is>
          <t>utorak</t>
        </is>
      </c>
      <c r="C67" s="11" t="inlineStr">
        <is>
          <t>Staklena ambalaža (prozirne vreće)</t>
        </is>
      </c>
      <c r="D67" s="17" t="n"/>
    </row>
    <row r="68">
      <c r="A68" s="24" t="n">
        <v>46302</v>
      </c>
      <c r="B68" s="17" t="inlineStr">
        <is>
          <t>srijeda</t>
        </is>
      </c>
      <c r="C68" s="10" t="inlineStr">
        <is>
          <t>Papir i karton (plavi spremnik)</t>
        </is>
      </c>
      <c r="D68" s="17" t="n"/>
    </row>
    <row r="69">
      <c r="A69" s="24" t="n">
        <v>46308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46309</v>
      </c>
      <c r="B70" s="17" t="inlineStr">
        <is>
          <t>srijeda</t>
        </is>
      </c>
      <c r="C70" s="9" t="inlineStr">
        <is>
          <t>Plastična i metalna ambalaža (spremnik s narančastim poklopcem)</t>
        </is>
      </c>
      <c r="D70" s="17" t="n"/>
    </row>
    <row r="71">
      <c r="A71" s="24" t="n">
        <v>46315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46322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46329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46329</v>
      </c>
      <c r="B74" s="17" t="inlineStr">
        <is>
          <t>utorak</t>
        </is>
      </c>
      <c r="C74" s="11" t="inlineStr">
        <is>
          <t>Staklena ambalaža (prozirne vreće)</t>
        </is>
      </c>
      <c r="D74" s="17" t="n"/>
    </row>
    <row r="75">
      <c r="A75" s="24" t="n">
        <v>46330</v>
      </c>
      <c r="B75" s="17" t="inlineStr">
        <is>
          <t>srijeda</t>
        </is>
      </c>
      <c r="C75" s="10" t="inlineStr">
        <is>
          <t>Papir i karton (plavi spremnik)</t>
        </is>
      </c>
      <c r="D75" s="17" t="n"/>
    </row>
    <row r="76">
      <c r="A76" s="24" t="n">
        <v>46336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46337</v>
      </c>
      <c r="B77" s="17" t="inlineStr">
        <is>
          <t>srijeda</t>
        </is>
      </c>
      <c r="C77" s="9" t="inlineStr">
        <is>
          <t>Plastična i metalna ambalaža (spremnik s narančastim poklopcem)</t>
        </is>
      </c>
      <c r="D77" s="17" t="n"/>
    </row>
    <row r="78">
      <c r="A78" s="24" t="n">
        <v>46343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46350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46357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46357</v>
      </c>
      <c r="B81" s="17" t="inlineStr">
        <is>
          <t>utorak</t>
        </is>
      </c>
      <c r="C81" s="11" t="inlineStr">
        <is>
          <t>Staklena ambalaža (prozirne vreće)</t>
        </is>
      </c>
      <c r="D81" s="17" t="n"/>
    </row>
    <row r="82">
      <c r="A82" s="24" t="n">
        <v>46358</v>
      </c>
      <c r="B82" s="17" t="inlineStr">
        <is>
          <t>srijeda</t>
        </is>
      </c>
      <c r="C82" s="10" t="inlineStr">
        <is>
          <t>Papir i karton (plavi spremnik)</t>
        </is>
      </c>
      <c r="D82" s="17" t="n"/>
    </row>
    <row r="83">
      <c r="A83" s="24" t="n">
        <v>46364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46365</v>
      </c>
      <c r="B84" s="17" t="inlineStr">
        <is>
          <t>srijeda</t>
        </is>
      </c>
      <c r="C84" s="9" t="inlineStr">
        <is>
          <t>Plastična i metalna ambalaža (spremnik s narančastim poklopcem)</t>
        </is>
      </c>
      <c r="D84" s="17" t="n"/>
    </row>
    <row r="85">
      <c r="A85" s="24" t="n">
        <v>46371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46378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46385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Zalesina</t>
        </is>
      </c>
    </row>
    <row r="6">
      <c r="A6" s="17" t="inlineStr">
        <is>
          <t>Dedin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
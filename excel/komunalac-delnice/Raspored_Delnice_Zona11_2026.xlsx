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</definedName>
    <definedName name="_xlnm._FilterDatabase" localSheetId="2" hidden="1">'Po vrsti'!$A$1:$D$13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(spremnik s narančastim poklopcem)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Plastična i metalna ambalaža (spremnik s narančastim poklopcem)</t>
        </is>
      </c>
    </row>
    <row r="10">
      <c r="A10" s="11" t="inlineStr">
        <is>
          <t>siječanj</t>
        </is>
      </c>
      <c r="B10" s="7">
        <f>COUNTIFS(Raspored!$C$5:$C$16,$A10,Raspored!$D$5:$D$16,"x")</f>
        <v/>
      </c>
    </row>
    <row r="11">
      <c r="A11" s="11" t="inlineStr">
        <is>
          <t>veljača</t>
        </is>
      </c>
      <c r="B11" s="7">
        <f>COUNTIFS(Raspored!$C$5:$C$16,$A11,Raspored!$D$5:$D$16,"x")</f>
        <v/>
      </c>
    </row>
    <row r="12">
      <c r="A12" s="11" t="inlineStr">
        <is>
          <t>ožujak</t>
        </is>
      </c>
      <c r="B12" s="7">
        <f>COUNTIFS(Raspored!$C$5:$C$16,$A12,Raspored!$D$5:$D$16,"x")</f>
        <v/>
      </c>
    </row>
    <row r="13">
      <c r="A13" s="11" t="inlineStr">
        <is>
          <t>travanj</t>
        </is>
      </c>
      <c r="B13" s="7">
        <f>COUNTIFS(Raspored!$C$5:$C$16,$A13,Raspored!$D$5:$D$16,"x")</f>
        <v/>
      </c>
    </row>
    <row r="14">
      <c r="A14" s="11" t="inlineStr">
        <is>
          <t>svibanj</t>
        </is>
      </c>
      <c r="B14" s="7">
        <f>COUNTIFS(Raspored!$C$5:$C$16,$A14,Raspored!$D$5:$D$16,"x")</f>
        <v/>
      </c>
    </row>
    <row r="15">
      <c r="A15" s="11" t="inlineStr">
        <is>
          <t>lipanj</t>
        </is>
      </c>
      <c r="B15" s="7">
        <f>COUNTIFS(Raspored!$C$5:$C$16,$A15,Raspored!$D$5:$D$16,"x")</f>
        <v/>
      </c>
    </row>
    <row r="16">
      <c r="A16" s="11" t="inlineStr">
        <is>
          <t>srpanj</t>
        </is>
      </c>
      <c r="B16" s="7">
        <f>COUNTIFS(Raspored!$C$5:$C$16,$A16,Raspored!$D$5:$D$16,"x")</f>
        <v/>
      </c>
    </row>
    <row r="17">
      <c r="A17" s="11" t="inlineStr">
        <is>
          <t>kolovoz</t>
        </is>
      </c>
      <c r="B17" s="7">
        <f>COUNTIFS(Raspored!$C$5:$C$16,$A17,Raspored!$D$5:$D$16,"x")</f>
        <v/>
      </c>
    </row>
    <row r="18">
      <c r="A18" s="11" t="inlineStr">
        <is>
          <t>rujan</t>
        </is>
      </c>
      <c r="B18" s="7">
        <f>COUNTIFS(Raspored!$C$5:$C$16,$A18,Raspored!$D$5:$D$16,"x")</f>
        <v/>
      </c>
    </row>
    <row r="19">
      <c r="A19" s="11" t="inlineStr">
        <is>
          <t>listopad</t>
        </is>
      </c>
      <c r="B19" s="7">
        <f>COUNTIFS(Raspored!$C$5:$C$16,$A19,Raspored!$D$5:$D$16,"x")</f>
        <v/>
      </c>
    </row>
    <row r="20">
      <c r="A20" s="11" t="inlineStr">
        <is>
          <t>studeni</t>
        </is>
      </c>
      <c r="B20" s="7">
        <f>COUNTIFS(Raspored!$C$5:$C$16,$A20,Raspored!$D$5:$D$16,"x")</f>
        <v/>
      </c>
    </row>
    <row r="21">
      <c r="A21" s="11" t="inlineStr">
        <is>
          <t>prosinac</t>
        </is>
      </c>
      <c r="B21" s="7">
        <f>COUNTIFS(Raspored!$C$5:$C$16,$A21,Raspored!$D$5:$D$16,"x")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Ove ulice/naselja nisu na rasporedu miješanog otpada. Tablice ne navode: papir, staklo.</t>
        </is>
      </c>
    </row>
    <row r="26">
      <c r="A26" s="15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7">
      <c r="A27" s="15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28">
      <c r="A28" s="15" t="inlineStr">
        <is>
          <t>• Za naselja koja tablice papira, ambalaže ili stakla ne navode, ta vrsta otpada nije prikazana.</t>
        </is>
      </c>
    </row>
    <row r="29">
      <c r="A29" s="15" t="inlineStr">
        <is>
          <t>• Krupni (glomazni) otpad skuplja se organizirano dva puta godišnje (proljeće i jesen).</t>
        </is>
      </c>
    </row>
    <row r="30">
      <c r="A30" s="15" t="inlineStr">
        <is>
          <t>• Reciklažno dvorište Sović Laz: 051 829 354.</t>
        </is>
      </c>
    </row>
    <row r="31">
      <c r="A31" s="15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(Delnice)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Plastična i metalna ambalaža (spremnik s narančastim poklopcem)</t>
        </is>
      </c>
      <c r="E4" s="4" t="inlineStr">
        <is>
          <t>Napomena</t>
        </is>
      </c>
    </row>
    <row r="5">
      <c r="A5" s="6" t="n">
        <v>46049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46077</v>
      </c>
      <c r="B6" s="7" t="inlineStr">
        <is>
          <t>utorak</t>
        </is>
      </c>
      <c r="C6" s="7" t="inlineStr">
        <is>
          <t>veljača</t>
        </is>
      </c>
      <c r="D6" s="7" t="inlineStr">
        <is>
          <t>x</t>
        </is>
      </c>
      <c r="E6" s="17" t="n"/>
    </row>
    <row r="7">
      <c r="A7" s="6" t="n">
        <v>46105</v>
      </c>
      <c r="B7" s="7" t="inlineStr">
        <is>
          <t>utorak</t>
        </is>
      </c>
      <c r="C7" s="7" t="inlineStr">
        <is>
          <t>ožujak</t>
        </is>
      </c>
      <c r="D7" s="7" t="inlineStr">
        <is>
          <t>x</t>
        </is>
      </c>
      <c r="E7" s="17" t="n"/>
    </row>
    <row r="8">
      <c r="A8" s="6" t="n">
        <v>46133</v>
      </c>
      <c r="B8" s="7" t="inlineStr">
        <is>
          <t>utorak</t>
        </is>
      </c>
      <c r="C8" s="7" t="inlineStr">
        <is>
          <t>travanj</t>
        </is>
      </c>
      <c r="D8" s="7" t="inlineStr">
        <is>
          <t>x</t>
        </is>
      </c>
      <c r="E8" s="17" t="n"/>
    </row>
    <row r="9">
      <c r="A9" s="6" t="n">
        <v>46168</v>
      </c>
      <c r="B9" s="7" t="inlineStr">
        <is>
          <t>utorak</t>
        </is>
      </c>
      <c r="C9" s="7" t="inlineStr">
        <is>
          <t>svibanj</t>
        </is>
      </c>
      <c r="D9" s="7" t="inlineStr">
        <is>
          <t>x</t>
        </is>
      </c>
      <c r="E9" s="17" t="n"/>
    </row>
    <row r="10">
      <c r="A10" s="6" t="n">
        <v>46196</v>
      </c>
      <c r="B10" s="7" t="inlineStr">
        <is>
          <t>utorak</t>
        </is>
      </c>
      <c r="C10" s="7" t="inlineStr">
        <is>
          <t>lipanj</t>
        </is>
      </c>
      <c r="D10" s="7" t="inlineStr">
        <is>
          <t>x</t>
        </is>
      </c>
      <c r="E10" s="17" t="n"/>
    </row>
    <row r="11">
      <c r="A11" s="6" t="n">
        <v>46224</v>
      </c>
      <c r="B11" s="7" t="inlineStr">
        <is>
          <t>utorak</t>
        </is>
      </c>
      <c r="C11" s="7" t="inlineStr">
        <is>
          <t>srpanj</t>
        </is>
      </c>
      <c r="D11" s="7" t="inlineStr">
        <is>
          <t>x</t>
        </is>
      </c>
      <c r="E11" s="17" t="n"/>
    </row>
    <row r="12">
      <c r="A12" s="6" t="n">
        <v>46259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17" t="n"/>
    </row>
    <row r="13">
      <c r="A13" s="6" t="n">
        <v>46287</v>
      </c>
      <c r="B13" s="7" t="inlineStr">
        <is>
          <t>utorak</t>
        </is>
      </c>
      <c r="C13" s="7" t="inlineStr">
        <is>
          <t>rujan</t>
        </is>
      </c>
      <c r="D13" s="7" t="inlineStr">
        <is>
          <t>x</t>
        </is>
      </c>
      <c r="E13" s="17" t="n"/>
    </row>
    <row r="14">
      <c r="A14" s="6" t="n">
        <v>46322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17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17" t="n"/>
    </row>
    <row r="16">
      <c r="A16" s="6" t="n">
        <v>46378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17" t="n"/>
    </row>
  </sheetData>
  <autoFilter ref="A4:E16"/>
  <conditionalFormatting sqref="D5:D16">
    <cfRule type="expression" priority="1" dxfId="0">
      <formula>D5="x"</formula>
    </cfRule>
  </conditionalFormatting>
  <conditionalFormatting sqref="A5:E1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46049</v>
      </c>
      <c r="B2" s="11" t="inlineStr">
        <is>
          <t>utorak</t>
        </is>
      </c>
      <c r="C2" s="5" t="inlineStr">
        <is>
          <t>Plastična i metalna ambalaža (spremnik s narančastim poklopcem)</t>
        </is>
      </c>
      <c r="D2" s="11" t="n"/>
    </row>
    <row r="3">
      <c r="A3" s="18" t="n">
        <v>46077</v>
      </c>
      <c r="B3" s="11" t="inlineStr">
        <is>
          <t>utorak</t>
        </is>
      </c>
      <c r="C3" s="5" t="inlineStr">
        <is>
          <t>Plastična i metalna ambalaža (spremnik s narančastim poklopcem)</t>
        </is>
      </c>
      <c r="D3" s="11" t="n"/>
    </row>
    <row r="4">
      <c r="A4" s="18" t="n">
        <v>46105</v>
      </c>
      <c r="B4" s="11" t="inlineStr">
        <is>
          <t>utorak</t>
        </is>
      </c>
      <c r="C4" s="5" t="inlineStr">
        <is>
          <t>Plastična i metalna ambalaža (spremnik s narančastim poklopcem)</t>
        </is>
      </c>
      <c r="D4" s="11" t="n"/>
    </row>
    <row r="5">
      <c r="A5" s="18" t="n">
        <v>46133</v>
      </c>
      <c r="B5" s="11" t="inlineStr">
        <is>
          <t>utorak</t>
        </is>
      </c>
      <c r="C5" s="5" t="inlineStr">
        <is>
          <t>Plastična i metalna ambalaža (spremnik s narančastim poklopcem)</t>
        </is>
      </c>
      <c r="D5" s="11" t="n"/>
    </row>
    <row r="6">
      <c r="A6" s="18" t="n">
        <v>46168</v>
      </c>
      <c r="B6" s="11" t="inlineStr">
        <is>
          <t>utorak</t>
        </is>
      </c>
      <c r="C6" s="5" t="inlineStr">
        <is>
          <t>Plastična i metalna ambalaža (spremnik s narančastim poklopcem)</t>
        </is>
      </c>
      <c r="D6" s="11" t="n"/>
    </row>
    <row r="7">
      <c r="A7" s="18" t="n">
        <v>46196</v>
      </c>
      <c r="B7" s="11" t="inlineStr">
        <is>
          <t>utorak</t>
        </is>
      </c>
      <c r="C7" s="5" t="inlineStr">
        <is>
          <t>Plastična i metalna ambalaža (spremnik s narančastim poklopcem)</t>
        </is>
      </c>
      <c r="D7" s="11" t="n"/>
    </row>
    <row r="8">
      <c r="A8" s="18" t="n">
        <v>46224</v>
      </c>
      <c r="B8" s="11" t="inlineStr">
        <is>
          <t>utorak</t>
        </is>
      </c>
      <c r="C8" s="5" t="inlineStr">
        <is>
          <t>Plastična i metalna ambalaža (spremnik s narančastim poklopcem)</t>
        </is>
      </c>
      <c r="D8" s="11" t="n"/>
    </row>
    <row r="9">
      <c r="A9" s="18" t="n">
        <v>46259</v>
      </c>
      <c r="B9" s="11" t="inlineStr">
        <is>
          <t>utorak</t>
        </is>
      </c>
      <c r="C9" s="5" t="inlineStr">
        <is>
          <t>Plastična i metalna ambalaža (spremnik s narančastim poklopcem)</t>
        </is>
      </c>
      <c r="D9" s="11" t="n"/>
    </row>
    <row r="10">
      <c r="A10" s="18" t="n">
        <v>46287</v>
      </c>
      <c r="B10" s="11" t="inlineStr">
        <is>
          <t>utorak</t>
        </is>
      </c>
      <c r="C10" s="5" t="inlineStr">
        <is>
          <t>Plastična i metalna ambalaža (spremnik s narančastim poklopcem)</t>
        </is>
      </c>
      <c r="D10" s="11" t="n"/>
    </row>
    <row r="11">
      <c r="A11" s="18" t="n">
        <v>46322</v>
      </c>
      <c r="B11" s="11" t="inlineStr">
        <is>
          <t>utorak</t>
        </is>
      </c>
      <c r="C11" s="5" t="inlineStr">
        <is>
          <t>Plastična i metalna ambalaža (spremnik s narančastim poklopcem)</t>
        </is>
      </c>
      <c r="D11" s="11" t="n"/>
    </row>
    <row r="12">
      <c r="A12" s="18" t="n">
        <v>46350</v>
      </c>
      <c r="B12" s="11" t="inlineStr">
        <is>
          <t>utorak</t>
        </is>
      </c>
      <c r="C12" s="5" t="inlineStr">
        <is>
          <t>Plastična i metalna ambalaža (spremnik s narančastim poklopcem)</t>
        </is>
      </c>
      <c r="D12" s="11" t="n"/>
    </row>
    <row r="13">
      <c r="A13" s="18" t="n">
        <v>46378</v>
      </c>
      <c r="B13" s="11" t="inlineStr">
        <is>
          <t>utorak</t>
        </is>
      </c>
      <c r="C13" s="5" t="inlineStr">
        <is>
          <t>Plastična i metalna ambalaža (spremnik s narančastim poklopcem)</t>
        </is>
      </c>
      <c r="D13" s="11" t="n"/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(Delnice): ulice i naselja</t>
        </is>
      </c>
    </row>
    <row r="4">
      <c r="A4" s="4" t="inlineStr">
        <is>
          <t>Ulica / naselje</t>
        </is>
      </c>
    </row>
    <row r="5">
      <c r="A5" s="11" t="inlineStr">
        <is>
          <t>Podlučički Vrh</t>
        </is>
      </c>
    </row>
    <row r="6">
      <c r="A6" s="11" t="inlineStr">
        <is>
          <t>Podštore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
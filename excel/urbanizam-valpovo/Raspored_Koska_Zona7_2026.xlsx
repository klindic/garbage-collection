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'Raspored'!$A$4:$G$17</definedName>
    <definedName name="_xlnm._FilterDatabase" localSheetId="2" hidden="1">'Po vrsti'!$A$1:$D$14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IFERROR(1/(1/_xlfn.MINIFS(Raspored!$A$5:$A$17,Raspored!$D$5:$D$17,"x",Raspored!$A$5:$A$17,"&gt;="&amp;$B$3)),"nema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COUNTIF(Raspored!$D$5:$D$17,"x")</f>
        <v/>
      </c>
    </row>
    <row r="7">
      <c r="A7" s="9" t="inlineStr">
        <is>
          <t>Ambalažna plastika</t>
        </is>
      </c>
      <c r="B7" s="6">
        <f>IFERROR(1/(1/_xlfn.MINIFS(Raspored!$A$5:$A$17,Raspored!$E$5:$E$17,"x",Raspored!$A$5:$A$17,"&gt;="&amp;$B$3)),"nema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COUNTIF(Raspored!$E$5:$E$17,"x")</f>
        <v/>
      </c>
    </row>
    <row r="8">
      <c r="A8" s="10" t="inlineStr">
        <is>
          <t>Papir i karton</t>
        </is>
      </c>
      <c r="B8" s="6">
        <f>IFERROR(1/(1/_xlfn.MINIFS(Raspored!$A$5:$A$17,Raspored!$F$5:$F$17,"x",Raspored!$A$5:$A$17,"&gt;="&amp;$B$3)),"nema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Ambalažna 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COUNTIFS(Raspored!$C$5:$C$17,$A12,Raspored!$D$5:$D$17,"x")</f>
        <v/>
      </c>
      <c r="C12" s="7">
        <f>COUNTIFS(Raspored!$C$5:$C$17,$A12,Raspored!$E$5:$E$17,"x")</f>
        <v/>
      </c>
      <c r="D12" s="7">
        <f>COUNTIFS(Raspored!$C$5:$C$17,$A12,Raspored!$F$5:$F$17,"x")</f>
        <v/>
      </c>
    </row>
    <row r="13">
      <c r="A13" s="15" t="inlineStr">
        <is>
          <t>veljača</t>
        </is>
      </c>
      <c r="B13" s="7">
        <f>COUNTIFS(Raspored!$C$5:$C$17,$A13,Raspored!$D$5:$D$17,"x")</f>
        <v/>
      </c>
      <c r="C13" s="7">
        <f>COUNTIFS(Raspored!$C$5:$C$17,$A13,Raspored!$E$5:$E$17,"x")</f>
        <v/>
      </c>
      <c r="D13" s="7">
        <f>COUNTIFS(Raspored!$C$5:$C$17,$A13,Raspored!$F$5:$F$17,"x")</f>
        <v/>
      </c>
    </row>
    <row r="14">
      <c r="A14" s="15" t="inlineStr">
        <is>
          <t>ožujak</t>
        </is>
      </c>
      <c r="B14" s="7">
        <f>COUNTIFS(Raspored!$C$5:$C$17,$A14,Raspored!$D$5:$D$17,"x")</f>
        <v/>
      </c>
      <c r="C14" s="7">
        <f>COUNTIFS(Raspored!$C$5:$C$17,$A14,Raspored!$E$5:$E$17,"x")</f>
        <v/>
      </c>
      <c r="D14" s="7">
        <f>COUNTIFS(Raspored!$C$5:$C$17,$A14,Raspored!$F$5:$F$17,"x")</f>
        <v/>
      </c>
    </row>
    <row r="15">
      <c r="A15" s="15" t="inlineStr">
        <is>
          <t>travanj</t>
        </is>
      </c>
      <c r="B15" s="7">
        <f>COUNTIFS(Raspored!$C$5:$C$17,$A15,Raspored!$D$5:$D$17,"x")</f>
        <v/>
      </c>
      <c r="C15" s="7">
        <f>COUNTIFS(Raspored!$C$5:$C$17,$A15,Raspored!$E$5:$E$17,"x")</f>
        <v/>
      </c>
      <c r="D15" s="7">
        <f>COUNTIFS(Raspored!$C$5:$C$17,$A15,Raspored!$F$5:$F$17,"x")</f>
        <v/>
      </c>
    </row>
    <row r="16">
      <c r="A16" s="15" t="inlineStr">
        <is>
          <t>svibanj</t>
        </is>
      </c>
      <c r="B16" s="7">
        <f>COUNTIFS(Raspored!$C$5:$C$17,$A16,Raspored!$D$5:$D$17,"x")</f>
        <v/>
      </c>
      <c r="C16" s="7">
        <f>COUNTIFS(Raspored!$C$5:$C$17,$A16,Raspored!$E$5:$E$17,"x")</f>
        <v/>
      </c>
      <c r="D16" s="7">
        <f>COUNTIFS(Raspored!$C$5:$C$17,$A16,Raspored!$F$5:$F$17,"x")</f>
        <v/>
      </c>
    </row>
    <row r="17">
      <c r="A17" s="15" t="inlineStr">
        <is>
          <t>lipanj</t>
        </is>
      </c>
      <c r="B17" s="7">
        <f>COUNTIFS(Raspored!$C$5:$C$17,$A17,Raspored!$D$5:$D$17,"x")</f>
        <v/>
      </c>
      <c r="C17" s="7">
        <f>COUNTIFS(Raspored!$C$5:$C$17,$A17,Raspored!$E$5:$E$17,"x")</f>
        <v/>
      </c>
      <c r="D17" s="7">
        <f>COUNTIFS(Raspored!$C$5:$C$17,$A17,Raspored!$F$5:$F$17,"x")</f>
        <v/>
      </c>
    </row>
    <row r="18">
      <c r="A18" s="15" t="inlineStr">
        <is>
          <t>srpanj</t>
        </is>
      </c>
      <c r="B18" s="7">
        <f>COUNTIFS(Raspored!$C$5:$C$17,$A18,Raspored!$D$5:$D$17,"x")</f>
        <v/>
      </c>
      <c r="C18" s="7">
        <f>COUNTIFS(Raspored!$C$5:$C$17,$A18,Raspored!$E$5:$E$17,"x")</f>
        <v/>
      </c>
      <c r="D18" s="7">
        <f>COUNTIFS(Raspored!$C$5:$C$17,$A18,Raspored!$F$5:$F$17,"x")</f>
        <v/>
      </c>
    </row>
    <row r="19">
      <c r="A19" s="15" t="inlineStr">
        <is>
          <t>kolovoz</t>
        </is>
      </c>
      <c r="B19" s="7">
        <f>COUNTIFS(Raspored!$C$5:$C$17,$A19,Raspored!$D$5:$D$17,"x")</f>
        <v/>
      </c>
      <c r="C19" s="7">
        <f>COUNTIFS(Raspored!$C$5:$C$17,$A19,Raspored!$E$5:$E$17,"x")</f>
        <v/>
      </c>
      <c r="D19" s="7">
        <f>COUNTIFS(Raspored!$C$5:$C$17,$A19,Raspored!$F$5:$F$17,"x")</f>
        <v/>
      </c>
    </row>
    <row r="20">
      <c r="A20" s="15" t="inlineStr">
        <is>
          <t>rujan</t>
        </is>
      </c>
      <c r="B20" s="7">
        <f>COUNTIFS(Raspored!$C$5:$C$17,$A20,Raspored!$D$5:$D$17,"x")</f>
        <v/>
      </c>
      <c r="C20" s="7">
        <f>COUNTIFS(Raspored!$C$5:$C$17,$A20,Raspored!$E$5:$E$17,"x")</f>
        <v/>
      </c>
      <c r="D20" s="7">
        <f>COUNTIFS(Raspored!$C$5:$C$17,$A20,Raspored!$F$5:$F$17,"x")</f>
        <v/>
      </c>
    </row>
    <row r="21">
      <c r="A21" s="15" t="inlineStr">
        <is>
          <t>listopad</t>
        </is>
      </c>
      <c r="B21" s="7">
        <f>COUNTIFS(Raspored!$C$5:$C$17,$A21,Raspored!$D$5:$D$17,"x")</f>
        <v/>
      </c>
      <c r="C21" s="7">
        <f>COUNTIFS(Raspored!$C$5:$C$17,$A21,Raspored!$E$5:$E$17,"x")</f>
        <v/>
      </c>
      <c r="D21" s="7">
        <f>COUNTIFS(Raspored!$C$5:$C$17,$A21,Raspored!$F$5:$F$17,"x")</f>
        <v/>
      </c>
    </row>
    <row r="22">
      <c r="A22" s="15" t="inlineStr">
        <is>
          <t>studeni</t>
        </is>
      </c>
      <c r="B22" s="7">
        <f>COUNTIFS(Raspored!$C$5:$C$17,$A22,Raspored!$D$5:$D$17,"x")</f>
        <v/>
      </c>
      <c r="C22" s="7">
        <f>COUNTIFS(Raspored!$C$5:$C$17,$A22,Raspored!$E$5:$E$17,"x")</f>
        <v/>
      </c>
      <c r="D22" s="7">
        <f>COUNTIFS(Raspored!$C$5:$C$17,$A22,Raspored!$F$5:$F$17,"x")</f>
        <v/>
      </c>
    </row>
    <row r="23">
      <c r="A23" s="15" t="inlineStr">
        <is>
          <t>prosinac</t>
        </is>
      </c>
      <c r="B23" s="7">
        <f>COUNTIFS(Raspored!$C$5:$C$17,$A23,Raspored!$D$5:$D$17,"x")</f>
        <v/>
      </c>
      <c r="C23" s="7">
        <f>COUNTIFS(Raspored!$C$5:$C$17,$A23,Raspored!$E$5:$E$17,"x")</f>
        <v/>
      </c>
      <c r="D23" s="7">
        <f>COUNTIFS(Raspored!$C$5:$C$17,$A23,Raspored!$F$5:$F$17,"x")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Urbanizam d.o.o. Valpovo za Općinu Koška od 09.10.2026. (raspored objavljen u listopadu 2026.); prije toga Eko-Flor Plus / Mull-Trans. Odvoz izvan uobičajenog dana prema rasporedu: 28.12., 30.12.</t>
        </is>
      </c>
    </row>
    <row r="29">
      <c r="A29" s="19" t="inlineStr">
        <is>
          <t>• Valpovo: miješani komunalni otpad odvozi se svaki tjedan na dan naveden za zonu; biootpad, plastika i metal, papir i tetrapak te staklo na dane označene u kalendaru.</t>
        </is>
      </c>
    </row>
    <row r="30">
      <c r="A30" s="19" t="inlineStr">
        <is>
          <t>• Tetrapak se odvozi istog dana kao papir, a metal istog dana kao plastika (odvojene vrećice).</t>
        </is>
      </c>
    </row>
    <row r="31">
      <c r="A31" s="19" t="inlineStr">
        <is>
          <t>• Kalendari nemaju pomake zbog blagdana; Urbanizam ih objavljuje u obavijestima na urbanizam-valpovo.hr (uključene su objavljene promjene za ovu godinu), ostali datumi su prema rasporedu.</t>
        </is>
      </c>
    </row>
    <row r="32">
      <c r="A32" s="19" t="inlineStr">
        <is>
          <t>• Spremnike i vrećice treba iznijeti najkasnije do 6:00 (ljeti od 5:00) na dan odvoza.</t>
        </is>
      </c>
    </row>
    <row r="33">
      <c r="A33" s="19" t="inlineStr">
        <is>
          <t>• Informacije: 031/656-078.</t>
        </is>
      </c>
    </row>
    <row r="34">
      <c r="A34" s="19" t="inlineStr">
        <is>
          <t>• Izvori: https://www.urbanizam-valpovo.hr/wp-content/uploads/2025/12/RASPORED-ODVOZA-od-sijecnja-do-lipnja-2026.pdf, https://www.urbanizam-valpovo.hr/wp-content/uploads/2026/06/RASPORED-ODVOZA-od-srpnja-do-prosinca-2026-PRINT.pdf, https://www.urbanizam-valpovo.hr/wp-content/uploads/2026/10/Raspored-odvoza-otpada-Opcina-Koska-2026.pdf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 (Koška)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Ambalažna 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46304</v>
      </c>
      <c r="B5" s="7" t="inlineStr">
        <is>
          <t>petak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46311</v>
      </c>
      <c r="B6" s="7" t="inlineStr">
        <is>
          <t>petak</t>
        </is>
      </c>
      <c r="C6" s="7" t="inlineStr">
        <is>
          <t>listopad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46318</v>
      </c>
      <c r="B7" s="7" t="inlineStr">
        <is>
          <t>petak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46325</v>
      </c>
      <c r="B8" s="7" t="inlineStr">
        <is>
          <t>petak</t>
        </is>
      </c>
      <c r="C8" s="7" t="inlineStr">
        <is>
          <t>listopad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46332</v>
      </c>
      <c r="B9" s="7" t="inlineStr">
        <is>
          <t>petak</t>
        </is>
      </c>
      <c r="C9" s="7" t="inlineStr">
        <is>
          <t>studeni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46339</v>
      </c>
      <c r="B10" s="7" t="inlineStr">
        <is>
          <t>petak</t>
        </is>
      </c>
      <c r="C10" s="7" t="inlineStr">
        <is>
          <t>studeni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46346</v>
      </c>
      <c r="B11" s="7" t="inlineStr">
        <is>
          <t>petak</t>
        </is>
      </c>
      <c r="C11" s="7" t="inlineStr">
        <is>
          <t>studeni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46353</v>
      </c>
      <c r="B12" s="7" t="inlineStr">
        <is>
          <t>petak</t>
        </is>
      </c>
      <c r="C12" s="7" t="inlineStr">
        <is>
          <t>studeni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46360</v>
      </c>
      <c r="B13" s="7" t="inlineStr">
        <is>
          <t>petak</t>
        </is>
      </c>
      <c r="C13" s="7" t="inlineStr">
        <is>
          <t>prosinac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46367</v>
      </c>
      <c r="B14" s="7" t="inlineStr">
        <is>
          <t>petak</t>
        </is>
      </c>
      <c r="C14" s="7" t="inlineStr">
        <is>
          <t>prosinac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46374</v>
      </c>
      <c r="B15" s="7" t="inlineStr">
        <is>
          <t>petak</t>
        </is>
      </c>
      <c r="C15" s="7" t="inlineStr">
        <is>
          <t>prosinac</t>
        </is>
      </c>
      <c r="D15" s="7" t="inlineStr">
        <is>
          <t>x</t>
        </is>
      </c>
      <c r="E15" s="7" t="n"/>
      <c r="F15" s="7" t="n"/>
      <c r="G15" s="21" t="n"/>
    </row>
    <row r="16">
      <c r="A16" s="22" t="n">
        <v>46384</v>
      </c>
      <c r="B16" s="23" t="inlineStr">
        <is>
          <t>ponedjeljak</t>
        </is>
      </c>
      <c r="C16" s="7" t="inlineStr">
        <is>
          <t>prosinac</t>
        </is>
      </c>
      <c r="D16" s="7" t="n"/>
      <c r="E16" s="7" t="inlineStr">
        <is>
          <t>x</t>
        </is>
      </c>
      <c r="F16" s="7" t="n"/>
      <c r="G16" s="21" t="inlineStr">
        <is>
          <t>Pomaknuto zbog neradnog dana u tjednu</t>
        </is>
      </c>
    </row>
    <row r="17">
      <c r="A17" s="22" t="n">
        <v>46386</v>
      </c>
      <c r="B17" s="23" t="inlineStr">
        <is>
          <t>srijeda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n"/>
      <c r="G17" s="21" t="inlineStr">
        <is>
          <t>Pomaknuto zbog neradnog dana u tjednu</t>
        </is>
      </c>
    </row>
  </sheetData>
  <autoFilter ref="A4:G17"/>
  <conditionalFormatting sqref="D5:D17">
    <cfRule type="expression" priority="1" dxfId="0">
      <formula>D5="x"</formula>
    </cfRule>
  </conditionalFormatting>
  <conditionalFormatting sqref="E5:E17">
    <cfRule type="expression" priority="2" dxfId="1">
      <formula>E5="x"</formula>
    </cfRule>
  </conditionalFormatting>
  <conditionalFormatting sqref="F5:F17">
    <cfRule type="expression" priority="3" dxfId="2">
      <formula>F5="x"</formula>
    </cfRule>
  </conditionalFormatting>
  <conditionalFormatting sqref="A5:G1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46304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46311</v>
      </c>
      <c r="B3" s="15" t="inlineStr">
        <is>
          <t>petak</t>
        </is>
      </c>
      <c r="C3" s="10" t="inlineStr">
        <is>
          <t>Papir i karton</t>
        </is>
      </c>
      <c r="D3" s="15" t="n"/>
    </row>
    <row r="4">
      <c r="A4" s="24" t="n">
        <v>46318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46325</v>
      </c>
      <c r="B5" s="15" t="inlineStr">
        <is>
          <t>petak</t>
        </is>
      </c>
      <c r="C5" s="9" t="inlineStr">
        <is>
          <t>Ambalažna plastika</t>
        </is>
      </c>
      <c r="D5" s="15" t="n"/>
    </row>
    <row r="6">
      <c r="A6" s="24" t="n">
        <v>46332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46339</v>
      </c>
      <c r="B7" s="15" t="inlineStr">
        <is>
          <t>petak</t>
        </is>
      </c>
      <c r="C7" s="10" t="inlineStr">
        <is>
          <t>Papir i karton</t>
        </is>
      </c>
      <c r="D7" s="15" t="n"/>
    </row>
    <row r="8">
      <c r="A8" s="24" t="n">
        <v>46346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46353</v>
      </c>
      <c r="B9" s="15" t="inlineStr">
        <is>
          <t>petak</t>
        </is>
      </c>
      <c r="C9" s="9" t="inlineStr">
        <is>
          <t>Ambalažna plastika</t>
        </is>
      </c>
      <c r="D9" s="15" t="n"/>
    </row>
    <row r="10">
      <c r="A10" s="24" t="n">
        <v>46360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46367</v>
      </c>
      <c r="B11" s="15" t="inlineStr">
        <is>
          <t>petak</t>
        </is>
      </c>
      <c r="C11" s="10" t="inlineStr">
        <is>
          <t>Papir i karton</t>
        </is>
      </c>
      <c r="D11" s="15" t="n"/>
    </row>
    <row r="12">
      <c r="A12" s="24" t="n">
        <v>46374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46384</v>
      </c>
      <c r="B13" s="15" t="inlineStr">
        <is>
          <t>ponedjeljak</t>
        </is>
      </c>
      <c r="C13" s="9" t="inlineStr">
        <is>
          <t>Ambalažna plastika</t>
        </is>
      </c>
      <c r="D13" s="15" t="inlineStr">
        <is>
          <t>Pomaknuto zbog neradnog dana u tjednu</t>
        </is>
      </c>
    </row>
    <row r="14">
      <c r="A14" s="24" t="n">
        <v>46386</v>
      </c>
      <c r="B14" s="15" t="inlineStr">
        <is>
          <t>srijeda</t>
        </is>
      </c>
      <c r="C14" s="5" t="inlineStr">
        <is>
          <t>Miješani komunalni otpad</t>
        </is>
      </c>
      <c r="D14" s="15" t="inlineStr">
        <is>
          <t>Pomaknuto zbog neradnog dana u tjednu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(Koška): ulice i naselja</t>
        </is>
      </c>
    </row>
    <row r="4">
      <c r="A4" s="4" t="inlineStr">
        <is>
          <t>Ulica / naselje</t>
        </is>
      </c>
    </row>
    <row r="5">
      <c r="A5" s="15" t="inlineStr">
        <is>
          <t>Ordanja</t>
        </is>
      </c>
    </row>
    <row r="6">
      <c r="A6" s="15" t="inlineStr">
        <is>
          <t>Andrijevac</t>
        </is>
      </c>
    </row>
    <row r="7">
      <c r="A7" s="15" t="inlineStr">
        <is>
          <t>Branimirovac</t>
        </is>
      </c>
    </row>
    <row r="8">
      <c r="A8" s="15" t="inlineStr">
        <is>
          <t>Lug Subotički</t>
        </is>
      </c>
    </row>
    <row r="9">
      <c r="A9" s="15" t="inlineStr">
        <is>
          <t>Normanci</t>
        </is>
      </c>
    </row>
    <row r="10">
      <c r="A10" s="15" t="inlineStr">
        <is>
          <t>Topoline</t>
        </is>
      </c>
    </row>
    <row r="11">
      <c r="A11" s="15" t="inlineStr">
        <is>
          <t>Ledenik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2026-10-08T06:01:20Z</dcterms:created>
  <dcterms:modified xmlns:dcterms="http://purl.org/dc/terms/" xmlns:xsi="http://www.w3.org/2001/XMLSchema-instance" xsi:type="dcterms:W3CDTF">2026-10-08T06:01:20Z</dcterms:modified>
</cp:coreProperties>
</file>
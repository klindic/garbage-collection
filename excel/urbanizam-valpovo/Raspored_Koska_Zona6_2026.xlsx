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led" sheetId="1" state="visible" r:id="rId1"/>
    <sheet xmlns:r="http://schemas.openxmlformats.org/officeDocument/2006/relationships" name="Raspored" sheetId="2" state="visible" r:id="rId2"/>
    <sheet xmlns:r="http://schemas.openxmlformats.org/officeDocument/2006/relationships" name="Po vrsti" sheetId="3" state="visible" r:id="rId3"/>
    <sheet xmlns:r="http://schemas.openxmlformats.org/officeDocument/2006/relationships" name="Ulice i naselja" sheetId="4" state="visible" r:id="rId4"/>
  </sheets>
  <definedNames>
    <definedName name="_xlnm._FilterDatabase" localSheetId="1" hidden="1">'Raspored'!$A$4:$G$17</definedName>
    <definedName name="_xlnm._FilterDatabase" localSheetId="2" hidden="1">'Po vrsti'!$A$1:$D$14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."/>
  </numFmts>
  <fonts count="11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  <b val="1"/>
      <color rgb="00000000"/>
    </font>
    <font>
      <name val="Arial"/>
    </font>
    <font>
      <name val="Arial"/>
      <b val="1"/>
      <color rgb="00C00000"/>
    </font>
    <font>
      <name val="Arial"/>
      <b val="1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6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262626"/>
      </patternFill>
    </fill>
    <fill>
      <patternFill patternType="solid">
        <fgColor rgb="00FFE600"/>
      </patternFill>
    </fill>
    <fill>
      <patternFill patternType="solid">
        <fgColor rgb="003B6EF5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0" borderId="0" pivotButton="0" quotePrefix="0" xfId="0"/>
    <xf numFmtId="0" fontId="7" fillId="0" borderId="0" pivotButton="0" quotePrefix="0" xfId="0"/>
    <xf numFmtId="165" fontId="5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165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1" fontId="5" fillId="0" borderId="1" applyAlignment="1" pivotButton="0" quotePrefix="0" xfId="0">
      <alignment horizontal="center" vertical="center" wrapText="1"/>
    </xf>
    <xf numFmtId="0" fontId="4" fillId="4" borderId="1" pivotButton="0" quotePrefix="0" xfId="0"/>
    <xf numFmtId="0" fontId="3" fillId="5" borderId="1" pivotButton="0" quotePrefix="0" xfId="0"/>
    <xf numFmtId="0" fontId="8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5" fillId="0" borderId="1" pivotButton="0" quotePrefix="0" xfId="0"/>
    <xf numFmtId="0" fontId="7" fillId="0" borderId="1" pivotButton="0" quotePrefix="0" xfId="0"/>
    <xf numFmtId="0" fontId="7" fillId="0" borderId="1" applyAlignment="1" pivotButton="0" quotePrefix="0" xfId="0">
      <alignment horizontal="center" vertical="center" wrapText="1"/>
    </xf>
    <xf numFmtId="0" fontId="9" fillId="0" borderId="0" pivotButton="0" quotePrefix="0" xfId="0"/>
    <xf numFmtId="0" fontId="10" fillId="0" borderId="0" pivotButton="0" quotePrefix="0" xfId="0"/>
    <xf numFmtId="0" fontId="2" fillId="0" borderId="0" pivotButton="0" quotePrefix="0" xfId="0"/>
    <xf numFmtId="0" fontId="5" fillId="0" borderId="1" applyAlignment="1" pivotButton="0" quotePrefix="0" xfId="0">
      <alignment vertical="center"/>
    </xf>
    <xf numFmtId="165" fontId="6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165" fontId="5" fillId="0" borderId="1" pivotButton="0" quotePrefix="0" xfId="0"/>
  </cellXfs>
  <cellStyles count="1">
    <cellStyle name="Normal" xfId="0" builtinId="0" hidden="0"/>
  </cellStyles>
  <dxfs count="4">
    <dxf>
      <font>
        <b val="1"/>
        <color rgb="00FFFFFF"/>
      </font>
      <fill>
        <patternFill patternType="solid">
          <fgColor rgb="00262626"/>
          <bgColor rgb="00262626"/>
        </patternFill>
      </fill>
    </dxf>
    <dxf>
      <font>
        <b val="1"/>
        <color rgb="00000000"/>
      </font>
      <fill>
        <patternFill patternType="solid">
          <fgColor rgb="00FFE600"/>
          <bgColor rgb="00FFE600"/>
        </patternFill>
      </fill>
    </dxf>
    <dxf>
      <font>
        <b val="1"/>
        <color rgb="00FFFFFF"/>
      </font>
      <fill>
        <patternFill patternType="solid">
          <fgColor rgb="003B6EF5"/>
          <bgColor rgb="003B6EF5"/>
        </patternFill>
      </fill>
    </dxf>
    <dxf>
      <font>
        <color rgb="00A6A6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0" customWidth="1" min="5" max="5"/>
  </cols>
  <sheetData>
    <row r="1">
      <c r="A1" s="1" t="inlineStr">
        <is>
          <t>Zona 6, 2026: pregled odvoza</t>
        </is>
      </c>
    </row>
    <row r="3">
      <c r="A3" s="2" t="inlineStr">
        <is>
          <t>Danas</t>
        </is>
      </c>
      <c r="B3" s="3">
        <f>TODAY()</f>
        <v/>
      </c>
    </row>
    <row r="5">
      <c r="A5" s="4" t="inlineStr">
        <is>
          <t>Vrsta otpada</t>
        </is>
      </c>
      <c r="B5" s="4" t="inlineStr">
        <is>
          <t>Sljedeći odvoz</t>
        </is>
      </c>
      <c r="C5" s="4" t="inlineStr">
        <is>
          <t>Dan</t>
        </is>
      </c>
      <c r="D5" s="4" t="inlineStr">
        <is>
          <t>Za dana</t>
        </is>
      </c>
      <c r="E5" s="4" t="inlineStr">
        <is>
          <t>Ukupno u 2026.</t>
        </is>
      </c>
    </row>
    <row r="6">
      <c r="A6" s="5" t="inlineStr">
        <is>
          <t>Miješani komunalni otpad</t>
        </is>
      </c>
      <c r="B6" s="6">
        <f>IFERROR(1/(1/_xlfn.MINIFS(Raspored!$A$5:$A$17,Raspored!$D$5:$D$17,"x",Raspored!$A$5:$A$17,"&gt;="&amp;$B$3)),"nema više u 2026.")</f>
        <v/>
      </c>
      <c r="C6" s="7">
        <f>IF(ISNUMBER(B6),INDEX({"nedjelja","ponedjeljak","utorak","srijeda","četvrtak","petak","subota"},WEEKDAY(B6)),"")</f>
        <v/>
      </c>
      <c r="D6" s="8">
        <f>IF(ISNUMBER(B6),B6-$B$3,"")</f>
        <v/>
      </c>
      <c r="E6" s="7">
        <f>COUNTIF(Raspored!$D$5:$D$17,"x")</f>
        <v/>
      </c>
    </row>
    <row r="7">
      <c r="A7" s="9" t="inlineStr">
        <is>
          <t>Ambalažna plastika</t>
        </is>
      </c>
      <c r="B7" s="6">
        <f>IFERROR(1/(1/_xlfn.MINIFS(Raspored!$A$5:$A$17,Raspored!$E$5:$E$17,"x",Raspored!$A$5:$A$17,"&gt;="&amp;$B$3)),"nema više u 2026.")</f>
        <v/>
      </c>
      <c r="C7" s="7">
        <f>IF(ISNUMBER(B7),INDEX({"nedjelja","ponedjeljak","utorak","srijeda","četvrtak","petak","subota"},WEEKDAY(B7)),"")</f>
        <v/>
      </c>
      <c r="D7" s="8">
        <f>IF(ISNUMBER(B7),B7-$B$3,"")</f>
        <v/>
      </c>
      <c r="E7" s="7">
        <f>COUNTIF(Raspored!$E$5:$E$17,"x")</f>
        <v/>
      </c>
    </row>
    <row r="8">
      <c r="A8" s="10" t="inlineStr">
        <is>
          <t>Papir i karton</t>
        </is>
      </c>
      <c r="B8" s="6">
        <f>IFERROR(1/(1/_xlfn.MINIFS(Raspored!$A$5:$A$17,Raspored!$F$5:$F$17,"x",Raspored!$A$5:$A$17,"&gt;="&amp;$B$3)),"nema više u 2026.")</f>
        <v/>
      </c>
      <c r="C8" s="7">
        <f>IF(ISNUMBER(B8),INDEX({"nedjelja","ponedjeljak","utorak","srijeda","četvrtak","petak","subota"},WEEKDAY(B8)),"")</f>
        <v/>
      </c>
      <c r="D8" s="8">
        <f>IF(ISNUMBER(B8),B8-$B$3,"")</f>
        <v/>
      </c>
      <c r="E8" s="7">
        <f>COUNTIF(Raspored!$F$5:$F$17,"x")</f>
        <v/>
      </c>
    </row>
    <row r="10">
      <c r="A10" s="11" t="inlineStr">
        <is>
          <t>Broj odvoza po mjesecu</t>
        </is>
      </c>
    </row>
    <row r="11" ht="30" customHeight="1">
      <c r="A11" s="4" t="inlineStr">
        <is>
          <t>Mjesec</t>
        </is>
      </c>
      <c r="B11" s="12" t="inlineStr">
        <is>
          <t>Miješani komunalni otpad</t>
        </is>
      </c>
      <c r="C11" s="13" t="inlineStr">
        <is>
          <t>Ambalažna plastika</t>
        </is>
      </c>
      <c r="D11" s="14" t="inlineStr">
        <is>
          <t>Papir i karton</t>
        </is>
      </c>
    </row>
    <row r="12">
      <c r="A12" s="15" t="inlineStr">
        <is>
          <t>siječanj</t>
        </is>
      </c>
      <c r="B12" s="7">
        <f>COUNTIFS(Raspored!$C$5:$C$17,$A12,Raspored!$D$5:$D$17,"x")</f>
        <v/>
      </c>
      <c r="C12" s="7">
        <f>COUNTIFS(Raspored!$C$5:$C$17,$A12,Raspored!$E$5:$E$17,"x")</f>
        <v/>
      </c>
      <c r="D12" s="7">
        <f>COUNTIFS(Raspored!$C$5:$C$17,$A12,Raspored!$F$5:$F$17,"x")</f>
        <v/>
      </c>
    </row>
    <row r="13">
      <c r="A13" s="15" t="inlineStr">
        <is>
          <t>veljača</t>
        </is>
      </c>
      <c r="B13" s="7">
        <f>COUNTIFS(Raspored!$C$5:$C$17,$A13,Raspored!$D$5:$D$17,"x")</f>
        <v/>
      </c>
      <c r="C13" s="7">
        <f>COUNTIFS(Raspored!$C$5:$C$17,$A13,Raspored!$E$5:$E$17,"x")</f>
        <v/>
      </c>
      <c r="D13" s="7">
        <f>COUNTIFS(Raspored!$C$5:$C$17,$A13,Raspored!$F$5:$F$17,"x")</f>
        <v/>
      </c>
    </row>
    <row r="14">
      <c r="A14" s="15" t="inlineStr">
        <is>
          <t>ožujak</t>
        </is>
      </c>
      <c r="B14" s="7">
        <f>COUNTIFS(Raspored!$C$5:$C$17,$A14,Raspored!$D$5:$D$17,"x")</f>
        <v/>
      </c>
      <c r="C14" s="7">
        <f>COUNTIFS(Raspored!$C$5:$C$17,$A14,Raspored!$E$5:$E$17,"x")</f>
        <v/>
      </c>
      <c r="D14" s="7">
        <f>COUNTIFS(Raspored!$C$5:$C$17,$A14,Raspored!$F$5:$F$17,"x")</f>
        <v/>
      </c>
    </row>
    <row r="15">
      <c r="A15" s="15" t="inlineStr">
        <is>
          <t>travanj</t>
        </is>
      </c>
      <c r="B15" s="7">
        <f>COUNTIFS(Raspored!$C$5:$C$17,$A15,Raspored!$D$5:$D$17,"x")</f>
        <v/>
      </c>
      <c r="C15" s="7">
        <f>COUNTIFS(Raspored!$C$5:$C$17,$A15,Raspored!$E$5:$E$17,"x")</f>
        <v/>
      </c>
      <c r="D15" s="7">
        <f>COUNTIFS(Raspored!$C$5:$C$17,$A15,Raspored!$F$5:$F$17,"x")</f>
        <v/>
      </c>
    </row>
    <row r="16">
      <c r="A16" s="15" t="inlineStr">
        <is>
          <t>svibanj</t>
        </is>
      </c>
      <c r="B16" s="7">
        <f>COUNTIFS(Raspored!$C$5:$C$17,$A16,Raspored!$D$5:$D$17,"x")</f>
        <v/>
      </c>
      <c r="C16" s="7">
        <f>COUNTIFS(Raspored!$C$5:$C$17,$A16,Raspored!$E$5:$E$17,"x")</f>
        <v/>
      </c>
      <c r="D16" s="7">
        <f>COUNTIFS(Raspored!$C$5:$C$17,$A16,Raspored!$F$5:$F$17,"x")</f>
        <v/>
      </c>
    </row>
    <row r="17">
      <c r="A17" s="15" t="inlineStr">
        <is>
          <t>lipanj</t>
        </is>
      </c>
      <c r="B17" s="7">
        <f>COUNTIFS(Raspored!$C$5:$C$17,$A17,Raspored!$D$5:$D$17,"x")</f>
        <v/>
      </c>
      <c r="C17" s="7">
        <f>COUNTIFS(Raspored!$C$5:$C$17,$A17,Raspored!$E$5:$E$17,"x")</f>
        <v/>
      </c>
      <c r="D17" s="7">
        <f>COUNTIFS(Raspored!$C$5:$C$17,$A17,Raspored!$F$5:$F$17,"x")</f>
        <v/>
      </c>
    </row>
    <row r="18">
      <c r="A18" s="15" t="inlineStr">
        <is>
          <t>srpanj</t>
        </is>
      </c>
      <c r="B18" s="7">
        <f>COUNTIFS(Raspored!$C$5:$C$17,$A18,Raspored!$D$5:$D$17,"x")</f>
        <v/>
      </c>
      <c r="C18" s="7">
        <f>COUNTIFS(Raspored!$C$5:$C$17,$A18,Raspored!$E$5:$E$17,"x")</f>
        <v/>
      </c>
      <c r="D18" s="7">
        <f>COUNTIFS(Raspored!$C$5:$C$17,$A18,Raspored!$F$5:$F$17,"x")</f>
        <v/>
      </c>
    </row>
    <row r="19">
      <c r="A19" s="15" t="inlineStr">
        <is>
          <t>kolovoz</t>
        </is>
      </c>
      <c r="B19" s="7">
        <f>COUNTIFS(Raspored!$C$5:$C$17,$A19,Raspored!$D$5:$D$17,"x")</f>
        <v/>
      </c>
      <c r="C19" s="7">
        <f>COUNTIFS(Raspored!$C$5:$C$17,$A19,Raspored!$E$5:$E$17,"x")</f>
        <v/>
      </c>
      <c r="D19" s="7">
        <f>COUNTIFS(Raspored!$C$5:$C$17,$A19,Raspored!$F$5:$F$17,"x")</f>
        <v/>
      </c>
    </row>
    <row r="20">
      <c r="A20" s="15" t="inlineStr">
        <is>
          <t>rujan</t>
        </is>
      </c>
      <c r="B20" s="7">
        <f>COUNTIFS(Raspored!$C$5:$C$17,$A20,Raspored!$D$5:$D$17,"x")</f>
        <v/>
      </c>
      <c r="C20" s="7">
        <f>COUNTIFS(Raspored!$C$5:$C$17,$A20,Raspored!$E$5:$E$17,"x")</f>
        <v/>
      </c>
      <c r="D20" s="7">
        <f>COUNTIFS(Raspored!$C$5:$C$17,$A20,Raspored!$F$5:$F$17,"x")</f>
        <v/>
      </c>
    </row>
    <row r="21">
      <c r="A21" s="15" t="inlineStr">
        <is>
          <t>listopad</t>
        </is>
      </c>
      <c r="B21" s="7">
        <f>COUNTIFS(Raspored!$C$5:$C$17,$A21,Raspored!$D$5:$D$17,"x")</f>
        <v/>
      </c>
      <c r="C21" s="7">
        <f>COUNTIFS(Raspored!$C$5:$C$17,$A21,Raspored!$E$5:$E$17,"x")</f>
        <v/>
      </c>
      <c r="D21" s="7">
        <f>COUNTIFS(Raspored!$C$5:$C$17,$A21,Raspored!$F$5:$F$17,"x")</f>
        <v/>
      </c>
    </row>
    <row r="22">
      <c r="A22" s="15" t="inlineStr">
        <is>
          <t>studeni</t>
        </is>
      </c>
      <c r="B22" s="7">
        <f>COUNTIFS(Raspored!$C$5:$C$17,$A22,Raspored!$D$5:$D$17,"x")</f>
        <v/>
      </c>
      <c r="C22" s="7">
        <f>COUNTIFS(Raspored!$C$5:$C$17,$A22,Raspored!$E$5:$E$17,"x")</f>
        <v/>
      </c>
      <c r="D22" s="7">
        <f>COUNTIFS(Raspored!$C$5:$C$17,$A22,Raspored!$F$5:$F$17,"x")</f>
        <v/>
      </c>
    </row>
    <row r="23">
      <c r="A23" s="15" t="inlineStr">
        <is>
          <t>prosinac</t>
        </is>
      </c>
      <c r="B23" s="7">
        <f>COUNTIFS(Raspored!$C$5:$C$17,$A23,Raspored!$D$5:$D$17,"x")</f>
        <v/>
      </c>
      <c r="C23" s="7">
        <f>COUNTIFS(Raspored!$C$5:$C$17,$A23,Raspored!$E$5:$E$17,"x")</f>
        <v/>
      </c>
      <c r="D23" s="7">
        <f>COUNTIFS(Raspored!$C$5:$C$17,$A23,Raspored!$F$5:$F$17,"x")</f>
        <v/>
      </c>
    </row>
    <row r="24">
      <c r="A24" s="16" t="inlineStr">
        <is>
          <t>Ukupno</t>
        </is>
      </c>
      <c r="B24" s="17">
        <f>SUM(B12:B23)</f>
        <v/>
      </c>
      <c r="C24" s="17">
        <f>SUM(C12:C23)</f>
        <v/>
      </c>
      <c r="D24" s="17">
        <f>SUM(D12:D23)</f>
        <v/>
      </c>
    </row>
    <row r="26">
      <c r="A26" s="18" t="inlineStr">
        <is>
          <t>Napomene:</t>
        </is>
      </c>
    </row>
    <row r="27">
      <c r="A27" s="19" t="inlineStr">
        <is>
          <t>• Crveno označeni datumi u listu "Raspored" su pomaknuti zbog neradnog dana u tom tjednu (inače je odvoz četvrtkom).</t>
        </is>
      </c>
    </row>
    <row r="28">
      <c r="A28" s="19" t="inlineStr">
        <is>
          <t>• Urbanizam d.o.o. Valpovo za Općinu Koška od 08.10.2026. (raspored objavljen u listopadu 2026.); prije toga Eko-Flor Plus / Mull-Trans. Odvoz izvan uobičajenog dana prema rasporedu: 29.12.</t>
        </is>
      </c>
    </row>
    <row r="29">
      <c r="A29" s="19" t="inlineStr">
        <is>
          <t>• Valpovo: miješani komunalni otpad odvozi se svaki tjedan na dan naveden za zonu; biootpad, plastika i metal, papir i tetrapak te staklo na dane označene u kalendaru.</t>
        </is>
      </c>
    </row>
    <row r="30">
      <c r="A30" s="19" t="inlineStr">
        <is>
          <t>• Tetrapak se odvozi istog dana kao papir, a metal istog dana kao plastika (odvojene vrećice).</t>
        </is>
      </c>
    </row>
    <row r="31">
      <c r="A31" s="19" t="inlineStr">
        <is>
          <t>• Kalendari nemaju pomake zbog blagdana; Urbanizam ih objavljuje u obavijestima na urbanizam-valpovo.hr (uključene su objavljene promjene za ovu godinu), ostali datumi su prema rasporedu.</t>
        </is>
      </c>
    </row>
    <row r="32">
      <c r="A32" s="19" t="inlineStr">
        <is>
          <t>• Spremnike i vrećice treba iznijeti najkasnije do 6:00 (ljeti od 5:00) na dan odvoza.</t>
        </is>
      </c>
    </row>
    <row r="33">
      <c r="A33" s="19" t="inlineStr">
        <is>
          <t>• Informacije: 031/656-078.</t>
        </is>
      </c>
    </row>
    <row r="34">
      <c r="A34" s="19" t="inlineStr">
        <is>
          <t>• Izvori: https://www.urbanizam-valpovo.hr/wp-content/uploads/2025/12/RASPORED-ODVOZA-od-sijecnja-do-lipnja-2026.pdf, https://www.urbanizam-valpovo.hr/wp-content/uploads/2026/06/RASPORED-ODVOZA-od-srpnja-do-prosinca-2026-PRINT.pdf, https://www.urbanizam-valpovo.hr/wp-content/uploads/2026/10/Raspored-odvoza-otpada-Opcina-Koska-2026.pdf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6" customWidth="1" min="4" max="4"/>
    <col width="16" customWidth="1" min="5" max="5"/>
    <col width="13" customWidth="1" min="6" max="6"/>
    <col width="44" customWidth="1" min="7" max="7"/>
  </cols>
  <sheetData>
    <row r="1">
      <c r="A1" s="1" t="inlineStr">
        <is>
          <t>Raspored odvoza otpada 2026., Zona 6 (Koška)</t>
        </is>
      </c>
    </row>
    <row r="2">
      <c r="A2" s="20" t="inlineStr">
        <is>
          <t>"x" = odvoz tog dana. Spremnike iznijeti do 07:00. Prošli datumi su posivljeni.</t>
        </is>
      </c>
    </row>
    <row r="4" ht="32" customHeight="1">
      <c r="A4" s="4" t="inlineStr">
        <is>
          <t>Datum</t>
        </is>
      </c>
      <c r="B4" s="4" t="inlineStr">
        <is>
          <t>Dan</t>
        </is>
      </c>
      <c r="C4" s="4" t="inlineStr">
        <is>
          <t>Mjesec</t>
        </is>
      </c>
      <c r="D4" s="12" t="inlineStr">
        <is>
          <t>Miješani komunalni otpad</t>
        </is>
      </c>
      <c r="E4" s="13" t="inlineStr">
        <is>
          <t>Ambalažna plastika</t>
        </is>
      </c>
      <c r="F4" s="14" t="inlineStr">
        <is>
          <t>Papir i karton</t>
        </is>
      </c>
      <c r="G4" s="4" t="inlineStr">
        <is>
          <t>Napomena</t>
        </is>
      </c>
    </row>
    <row r="5">
      <c r="A5" s="6" t="n">
        <v>46303</v>
      </c>
      <c r="B5" s="7" t="inlineStr">
        <is>
          <t>četvrtak</t>
        </is>
      </c>
      <c r="C5" s="7" t="inlineStr">
        <is>
          <t>listopad</t>
        </is>
      </c>
      <c r="D5" s="7" t="inlineStr">
        <is>
          <t>x</t>
        </is>
      </c>
      <c r="E5" s="7" t="n"/>
      <c r="F5" s="7" t="n"/>
      <c r="G5" s="21" t="n"/>
    </row>
    <row r="6">
      <c r="A6" s="6" t="n">
        <v>46310</v>
      </c>
      <c r="B6" s="7" t="inlineStr">
        <is>
          <t>četvrtak</t>
        </is>
      </c>
      <c r="C6" s="7" t="inlineStr">
        <is>
          <t>listopad</t>
        </is>
      </c>
      <c r="D6" s="7" t="n"/>
      <c r="E6" s="7" t="n"/>
      <c r="F6" s="7" t="inlineStr">
        <is>
          <t>x</t>
        </is>
      </c>
      <c r="G6" s="21" t="n"/>
    </row>
    <row r="7">
      <c r="A7" s="6" t="n">
        <v>46317</v>
      </c>
      <c r="B7" s="7" t="inlineStr">
        <is>
          <t>četvrtak</t>
        </is>
      </c>
      <c r="C7" s="7" t="inlineStr">
        <is>
          <t>listopad</t>
        </is>
      </c>
      <c r="D7" s="7" t="inlineStr">
        <is>
          <t>x</t>
        </is>
      </c>
      <c r="E7" s="7" t="n"/>
      <c r="F7" s="7" t="n"/>
      <c r="G7" s="21" t="n"/>
    </row>
    <row r="8">
      <c r="A8" s="6" t="n">
        <v>46324</v>
      </c>
      <c r="B8" s="7" t="inlineStr">
        <is>
          <t>četvrtak</t>
        </is>
      </c>
      <c r="C8" s="7" t="inlineStr">
        <is>
          <t>listopad</t>
        </is>
      </c>
      <c r="D8" s="7" t="n"/>
      <c r="E8" s="7" t="inlineStr">
        <is>
          <t>x</t>
        </is>
      </c>
      <c r="F8" s="7" t="n"/>
      <c r="G8" s="21" t="n"/>
    </row>
    <row r="9">
      <c r="A9" s="6" t="n">
        <v>46331</v>
      </c>
      <c r="B9" s="7" t="inlineStr">
        <is>
          <t>četvrtak</t>
        </is>
      </c>
      <c r="C9" s="7" t="inlineStr">
        <is>
          <t>studeni</t>
        </is>
      </c>
      <c r="D9" s="7" t="inlineStr">
        <is>
          <t>x</t>
        </is>
      </c>
      <c r="E9" s="7" t="n"/>
      <c r="F9" s="7" t="n"/>
      <c r="G9" s="21" t="n"/>
    </row>
    <row r="10">
      <c r="A10" s="6" t="n">
        <v>46338</v>
      </c>
      <c r="B10" s="7" t="inlineStr">
        <is>
          <t>četvrtak</t>
        </is>
      </c>
      <c r="C10" s="7" t="inlineStr">
        <is>
          <t>studeni</t>
        </is>
      </c>
      <c r="D10" s="7" t="n"/>
      <c r="E10" s="7" t="n"/>
      <c r="F10" s="7" t="inlineStr">
        <is>
          <t>x</t>
        </is>
      </c>
      <c r="G10" s="21" t="n"/>
    </row>
    <row r="11">
      <c r="A11" s="6" t="n">
        <v>46345</v>
      </c>
      <c r="B11" s="7" t="inlineStr">
        <is>
          <t>četvrtak</t>
        </is>
      </c>
      <c r="C11" s="7" t="inlineStr">
        <is>
          <t>studeni</t>
        </is>
      </c>
      <c r="D11" s="7" t="inlineStr">
        <is>
          <t>x</t>
        </is>
      </c>
      <c r="E11" s="7" t="n"/>
      <c r="F11" s="7" t="n"/>
      <c r="G11" s="21" t="n"/>
    </row>
    <row r="12">
      <c r="A12" s="6" t="n">
        <v>46352</v>
      </c>
      <c r="B12" s="7" t="inlineStr">
        <is>
          <t>četvrtak</t>
        </is>
      </c>
      <c r="C12" s="7" t="inlineStr">
        <is>
          <t>studeni</t>
        </is>
      </c>
      <c r="D12" s="7" t="n"/>
      <c r="E12" s="7" t="inlineStr">
        <is>
          <t>x</t>
        </is>
      </c>
      <c r="F12" s="7" t="n"/>
      <c r="G12" s="21" t="n"/>
    </row>
    <row r="13">
      <c r="A13" s="6" t="n">
        <v>46359</v>
      </c>
      <c r="B13" s="7" t="inlineStr">
        <is>
          <t>četvrtak</t>
        </is>
      </c>
      <c r="C13" s="7" t="inlineStr">
        <is>
          <t>prosinac</t>
        </is>
      </c>
      <c r="D13" s="7" t="inlineStr">
        <is>
          <t>x</t>
        </is>
      </c>
      <c r="E13" s="7" t="n"/>
      <c r="F13" s="7" t="n"/>
      <c r="G13" s="21" t="n"/>
    </row>
    <row r="14">
      <c r="A14" s="6" t="n">
        <v>46366</v>
      </c>
      <c r="B14" s="7" t="inlineStr">
        <is>
          <t>četvrtak</t>
        </is>
      </c>
      <c r="C14" s="7" t="inlineStr">
        <is>
          <t>prosinac</t>
        </is>
      </c>
      <c r="D14" s="7" t="n"/>
      <c r="E14" s="7" t="n"/>
      <c r="F14" s="7" t="inlineStr">
        <is>
          <t>x</t>
        </is>
      </c>
      <c r="G14" s="21" t="n"/>
    </row>
    <row r="15">
      <c r="A15" s="6" t="n">
        <v>46373</v>
      </c>
      <c r="B15" s="7" t="inlineStr">
        <is>
          <t>četvrtak</t>
        </is>
      </c>
      <c r="C15" s="7" t="inlineStr">
        <is>
          <t>prosinac</t>
        </is>
      </c>
      <c r="D15" s="7" t="inlineStr">
        <is>
          <t>x</t>
        </is>
      </c>
      <c r="E15" s="7" t="n"/>
      <c r="F15" s="7" t="n"/>
      <c r="G15" s="21" t="n"/>
    </row>
    <row r="16">
      <c r="A16" s="22" t="n">
        <v>46385</v>
      </c>
      <c r="B16" s="23" t="inlineStr">
        <is>
          <t>utorak</t>
        </is>
      </c>
      <c r="C16" s="7" t="inlineStr">
        <is>
          <t>prosinac</t>
        </is>
      </c>
      <c r="D16" s="7" t="inlineStr">
        <is>
          <t>x</t>
        </is>
      </c>
      <c r="E16" s="7" t="n"/>
      <c r="F16" s="7" t="n"/>
      <c r="G16" s="21" t="inlineStr">
        <is>
          <t>Pomaknuto zbog neradnog dana u tjednu</t>
        </is>
      </c>
    </row>
    <row r="17">
      <c r="A17" s="6" t="n">
        <v>46387</v>
      </c>
      <c r="B17" s="7" t="inlineStr">
        <is>
          <t>četvrtak</t>
        </is>
      </c>
      <c r="C17" s="7" t="inlineStr">
        <is>
          <t>prosinac</t>
        </is>
      </c>
      <c r="D17" s="7" t="n"/>
      <c r="E17" s="7" t="inlineStr">
        <is>
          <t>x</t>
        </is>
      </c>
      <c r="F17" s="7" t="n"/>
      <c r="G17" s="21" t="n"/>
    </row>
  </sheetData>
  <autoFilter ref="A4:G17"/>
  <conditionalFormatting sqref="D5:D17">
    <cfRule type="expression" priority="1" dxfId="0">
      <formula>D5="x"</formula>
    </cfRule>
  </conditionalFormatting>
  <conditionalFormatting sqref="E5:E17">
    <cfRule type="expression" priority="2" dxfId="1">
      <formula>E5="x"</formula>
    </cfRule>
  </conditionalFormatting>
  <conditionalFormatting sqref="F5:F17">
    <cfRule type="expression" priority="3" dxfId="2">
      <formula>F5="x"</formula>
    </cfRule>
  </conditionalFormatting>
  <conditionalFormatting sqref="A5:G17">
    <cfRule type="expression" priority="4" dxfId="3" stopIfTrue="0">
      <formula>$A5&lt;TODAY()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40" customWidth="1" min="4" max="4"/>
  </cols>
  <sheetData>
    <row r="1">
      <c r="A1" s="4" t="inlineStr">
        <is>
          <t>Datum</t>
        </is>
      </c>
      <c r="B1" s="4" t="inlineStr">
        <is>
          <t>Dan</t>
        </is>
      </c>
      <c r="C1" s="4" t="inlineStr">
        <is>
          <t>Vrsta otpada</t>
        </is>
      </c>
      <c r="D1" s="4" t="inlineStr">
        <is>
          <t>Napomena</t>
        </is>
      </c>
    </row>
    <row r="2">
      <c r="A2" s="24" t="n">
        <v>46303</v>
      </c>
      <c r="B2" s="15" t="inlineStr">
        <is>
          <t>četvrtak</t>
        </is>
      </c>
      <c r="C2" s="5" t="inlineStr">
        <is>
          <t>Miješani komunalni otpad</t>
        </is>
      </c>
      <c r="D2" s="15" t="n"/>
    </row>
    <row r="3">
      <c r="A3" s="24" t="n">
        <v>46310</v>
      </c>
      <c r="B3" s="15" t="inlineStr">
        <is>
          <t>četvrtak</t>
        </is>
      </c>
      <c r="C3" s="10" t="inlineStr">
        <is>
          <t>Papir i karton</t>
        </is>
      </c>
      <c r="D3" s="15" t="n"/>
    </row>
    <row r="4">
      <c r="A4" s="24" t="n">
        <v>46317</v>
      </c>
      <c r="B4" s="15" t="inlineStr">
        <is>
          <t>četvrtak</t>
        </is>
      </c>
      <c r="C4" s="5" t="inlineStr">
        <is>
          <t>Miješani komunalni otpad</t>
        </is>
      </c>
      <c r="D4" s="15" t="n"/>
    </row>
    <row r="5">
      <c r="A5" s="24" t="n">
        <v>46324</v>
      </c>
      <c r="B5" s="15" t="inlineStr">
        <is>
          <t>četvrtak</t>
        </is>
      </c>
      <c r="C5" s="9" t="inlineStr">
        <is>
          <t>Ambalažna plastika</t>
        </is>
      </c>
      <c r="D5" s="15" t="n"/>
    </row>
    <row r="6">
      <c r="A6" s="24" t="n">
        <v>46331</v>
      </c>
      <c r="B6" s="15" t="inlineStr">
        <is>
          <t>četvrtak</t>
        </is>
      </c>
      <c r="C6" s="5" t="inlineStr">
        <is>
          <t>Miješani komunalni otpad</t>
        </is>
      </c>
      <c r="D6" s="15" t="n"/>
    </row>
    <row r="7">
      <c r="A7" s="24" t="n">
        <v>46338</v>
      </c>
      <c r="B7" s="15" t="inlineStr">
        <is>
          <t>četvrtak</t>
        </is>
      </c>
      <c r="C7" s="10" t="inlineStr">
        <is>
          <t>Papir i karton</t>
        </is>
      </c>
      <c r="D7" s="15" t="n"/>
    </row>
    <row r="8">
      <c r="A8" s="24" t="n">
        <v>46345</v>
      </c>
      <c r="B8" s="15" t="inlineStr">
        <is>
          <t>četvrtak</t>
        </is>
      </c>
      <c r="C8" s="5" t="inlineStr">
        <is>
          <t>Miješani komunalni otpad</t>
        </is>
      </c>
      <c r="D8" s="15" t="n"/>
    </row>
    <row r="9">
      <c r="A9" s="24" t="n">
        <v>46352</v>
      </c>
      <c r="B9" s="15" t="inlineStr">
        <is>
          <t>četvrtak</t>
        </is>
      </c>
      <c r="C9" s="9" t="inlineStr">
        <is>
          <t>Ambalažna plastika</t>
        </is>
      </c>
      <c r="D9" s="15" t="n"/>
    </row>
    <row r="10">
      <c r="A10" s="24" t="n">
        <v>46359</v>
      </c>
      <c r="B10" s="15" t="inlineStr">
        <is>
          <t>četvrtak</t>
        </is>
      </c>
      <c r="C10" s="5" t="inlineStr">
        <is>
          <t>Miješani komunalni otpad</t>
        </is>
      </c>
      <c r="D10" s="15" t="n"/>
    </row>
    <row r="11">
      <c r="A11" s="24" t="n">
        <v>46366</v>
      </c>
      <c r="B11" s="15" t="inlineStr">
        <is>
          <t>četvrtak</t>
        </is>
      </c>
      <c r="C11" s="10" t="inlineStr">
        <is>
          <t>Papir i karton</t>
        </is>
      </c>
      <c r="D11" s="15" t="n"/>
    </row>
    <row r="12">
      <c r="A12" s="24" t="n">
        <v>46373</v>
      </c>
      <c r="B12" s="15" t="inlineStr">
        <is>
          <t>četvrtak</t>
        </is>
      </c>
      <c r="C12" s="5" t="inlineStr">
        <is>
          <t>Miješani komunalni otpad</t>
        </is>
      </c>
      <c r="D12" s="15" t="n"/>
    </row>
    <row r="13">
      <c r="A13" s="24" t="n">
        <v>46385</v>
      </c>
      <c r="B13" s="15" t="inlineStr">
        <is>
          <t>utorak</t>
        </is>
      </c>
      <c r="C13" s="5" t="inlineStr">
        <is>
          <t>Miješani komunalni otpad</t>
        </is>
      </c>
      <c r="D13" s="15" t="inlineStr">
        <is>
          <t>Pomaknuto zbog neradnog dana u tjednu</t>
        </is>
      </c>
    </row>
    <row r="14">
      <c r="A14" s="24" t="n">
        <v>46387</v>
      </c>
      <c r="B14" s="15" t="inlineStr">
        <is>
          <t>četvrtak</t>
        </is>
      </c>
      <c r="C14" s="9" t="inlineStr">
        <is>
          <t>Ambalažna plastika</t>
        </is>
      </c>
      <c r="D14" s="15" t="n"/>
    </row>
  </sheetData>
  <autoFilter ref="A1:D14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</cols>
  <sheetData>
    <row r="1">
      <c r="A1" s="1" t="inlineStr">
        <is>
          <t>Zona 6 (Koška): ulice i naselja</t>
        </is>
      </c>
    </row>
    <row r="4">
      <c r="A4" s="4" t="inlineStr">
        <is>
          <t>Ulica / naselje</t>
        </is>
      </c>
    </row>
    <row r="5">
      <c r="A5" s="15" t="inlineStr">
        <is>
          <t>Koška</t>
        </is>
      </c>
    </row>
    <row r="6">
      <c r="A6" s="15" t="inlineStr">
        <is>
          <t>Niza</t>
        </is>
      </c>
    </row>
    <row r="7">
      <c r="A7" s="15" t="inlineStr">
        <is>
          <t>Breznica Našička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2026-10-08T06:01:20Z</dcterms:created>
  <dcterms:modified xmlns:dcterms="http://purl.org/dc/terms/" xmlns:xsi="http://www.w3.org/2001/XMLSchema-instance" xsi:type="dcterms:W3CDTF">2026-10-08T06:01:20Z</dcterms:modified>
</cp:coreProperties>
</file>
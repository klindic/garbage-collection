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'Raspored'!$A$4:$I$62</definedName>
    <definedName name="_xlnm._FilterDatabase" localSheetId="2" hidden="1">'Po vrsti'!$A$1:$D$59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IFERROR(1/(1/_xlfn.MINIFS(Raspored!$A$5:$A$62,Raspored!$D$5:$D$62,"x",Raspored!$A$5:$A$62,"&gt;="&amp;$B$3)),"nema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COUNTIF(Raspored!$D$5:$D$62,"x")</f>
        <v/>
      </c>
    </row>
    <row r="7">
      <c r="A7" s="9" t="inlineStr">
        <is>
          <t>Plastika i metal</t>
        </is>
      </c>
      <c r="B7" s="6">
        <f>IFERROR(1/(1/_xlfn.MINIFS(Raspored!$A$5:$A$62,Raspored!$E$5:$E$62,"x",Raspored!$A$5:$A$62,"&gt;="&amp;$B$3)),"nema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COUNTIF(Raspored!$E$5:$E$62,"x")</f>
        <v/>
      </c>
    </row>
    <row r="8">
      <c r="A8" s="10" t="inlineStr">
        <is>
          <t>Papir i karton</t>
        </is>
      </c>
      <c r="B8" s="6">
        <f>IFERROR(1/(1/_xlfn.MINIFS(Raspored!$A$5:$A$62,Raspored!$F$5:$F$62,"x",Raspored!$A$5:$A$62,"&gt;="&amp;$B$3)),"nema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COUNTIF(Raspored!$F$5:$F$62,"x")</f>
        <v/>
      </c>
    </row>
    <row r="9">
      <c r="A9" s="11" t="inlineStr">
        <is>
          <t>Staklo</t>
        </is>
      </c>
      <c r="B9" s="6">
        <f>IFERROR(1/(1/_xlfn.MINIFS(Raspored!$A$5:$A$62,Raspored!$G$5:$G$62,"x",Raspored!$A$5:$A$62,"&gt;="&amp;$B$3)),"nema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COUNTIF(Raspored!$G$5:$G$62,"x")</f>
        <v/>
      </c>
    </row>
    <row r="10">
      <c r="A10" s="12" t="inlineStr">
        <is>
          <t>Metal</t>
        </is>
      </c>
      <c r="B10" s="6">
        <f>IFERROR(1/(1/_xlfn.MINIFS(Raspored!$A$5:$A$62,Raspored!$H$5:$H$62,"x",Raspored!$A$5:$A$62,"&gt;="&amp;$B$3)),"nema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Metal</t>
        </is>
      </c>
    </row>
    <row r="14">
      <c r="A14" s="19" t="inlineStr">
        <is>
          <t>siječanj</t>
        </is>
      </c>
      <c r="B14" s="7">
        <f>COUNTIFS(Raspored!$C$5:$C$62,$A14,Raspored!$D$5:$D$62,"x")</f>
        <v/>
      </c>
      <c r="C14" s="7">
        <f>COUNTIFS(Raspored!$C$5:$C$62,$A14,Raspored!$E$5:$E$62,"x")</f>
        <v/>
      </c>
      <c r="D14" s="7">
        <f>COUNTIFS(Raspored!$C$5:$C$62,$A14,Raspored!$F$5:$F$62,"x")</f>
        <v/>
      </c>
      <c r="E14" s="7">
        <f>COUNTIFS(Raspored!$C$5:$C$62,$A14,Raspored!$G$5:$G$62,"x")</f>
        <v/>
      </c>
      <c r="F14" s="7">
        <f>COUNTIFS(Raspored!$C$5:$C$62,$A14,Raspored!$H$5:$H$62,"x")</f>
        <v/>
      </c>
    </row>
    <row r="15">
      <c r="A15" s="19" t="inlineStr">
        <is>
          <t>veljača</t>
        </is>
      </c>
      <c r="B15" s="7">
        <f>COUNTIFS(Raspored!$C$5:$C$62,$A15,Raspored!$D$5:$D$62,"x")</f>
        <v/>
      </c>
      <c r="C15" s="7">
        <f>COUNTIFS(Raspored!$C$5:$C$62,$A15,Raspored!$E$5:$E$62,"x")</f>
        <v/>
      </c>
      <c r="D15" s="7">
        <f>COUNTIFS(Raspored!$C$5:$C$62,$A15,Raspored!$F$5:$F$62,"x")</f>
        <v/>
      </c>
      <c r="E15" s="7">
        <f>COUNTIFS(Raspored!$C$5:$C$62,$A15,Raspored!$G$5:$G$62,"x")</f>
        <v/>
      </c>
      <c r="F15" s="7">
        <f>COUNTIFS(Raspored!$C$5:$C$62,$A15,Raspored!$H$5:$H$62,"x")</f>
        <v/>
      </c>
    </row>
    <row r="16">
      <c r="A16" s="19" t="inlineStr">
        <is>
          <t>ožujak</t>
        </is>
      </c>
      <c r="B16" s="7">
        <f>COUNTIFS(Raspored!$C$5:$C$62,$A16,Raspored!$D$5:$D$62,"x")</f>
        <v/>
      </c>
      <c r="C16" s="7">
        <f>COUNTIFS(Raspored!$C$5:$C$62,$A16,Raspored!$E$5:$E$62,"x")</f>
        <v/>
      </c>
      <c r="D16" s="7">
        <f>COUNTIFS(Raspored!$C$5:$C$62,$A16,Raspored!$F$5:$F$62,"x")</f>
        <v/>
      </c>
      <c r="E16" s="7">
        <f>COUNTIFS(Raspored!$C$5:$C$62,$A16,Raspored!$G$5:$G$62,"x")</f>
        <v/>
      </c>
      <c r="F16" s="7">
        <f>COUNTIFS(Raspored!$C$5:$C$62,$A16,Raspored!$H$5:$H$62,"x")</f>
        <v/>
      </c>
    </row>
    <row r="17">
      <c r="A17" s="19" t="inlineStr">
        <is>
          <t>travanj</t>
        </is>
      </c>
      <c r="B17" s="7">
        <f>COUNTIFS(Raspored!$C$5:$C$62,$A17,Raspored!$D$5:$D$62,"x")</f>
        <v/>
      </c>
      <c r="C17" s="7">
        <f>COUNTIFS(Raspored!$C$5:$C$62,$A17,Raspored!$E$5:$E$62,"x")</f>
        <v/>
      </c>
      <c r="D17" s="7">
        <f>COUNTIFS(Raspored!$C$5:$C$62,$A17,Raspored!$F$5:$F$62,"x")</f>
        <v/>
      </c>
      <c r="E17" s="7">
        <f>COUNTIFS(Raspored!$C$5:$C$62,$A17,Raspored!$G$5:$G$62,"x")</f>
        <v/>
      </c>
      <c r="F17" s="7">
        <f>COUNTIFS(Raspored!$C$5:$C$62,$A17,Raspored!$H$5:$H$62,"x")</f>
        <v/>
      </c>
    </row>
    <row r="18">
      <c r="A18" s="19" t="inlineStr">
        <is>
          <t>svibanj</t>
        </is>
      </c>
      <c r="B18" s="7">
        <f>COUNTIFS(Raspored!$C$5:$C$62,$A18,Raspored!$D$5:$D$62,"x")</f>
        <v/>
      </c>
      <c r="C18" s="7">
        <f>COUNTIFS(Raspored!$C$5:$C$62,$A18,Raspored!$E$5:$E$62,"x")</f>
        <v/>
      </c>
      <c r="D18" s="7">
        <f>COUNTIFS(Raspored!$C$5:$C$62,$A18,Raspored!$F$5:$F$62,"x")</f>
        <v/>
      </c>
      <c r="E18" s="7">
        <f>COUNTIFS(Raspored!$C$5:$C$62,$A18,Raspored!$G$5:$G$62,"x")</f>
        <v/>
      </c>
      <c r="F18" s="7">
        <f>COUNTIFS(Raspored!$C$5:$C$62,$A18,Raspored!$H$5:$H$62,"x")</f>
        <v/>
      </c>
    </row>
    <row r="19">
      <c r="A19" s="19" t="inlineStr">
        <is>
          <t>lipanj</t>
        </is>
      </c>
      <c r="B19" s="7">
        <f>COUNTIFS(Raspored!$C$5:$C$62,$A19,Raspored!$D$5:$D$62,"x")</f>
        <v/>
      </c>
      <c r="C19" s="7">
        <f>COUNTIFS(Raspored!$C$5:$C$62,$A19,Raspored!$E$5:$E$62,"x")</f>
        <v/>
      </c>
      <c r="D19" s="7">
        <f>COUNTIFS(Raspored!$C$5:$C$62,$A19,Raspored!$F$5:$F$62,"x")</f>
        <v/>
      </c>
      <c r="E19" s="7">
        <f>COUNTIFS(Raspored!$C$5:$C$62,$A19,Raspored!$G$5:$G$62,"x")</f>
        <v/>
      </c>
      <c r="F19" s="7">
        <f>COUNTIFS(Raspored!$C$5:$C$62,$A19,Raspored!$H$5:$H$62,"x")</f>
        <v/>
      </c>
    </row>
    <row r="20">
      <c r="A20" s="19" t="inlineStr">
        <is>
          <t>srpanj</t>
        </is>
      </c>
      <c r="B20" s="7">
        <f>COUNTIFS(Raspored!$C$5:$C$62,$A20,Raspored!$D$5:$D$62,"x")</f>
        <v/>
      </c>
      <c r="C20" s="7">
        <f>COUNTIFS(Raspored!$C$5:$C$62,$A20,Raspored!$E$5:$E$62,"x")</f>
        <v/>
      </c>
      <c r="D20" s="7">
        <f>COUNTIFS(Raspored!$C$5:$C$62,$A20,Raspored!$F$5:$F$62,"x")</f>
        <v/>
      </c>
      <c r="E20" s="7">
        <f>COUNTIFS(Raspored!$C$5:$C$62,$A20,Raspored!$G$5:$G$62,"x")</f>
        <v/>
      </c>
      <c r="F20" s="7">
        <f>COUNTIFS(Raspored!$C$5:$C$62,$A20,Raspored!$H$5:$H$62,"x")</f>
        <v/>
      </c>
    </row>
    <row r="21">
      <c r="A21" s="19" t="inlineStr">
        <is>
          <t>kolovoz</t>
        </is>
      </c>
      <c r="B21" s="7">
        <f>COUNTIFS(Raspored!$C$5:$C$62,$A21,Raspored!$D$5:$D$62,"x")</f>
        <v/>
      </c>
      <c r="C21" s="7">
        <f>COUNTIFS(Raspored!$C$5:$C$62,$A21,Raspored!$E$5:$E$62,"x")</f>
        <v/>
      </c>
      <c r="D21" s="7">
        <f>COUNTIFS(Raspored!$C$5:$C$62,$A21,Raspored!$F$5:$F$62,"x")</f>
        <v/>
      </c>
      <c r="E21" s="7">
        <f>COUNTIFS(Raspored!$C$5:$C$62,$A21,Raspored!$G$5:$G$62,"x")</f>
        <v/>
      </c>
      <c r="F21" s="7">
        <f>COUNTIFS(Raspored!$C$5:$C$62,$A21,Raspored!$H$5:$H$62,"x")</f>
        <v/>
      </c>
    </row>
    <row r="22">
      <c r="A22" s="19" t="inlineStr">
        <is>
          <t>rujan</t>
        </is>
      </c>
      <c r="B22" s="7">
        <f>COUNTIFS(Raspored!$C$5:$C$62,$A22,Raspored!$D$5:$D$62,"x")</f>
        <v/>
      </c>
      <c r="C22" s="7">
        <f>COUNTIFS(Raspored!$C$5:$C$62,$A22,Raspored!$E$5:$E$62,"x")</f>
        <v/>
      </c>
      <c r="D22" s="7">
        <f>COUNTIFS(Raspored!$C$5:$C$62,$A22,Raspored!$F$5:$F$62,"x")</f>
        <v/>
      </c>
      <c r="E22" s="7">
        <f>COUNTIFS(Raspored!$C$5:$C$62,$A22,Raspored!$G$5:$G$62,"x")</f>
        <v/>
      </c>
      <c r="F22" s="7">
        <f>COUNTIFS(Raspored!$C$5:$C$62,$A22,Raspored!$H$5:$H$62,"x")</f>
        <v/>
      </c>
    </row>
    <row r="23">
      <c r="A23" s="19" t="inlineStr">
        <is>
          <t>listopad</t>
        </is>
      </c>
      <c r="B23" s="7">
        <f>COUNTIFS(Raspored!$C$5:$C$62,$A23,Raspored!$D$5:$D$62,"x")</f>
        <v/>
      </c>
      <c r="C23" s="7">
        <f>COUNTIFS(Raspored!$C$5:$C$62,$A23,Raspored!$E$5:$E$62,"x")</f>
        <v/>
      </c>
      <c r="D23" s="7">
        <f>COUNTIFS(Raspored!$C$5:$C$62,$A23,Raspored!$F$5:$F$62,"x")</f>
        <v/>
      </c>
      <c r="E23" s="7">
        <f>COUNTIFS(Raspored!$C$5:$C$62,$A23,Raspored!$G$5:$G$62,"x")</f>
        <v/>
      </c>
      <c r="F23" s="7">
        <f>COUNTIFS(Raspored!$C$5:$C$62,$A23,Raspored!$H$5:$H$62,"x")</f>
        <v/>
      </c>
    </row>
    <row r="24">
      <c r="A24" s="19" t="inlineStr">
        <is>
          <t>studeni</t>
        </is>
      </c>
      <c r="B24" s="7">
        <f>COUNTIFS(Raspored!$C$5:$C$62,$A24,Raspored!$D$5:$D$62,"x")</f>
        <v/>
      </c>
      <c r="C24" s="7">
        <f>COUNTIFS(Raspored!$C$5:$C$62,$A24,Raspored!$E$5:$E$62,"x")</f>
        <v/>
      </c>
      <c r="D24" s="7">
        <f>COUNTIFS(Raspored!$C$5:$C$62,$A24,Raspored!$F$5:$F$62,"x")</f>
        <v/>
      </c>
      <c r="E24" s="7">
        <f>COUNTIFS(Raspored!$C$5:$C$62,$A24,Raspored!$G$5:$G$62,"x")</f>
        <v/>
      </c>
      <c r="F24" s="7">
        <f>COUNTIFS(Raspored!$C$5:$C$62,$A24,Raspored!$H$5:$H$62,"x")</f>
        <v/>
      </c>
    </row>
    <row r="25">
      <c r="A25" s="19" t="inlineStr">
        <is>
          <t>prosinac</t>
        </is>
      </c>
      <c r="B25" s="7">
        <f>COUNTIFS(Raspored!$C$5:$C$62,$A25,Raspored!$D$5:$D$62,"x")</f>
        <v/>
      </c>
      <c r="C25" s="7">
        <f>COUNTIFS(Raspored!$C$5:$C$62,$A25,Raspored!$E$5:$E$62,"x")</f>
        <v/>
      </c>
      <c r="D25" s="7">
        <f>COUNTIFS(Raspored!$C$5:$C$62,$A25,Raspored!$F$5:$F$62,"x")</f>
        <v/>
      </c>
      <c r="E25" s="7">
        <f>COUNTIFS(Raspored!$C$5:$C$62,$A25,Raspored!$G$5:$G$62,"x")</f>
        <v/>
      </c>
      <c r="F25" s="7">
        <f>COUNTIFS(Raspored!$C$5:$C$62,$A25,Raspored!$H$5:$H$62,"x")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 se na ovom području ne odvozi; preporučuje se kućno kompostiranje.</t>
        </is>
      </c>
    </row>
    <row r="30">
      <c r="A30" s="23" t="inlineStr">
        <is>
          <t>• Miješani komunalni otpad odvozi se svaka dva tjedna; papir, plastika te staklo ili metal (izmjenjuju se po mjesecima) prema mjesečnom rasporedu razvrstanog otpada.</t>
        </is>
      </c>
    </row>
    <row r="31">
      <c r="A31" s="23" t="inlineStr">
        <is>
          <t>• Pomaci odvoza zbog blagdana nisu objavljeni: datumi su preneseni kako su u rasporedu (npr. 01.01. je naveden kao redovni dan odvoza miješanog otpada). Provjerite obavijesti na baranjskacistoca.hr.</t>
        </is>
      </c>
    </row>
    <row r="32">
      <c r="A32" s="23" t="inlineStr">
        <is>
          <t>• Kontakt: 031 700 810, info@baranjskacistoca.hr (Ulica Republike 11, Beli Manastir).</t>
        </is>
      </c>
    </row>
    <row r="33">
      <c r="A33" s="23" t="inlineStr">
        <is>
          <t>• Izvor rasporeda: https://baranjskacistoca.hr/wp-content/uploads/2026/01/Rasporedi-2026.xlsx (poveznica na https://baranjskacistoca.hr/redovni-odvoz/).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4 (Draž)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Metal</t>
        </is>
      </c>
      <c r="I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46044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25" t="n"/>
    </row>
    <row r="7">
      <c r="A7" s="6" t="n">
        <v>46048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46062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n"/>
      <c r="H15" s="7" t="n"/>
      <c r="I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46104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46107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inlineStr">
        <is>
          <t>x</t>
        </is>
      </c>
      <c r="I18" s="25" t="n"/>
    </row>
    <row r="19">
      <c r="A19" s="6" t="n">
        <v>46118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46132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46135</v>
      </c>
      <c r="B22" s="7" t="inlineStr">
        <is>
          <t>četvrtak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46146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46149</v>
      </c>
      <c r="B24" s="7" t="inlineStr">
        <is>
          <t>četvrtak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46156</v>
      </c>
      <c r="B25" s="7" t="inlineStr">
        <is>
          <t>četvrtak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46160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46163</v>
      </c>
      <c r="B27" s="7" t="inlineStr">
        <is>
          <t>četvrtak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46174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46184</v>
      </c>
      <c r="B29" s="7" t="inlineStr">
        <is>
          <t>četvrtak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7" t="n"/>
      <c r="H29" s="7" t="n"/>
      <c r="I29" s="25" t="n"/>
    </row>
    <row r="30">
      <c r="A30" s="6" t="n">
        <v>46188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46191</v>
      </c>
      <c r="B31" s="7" t="inlineStr">
        <is>
          <t>četvrtak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46198</v>
      </c>
      <c r="B32" s="7" t="inlineStr">
        <is>
          <t>četvrtak</t>
        </is>
      </c>
      <c r="C32" s="7" t="inlineStr">
        <is>
          <t>lipanj</t>
        </is>
      </c>
      <c r="D32" s="7" t="n"/>
      <c r="E32" s="7" t="n"/>
      <c r="F32" s="7" t="n"/>
      <c r="G32" s="7" t="n"/>
      <c r="H32" s="7" t="inlineStr">
        <is>
          <t>x</t>
        </is>
      </c>
      <c r="I32" s="25" t="n"/>
    </row>
    <row r="33">
      <c r="A33" s="6" t="n">
        <v>46202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46205</v>
      </c>
      <c r="B34" s="7" t="inlineStr">
        <is>
          <t>četvrtak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46212</v>
      </c>
      <c r="B35" s="7" t="inlineStr">
        <is>
          <t>četvrtak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46216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46230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46244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46254</v>
      </c>
      <c r="B39" s="7" t="inlineStr">
        <is>
          <t>četvrtak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7" t="n"/>
      <c r="I39" s="25" t="n"/>
    </row>
    <row r="40">
      <c r="A40" s="6" t="n">
        <v>46258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46261</v>
      </c>
      <c r="B41" s="7" t="inlineStr">
        <is>
          <t>četvrtak</t>
        </is>
      </c>
      <c r="C41" s="7" t="inlineStr">
        <is>
          <t>kolovoz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46272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46275</v>
      </c>
      <c r="B43" s="7" t="inlineStr">
        <is>
          <t>četvrtak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46282</v>
      </c>
      <c r="B44" s="7" t="inlineStr">
        <is>
          <t>četvrtak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46286</v>
      </c>
      <c r="B45" s="7" t="inlineStr">
        <is>
          <t>ponedjeljak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46289</v>
      </c>
      <c r="B46" s="7" t="inlineStr">
        <is>
          <t>četvrtak</t>
        </is>
      </c>
      <c r="C46" s="7" t="inlineStr">
        <is>
          <t>rujan</t>
        </is>
      </c>
      <c r="D46" s="7" t="n"/>
      <c r="E46" s="7" t="n"/>
      <c r="F46" s="7" t="n"/>
      <c r="G46" s="7" t="inlineStr">
        <is>
          <t>x</t>
        </is>
      </c>
      <c r="H46" s="7" t="n"/>
      <c r="I46" s="25" t="n"/>
    </row>
    <row r="47">
      <c r="A47" s="6" t="n">
        <v>46300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46303</v>
      </c>
      <c r="B48" s="7" t="inlineStr">
        <is>
          <t>četvrtak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n"/>
      <c r="H48" s="7" t="n"/>
      <c r="I48" s="25" t="n"/>
    </row>
    <row r="49">
      <c r="A49" s="6" t="n">
        <v>46310</v>
      </c>
      <c r="B49" s="7" t="inlineStr">
        <is>
          <t>četvrtak</t>
        </is>
      </c>
      <c r="C49" s="7" t="inlineStr">
        <is>
          <t>listopad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46314</v>
      </c>
      <c r="B50" s="7" t="inlineStr">
        <is>
          <t>ponedjeljak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46317</v>
      </c>
      <c r="B51" s="7" t="inlineStr">
        <is>
          <t>četvrtak</t>
        </is>
      </c>
      <c r="C51" s="7" t="inlineStr">
        <is>
          <t>listopad</t>
        </is>
      </c>
      <c r="D51" s="7" t="n"/>
      <c r="E51" s="7" t="n"/>
      <c r="F51" s="7" t="n"/>
      <c r="G51" s="7" t="n"/>
      <c r="H51" s="7" t="inlineStr">
        <is>
          <t>x</t>
        </is>
      </c>
      <c r="I51" s="25" t="n"/>
    </row>
    <row r="52">
      <c r="A52" s="6" t="n">
        <v>46328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46331</v>
      </c>
      <c r="B53" s="7" t="inlineStr">
        <is>
          <t>četvrtak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46338</v>
      </c>
      <c r="B54" s="7" t="inlineStr">
        <is>
          <t>četvrtak</t>
        </is>
      </c>
      <c r="C54" s="7" t="inlineStr">
        <is>
          <t>studeni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46342</v>
      </c>
      <c r="B55" s="7" t="inlineStr">
        <is>
          <t>ponedjeljak</t>
        </is>
      </c>
      <c r="C55" s="7" t="inlineStr">
        <is>
          <t>studeni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46345</v>
      </c>
      <c r="B56" s="7" t="inlineStr">
        <is>
          <t>četvrtak</t>
        </is>
      </c>
      <c r="C56" s="7" t="inlineStr">
        <is>
          <t>studeni</t>
        </is>
      </c>
      <c r="D56" s="7" t="n"/>
      <c r="E56" s="7" t="n"/>
      <c r="F56" s="7" t="n"/>
      <c r="G56" s="7" t="inlineStr">
        <is>
          <t>x</t>
        </is>
      </c>
      <c r="H56" s="7" t="n"/>
      <c r="I56" s="25" t="n"/>
    </row>
    <row r="57">
      <c r="A57" s="6" t="n">
        <v>46356</v>
      </c>
      <c r="B57" s="7" t="inlineStr">
        <is>
          <t>ponedjeljak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46359</v>
      </c>
      <c r="B58" s="7" t="inlineStr">
        <is>
          <t>četvrtak</t>
        </is>
      </c>
      <c r="C58" s="7" t="inlineStr">
        <is>
          <t>prosinac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46366</v>
      </c>
      <c r="B59" s="7" t="inlineStr">
        <is>
          <t>četvrtak</t>
        </is>
      </c>
      <c r="C59" s="7" t="inlineStr">
        <is>
          <t>prosinac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46370</v>
      </c>
      <c r="B60" s="7" t="inlineStr">
        <is>
          <t>ponedjeljak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46373</v>
      </c>
      <c r="B61" s="7" t="inlineStr">
        <is>
          <t>četvrtak</t>
        </is>
      </c>
      <c r="C61" s="7" t="inlineStr">
        <is>
          <t>prosinac</t>
        </is>
      </c>
      <c r="D61" s="7" t="n"/>
      <c r="E61" s="7" t="n"/>
      <c r="F61" s="7" t="n"/>
      <c r="G61" s="7" t="n"/>
      <c r="H61" s="7" t="inlineStr">
        <is>
          <t>x</t>
        </is>
      </c>
      <c r="I61" s="25" t="n"/>
    </row>
    <row r="62">
      <c r="A62" s="6" t="n">
        <v>46384</v>
      </c>
      <c r="B62" s="7" t="inlineStr">
        <is>
          <t>ponedjeljak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</sheetData>
  <autoFilter ref="A4:I62"/>
  <conditionalFormatting sqref="D5:D62">
    <cfRule type="expression" priority="1" dxfId="0">
      <formula>D5="x"</formula>
    </cfRule>
  </conditionalFormatting>
  <conditionalFormatting sqref="E5:E62">
    <cfRule type="expression" priority="2" dxfId="1">
      <formula>E5="x"</formula>
    </cfRule>
  </conditionalFormatting>
  <conditionalFormatting sqref="F5:F62">
    <cfRule type="expression" priority="3" dxfId="2">
      <formula>F5="x"</formula>
    </cfRule>
  </conditionalFormatting>
  <conditionalFormatting sqref="G5:G62">
    <cfRule type="expression" priority="4" dxfId="3">
      <formula>G5="x"</formula>
    </cfRule>
  </conditionalFormatting>
  <conditionalFormatting sqref="H5:H62">
    <cfRule type="expression" priority="5" dxfId="4">
      <formula>H5="x"</formula>
    </cfRule>
  </conditionalFormatting>
  <conditionalFormatting sqref="A5:I6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46034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46044</v>
      </c>
      <c r="B3" s="19" t="inlineStr">
        <is>
          <t>četvrtak</t>
        </is>
      </c>
      <c r="C3" s="10" t="inlineStr">
        <is>
          <t>Papir i karton</t>
        </is>
      </c>
      <c r="D3" s="19" t="n"/>
    </row>
    <row r="4">
      <c r="A4" s="26" t="n">
        <v>46048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6" t="n">
        <v>46051</v>
      </c>
      <c r="B5" s="19" t="inlineStr">
        <is>
          <t>četvrtak</t>
        </is>
      </c>
      <c r="C5" s="9" t="inlineStr">
        <is>
          <t>Plastika i metal</t>
        </is>
      </c>
      <c r="D5" s="19" t="n"/>
    </row>
    <row r="6">
      <c r="A6" s="26" t="n">
        <v>46062</v>
      </c>
      <c r="B6" s="19" t="inlineStr">
        <is>
          <t>ponedjeljak</t>
        </is>
      </c>
      <c r="C6" s="5" t="inlineStr">
        <is>
          <t>Miješani komunalni otpad</t>
        </is>
      </c>
      <c r="D6" s="19" t="n"/>
    </row>
    <row r="7">
      <c r="A7" s="26" t="n">
        <v>46065</v>
      </c>
      <c r="B7" s="19" t="inlineStr">
        <is>
          <t>četvrtak</t>
        </is>
      </c>
      <c r="C7" s="10" t="inlineStr">
        <is>
          <t>Papir i karton</t>
        </is>
      </c>
      <c r="D7" s="19" t="n"/>
    </row>
    <row r="8">
      <c r="A8" s="26" t="n">
        <v>46072</v>
      </c>
      <c r="B8" s="19" t="inlineStr">
        <is>
          <t>četvrtak</t>
        </is>
      </c>
      <c r="C8" s="9" t="inlineStr">
        <is>
          <t>Plastika i metal</t>
        </is>
      </c>
      <c r="D8" s="19" t="n"/>
    </row>
    <row r="9">
      <c r="A9" s="26" t="n">
        <v>46076</v>
      </c>
      <c r="B9" s="19" t="inlineStr">
        <is>
          <t>ponedjeljak</t>
        </is>
      </c>
      <c r="C9" s="5" t="inlineStr">
        <is>
          <t>Miješani komunalni otpad</t>
        </is>
      </c>
      <c r="D9" s="19" t="n"/>
    </row>
    <row r="10">
      <c r="A10" s="26" t="n">
        <v>46079</v>
      </c>
      <c r="B10" s="19" t="inlineStr">
        <is>
          <t>četvrtak</t>
        </is>
      </c>
      <c r="C10" s="11" t="inlineStr">
        <is>
          <t>Staklo</t>
        </is>
      </c>
      <c r="D10" s="19" t="n"/>
    </row>
    <row r="11">
      <c r="A11" s="26" t="n">
        <v>46090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6" t="n">
        <v>46093</v>
      </c>
      <c r="B12" s="19" t="inlineStr">
        <is>
          <t>četvrtak</t>
        </is>
      </c>
      <c r="C12" s="10" t="inlineStr">
        <is>
          <t>Papir i karton</t>
        </is>
      </c>
      <c r="D12" s="19" t="n"/>
    </row>
    <row r="13">
      <c r="A13" s="26" t="n">
        <v>46100</v>
      </c>
      <c r="B13" s="19" t="inlineStr">
        <is>
          <t>četvrtak</t>
        </is>
      </c>
      <c r="C13" s="9" t="inlineStr">
        <is>
          <t>Plastika i metal</t>
        </is>
      </c>
      <c r="D13" s="19" t="n"/>
    </row>
    <row r="14">
      <c r="A14" s="26" t="n">
        <v>46104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6" t="n">
        <v>46107</v>
      </c>
      <c r="B15" s="19" t="inlineStr">
        <is>
          <t>četvrtak</t>
        </is>
      </c>
      <c r="C15" s="12" t="inlineStr">
        <is>
          <t>Metal</t>
        </is>
      </c>
      <c r="D15" s="19" t="n"/>
    </row>
    <row r="16">
      <c r="A16" s="26" t="n">
        <v>46118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6" t="n">
        <v>46128</v>
      </c>
      <c r="B17" s="19" t="inlineStr">
        <is>
          <t>četvrtak</t>
        </is>
      </c>
      <c r="C17" s="10" t="inlineStr">
        <is>
          <t>Papir i karton</t>
        </is>
      </c>
      <c r="D17" s="19" t="n"/>
    </row>
    <row r="18">
      <c r="A18" s="26" t="n">
        <v>46132</v>
      </c>
      <c r="B18" s="19" t="inlineStr">
        <is>
          <t>ponedjeljak</t>
        </is>
      </c>
      <c r="C18" s="5" t="inlineStr">
        <is>
          <t>Miješani komunalni otpad</t>
        </is>
      </c>
      <c r="D18" s="19" t="n"/>
    </row>
    <row r="19">
      <c r="A19" s="26" t="n">
        <v>46135</v>
      </c>
      <c r="B19" s="19" t="inlineStr">
        <is>
          <t>četvrtak</t>
        </is>
      </c>
      <c r="C19" s="9" t="inlineStr">
        <is>
          <t>Plastika i metal</t>
        </is>
      </c>
      <c r="D19" s="19" t="n"/>
    </row>
    <row r="20">
      <c r="A20" s="26" t="n">
        <v>46146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6" t="n">
        <v>46149</v>
      </c>
      <c r="B21" s="19" t="inlineStr">
        <is>
          <t>četvrtak</t>
        </is>
      </c>
      <c r="C21" s="10" t="inlineStr">
        <is>
          <t>Papir i karton</t>
        </is>
      </c>
      <c r="D21" s="19" t="n"/>
    </row>
    <row r="22">
      <c r="A22" s="26" t="n">
        <v>46156</v>
      </c>
      <c r="B22" s="19" t="inlineStr">
        <is>
          <t>četvrtak</t>
        </is>
      </c>
      <c r="C22" s="9" t="inlineStr">
        <is>
          <t>Plastika i metal</t>
        </is>
      </c>
      <c r="D22" s="19" t="n"/>
    </row>
    <row r="23">
      <c r="A23" s="26" t="n">
        <v>46160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6" t="n">
        <v>46163</v>
      </c>
      <c r="B24" s="19" t="inlineStr">
        <is>
          <t>četvrtak</t>
        </is>
      </c>
      <c r="C24" s="11" t="inlineStr">
        <is>
          <t>Staklo</t>
        </is>
      </c>
      <c r="D24" s="19" t="n"/>
    </row>
    <row r="25">
      <c r="A25" s="26" t="n">
        <v>46174</v>
      </c>
      <c r="B25" s="19" t="inlineStr">
        <is>
          <t>ponedjeljak</t>
        </is>
      </c>
      <c r="C25" s="5" t="inlineStr">
        <is>
          <t>Miješani komunalni otpad</t>
        </is>
      </c>
      <c r="D25" s="19" t="n"/>
    </row>
    <row r="26">
      <c r="A26" s="26" t="n">
        <v>46184</v>
      </c>
      <c r="B26" s="19" t="inlineStr">
        <is>
          <t>četvrtak</t>
        </is>
      </c>
      <c r="C26" s="10" t="inlineStr">
        <is>
          <t>Papir i karton</t>
        </is>
      </c>
      <c r="D26" s="19" t="n"/>
    </row>
    <row r="27">
      <c r="A27" s="26" t="n">
        <v>46188</v>
      </c>
      <c r="B27" s="19" t="inlineStr">
        <is>
          <t>ponedjeljak</t>
        </is>
      </c>
      <c r="C27" s="5" t="inlineStr">
        <is>
          <t>Miješani komunalni otpad</t>
        </is>
      </c>
      <c r="D27" s="19" t="n"/>
    </row>
    <row r="28">
      <c r="A28" s="26" t="n">
        <v>46191</v>
      </c>
      <c r="B28" s="19" t="inlineStr">
        <is>
          <t>četvrtak</t>
        </is>
      </c>
      <c r="C28" s="9" t="inlineStr">
        <is>
          <t>Plastika i metal</t>
        </is>
      </c>
      <c r="D28" s="19" t="n"/>
    </row>
    <row r="29">
      <c r="A29" s="26" t="n">
        <v>46198</v>
      </c>
      <c r="B29" s="19" t="inlineStr">
        <is>
          <t>četvrtak</t>
        </is>
      </c>
      <c r="C29" s="12" t="inlineStr">
        <is>
          <t>Metal</t>
        </is>
      </c>
      <c r="D29" s="19" t="n"/>
    </row>
    <row r="30">
      <c r="A30" s="26" t="n">
        <v>46202</v>
      </c>
      <c r="B30" s="19" t="inlineStr">
        <is>
          <t>ponedjeljak</t>
        </is>
      </c>
      <c r="C30" s="5" t="inlineStr">
        <is>
          <t>Miješani komunalni otpad</t>
        </is>
      </c>
      <c r="D30" s="19" t="n"/>
    </row>
    <row r="31">
      <c r="A31" s="26" t="n">
        <v>46205</v>
      </c>
      <c r="B31" s="19" t="inlineStr">
        <is>
          <t>četvrtak</t>
        </is>
      </c>
      <c r="C31" s="10" t="inlineStr">
        <is>
          <t>Papir i karton</t>
        </is>
      </c>
      <c r="D31" s="19" t="n"/>
    </row>
    <row r="32">
      <c r="A32" s="26" t="n">
        <v>46212</v>
      </c>
      <c r="B32" s="19" t="inlineStr">
        <is>
          <t>četvrtak</t>
        </is>
      </c>
      <c r="C32" s="9" t="inlineStr">
        <is>
          <t>Plastika i metal</t>
        </is>
      </c>
      <c r="D32" s="19" t="n"/>
    </row>
    <row r="33">
      <c r="A33" s="26" t="n">
        <v>46216</v>
      </c>
      <c r="B33" s="19" t="inlineStr">
        <is>
          <t>ponedjeljak</t>
        </is>
      </c>
      <c r="C33" s="5" t="inlineStr">
        <is>
          <t>Miješani komunalni otpad</t>
        </is>
      </c>
      <c r="D33" s="19" t="n"/>
    </row>
    <row r="34">
      <c r="A34" s="26" t="n">
        <v>46230</v>
      </c>
      <c r="B34" s="19" t="inlineStr">
        <is>
          <t>ponedjeljak</t>
        </is>
      </c>
      <c r="C34" s="5" t="inlineStr">
        <is>
          <t>Miješani komunalni otpad</t>
        </is>
      </c>
      <c r="D34" s="19" t="n"/>
    </row>
    <row r="35">
      <c r="A35" s="26" t="n">
        <v>46244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6" t="n">
        <v>46254</v>
      </c>
      <c r="B36" s="19" t="inlineStr">
        <is>
          <t>četvrtak</t>
        </is>
      </c>
      <c r="C36" s="10" t="inlineStr">
        <is>
          <t>Papir i karton</t>
        </is>
      </c>
      <c r="D36" s="19" t="n"/>
    </row>
    <row r="37">
      <c r="A37" s="26" t="n">
        <v>46258</v>
      </c>
      <c r="B37" s="19" t="inlineStr">
        <is>
          <t>ponedjeljak</t>
        </is>
      </c>
      <c r="C37" s="5" t="inlineStr">
        <is>
          <t>Miješani komunalni otpad</t>
        </is>
      </c>
      <c r="D37" s="19" t="n"/>
    </row>
    <row r="38">
      <c r="A38" s="26" t="n">
        <v>46261</v>
      </c>
      <c r="B38" s="19" t="inlineStr">
        <is>
          <t>četvrtak</t>
        </is>
      </c>
      <c r="C38" s="9" t="inlineStr">
        <is>
          <t>Plastika i metal</t>
        </is>
      </c>
      <c r="D38" s="19" t="n"/>
    </row>
    <row r="39">
      <c r="A39" s="26" t="n">
        <v>46272</v>
      </c>
      <c r="B39" s="19" t="inlineStr">
        <is>
          <t>ponedjeljak</t>
        </is>
      </c>
      <c r="C39" s="5" t="inlineStr">
        <is>
          <t>Miješani komunalni otpad</t>
        </is>
      </c>
      <c r="D39" s="19" t="n"/>
    </row>
    <row r="40">
      <c r="A40" s="26" t="n">
        <v>46275</v>
      </c>
      <c r="B40" s="19" t="inlineStr">
        <is>
          <t>četvrtak</t>
        </is>
      </c>
      <c r="C40" s="10" t="inlineStr">
        <is>
          <t>Papir i karton</t>
        </is>
      </c>
      <c r="D40" s="19" t="n"/>
    </row>
    <row r="41">
      <c r="A41" s="26" t="n">
        <v>46282</v>
      </c>
      <c r="B41" s="19" t="inlineStr">
        <is>
          <t>četvrtak</t>
        </is>
      </c>
      <c r="C41" s="9" t="inlineStr">
        <is>
          <t>Plastika i metal</t>
        </is>
      </c>
      <c r="D41" s="19" t="n"/>
    </row>
    <row r="42">
      <c r="A42" s="26" t="n">
        <v>46286</v>
      </c>
      <c r="B42" s="19" t="inlineStr">
        <is>
          <t>ponedjeljak</t>
        </is>
      </c>
      <c r="C42" s="5" t="inlineStr">
        <is>
          <t>Miješani komunalni otpad</t>
        </is>
      </c>
      <c r="D42" s="19" t="n"/>
    </row>
    <row r="43">
      <c r="A43" s="26" t="n">
        <v>46289</v>
      </c>
      <c r="B43" s="19" t="inlineStr">
        <is>
          <t>četvrtak</t>
        </is>
      </c>
      <c r="C43" s="11" t="inlineStr">
        <is>
          <t>Staklo</t>
        </is>
      </c>
      <c r="D43" s="19" t="n"/>
    </row>
    <row r="44">
      <c r="A44" s="26" t="n">
        <v>46300</v>
      </c>
      <c r="B44" s="19" t="inlineStr">
        <is>
          <t>ponedjeljak</t>
        </is>
      </c>
      <c r="C44" s="5" t="inlineStr">
        <is>
          <t>Miješani komunalni otpad</t>
        </is>
      </c>
      <c r="D44" s="19" t="n"/>
    </row>
    <row r="45">
      <c r="A45" s="26" t="n">
        <v>46303</v>
      </c>
      <c r="B45" s="19" t="inlineStr">
        <is>
          <t>četvrtak</t>
        </is>
      </c>
      <c r="C45" s="10" t="inlineStr">
        <is>
          <t>Papir i karton</t>
        </is>
      </c>
      <c r="D45" s="19" t="n"/>
    </row>
    <row r="46">
      <c r="A46" s="26" t="n">
        <v>46310</v>
      </c>
      <c r="B46" s="19" t="inlineStr">
        <is>
          <t>četvrtak</t>
        </is>
      </c>
      <c r="C46" s="9" t="inlineStr">
        <is>
          <t>Plastika i metal</t>
        </is>
      </c>
      <c r="D46" s="19" t="n"/>
    </row>
    <row r="47">
      <c r="A47" s="26" t="n">
        <v>46314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6" t="n">
        <v>46317</v>
      </c>
      <c r="B48" s="19" t="inlineStr">
        <is>
          <t>četvrtak</t>
        </is>
      </c>
      <c r="C48" s="12" t="inlineStr">
        <is>
          <t>Metal</t>
        </is>
      </c>
      <c r="D48" s="19" t="n"/>
    </row>
    <row r="49">
      <c r="A49" s="26" t="n">
        <v>46328</v>
      </c>
      <c r="B49" s="19" t="inlineStr">
        <is>
          <t>ponedjeljak</t>
        </is>
      </c>
      <c r="C49" s="5" t="inlineStr">
        <is>
          <t>Miješani komunalni otpad</t>
        </is>
      </c>
      <c r="D49" s="19" t="n"/>
    </row>
    <row r="50">
      <c r="A50" s="26" t="n">
        <v>46331</v>
      </c>
      <c r="B50" s="19" t="inlineStr">
        <is>
          <t>četvrtak</t>
        </is>
      </c>
      <c r="C50" s="10" t="inlineStr">
        <is>
          <t>Papir i karton</t>
        </is>
      </c>
      <c r="D50" s="19" t="n"/>
    </row>
    <row r="51">
      <c r="A51" s="26" t="n">
        <v>46338</v>
      </c>
      <c r="B51" s="19" t="inlineStr">
        <is>
          <t>četvrtak</t>
        </is>
      </c>
      <c r="C51" s="9" t="inlineStr">
        <is>
          <t>Plastika i metal</t>
        </is>
      </c>
      <c r="D51" s="19" t="n"/>
    </row>
    <row r="52">
      <c r="A52" s="26" t="n">
        <v>46342</v>
      </c>
      <c r="B52" s="19" t="inlineStr">
        <is>
          <t>ponedjeljak</t>
        </is>
      </c>
      <c r="C52" s="5" t="inlineStr">
        <is>
          <t>Miješani komunalni otpad</t>
        </is>
      </c>
      <c r="D52" s="19" t="n"/>
    </row>
    <row r="53">
      <c r="A53" s="26" t="n">
        <v>46345</v>
      </c>
      <c r="B53" s="19" t="inlineStr">
        <is>
          <t>četvrtak</t>
        </is>
      </c>
      <c r="C53" s="11" t="inlineStr">
        <is>
          <t>Staklo</t>
        </is>
      </c>
      <c r="D53" s="19" t="n"/>
    </row>
    <row r="54">
      <c r="A54" s="26" t="n">
        <v>46356</v>
      </c>
      <c r="B54" s="19" t="inlineStr">
        <is>
          <t>ponedjeljak</t>
        </is>
      </c>
      <c r="C54" s="5" t="inlineStr">
        <is>
          <t>Miješani komunalni otpad</t>
        </is>
      </c>
      <c r="D54" s="19" t="n"/>
    </row>
    <row r="55">
      <c r="A55" s="26" t="n">
        <v>46359</v>
      </c>
      <c r="B55" s="19" t="inlineStr">
        <is>
          <t>četvrtak</t>
        </is>
      </c>
      <c r="C55" s="10" t="inlineStr">
        <is>
          <t>Papir i karton</t>
        </is>
      </c>
      <c r="D55" s="19" t="n"/>
    </row>
    <row r="56">
      <c r="A56" s="26" t="n">
        <v>46366</v>
      </c>
      <c r="B56" s="19" t="inlineStr">
        <is>
          <t>četvrtak</t>
        </is>
      </c>
      <c r="C56" s="9" t="inlineStr">
        <is>
          <t>Plastika i metal</t>
        </is>
      </c>
      <c r="D56" s="19" t="n"/>
    </row>
    <row r="57">
      <c r="A57" s="26" t="n">
        <v>46370</v>
      </c>
      <c r="B57" s="19" t="inlineStr">
        <is>
          <t>ponedjeljak</t>
        </is>
      </c>
      <c r="C57" s="5" t="inlineStr">
        <is>
          <t>Miješani komunalni otpad</t>
        </is>
      </c>
      <c r="D57" s="19" t="n"/>
    </row>
    <row r="58">
      <c r="A58" s="26" t="n">
        <v>46373</v>
      </c>
      <c r="B58" s="19" t="inlineStr">
        <is>
          <t>četvrtak</t>
        </is>
      </c>
      <c r="C58" s="12" t="inlineStr">
        <is>
          <t>Metal</t>
        </is>
      </c>
      <c r="D58" s="19" t="n"/>
    </row>
    <row r="59">
      <c r="A59" s="26" t="n">
        <v>46384</v>
      </c>
      <c r="B59" s="19" t="inlineStr">
        <is>
          <t>ponedjeljak</t>
        </is>
      </c>
      <c r="C59" s="5" t="inlineStr">
        <is>
          <t>Miješani komunalni otpad</t>
        </is>
      </c>
      <c r="D59" s="19" t="n"/>
    </row>
  </sheetData>
  <autoFilter ref="A1:D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(Draž): ulice i naselja</t>
        </is>
      </c>
    </row>
    <row r="4">
      <c r="A4" s="4" t="inlineStr">
        <is>
          <t>Ulica / naselje</t>
        </is>
      </c>
    </row>
    <row r="5">
      <c r="A5" s="19" t="inlineStr">
        <is>
          <t>Draž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2026-10-07T18:06:56Z</dcterms:created>
  <dcterms:modified xmlns:dcterms="http://purl.org/dc/terms/" xmlns:xsi="http://www.w3.org/2001/XMLSchema-instance" xsi:type="dcterms:W3CDTF">2026-10-07T18:06:56Z</dcterms:modified>
</cp:coreProperties>
</file>
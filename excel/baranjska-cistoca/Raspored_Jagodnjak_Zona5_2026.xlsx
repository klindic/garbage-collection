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'Raspored'!$A$4:$I$63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Plastika i metal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Papir i karton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Staklo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COUNTIFS(Raspored!$C$5:$C$63,$A14,Raspored!$D$5:$D$63,"x")</f>
        <v/>
      </c>
      <c r="C14" s="7">
        <f>COUNTIFS(Raspored!$C$5:$C$63,$A14,Raspored!$E$5:$E$63,"x")</f>
        <v/>
      </c>
      <c r="D14" s="7">
        <f>COUNTIFS(Raspored!$C$5:$C$63,$A14,Raspored!$F$5:$F$63,"x")</f>
        <v/>
      </c>
      <c r="E14" s="7">
        <f>COUNTIFS(Raspored!$C$5:$C$63,$A14,Raspored!$G$5:$G$63,"x")</f>
        <v/>
      </c>
      <c r="F14" s="7">
        <f>COUNTIFS(Raspored!$C$5:$C$63,$A14,Raspored!$H$5:$H$63,"x")</f>
        <v/>
      </c>
    </row>
    <row r="15">
      <c r="A15" s="19" t="inlineStr">
        <is>
          <t>veljača</t>
        </is>
      </c>
      <c r="B15" s="7">
        <f>COUNTIFS(Raspored!$C$5:$C$63,$A15,Raspored!$D$5:$D$63,"x")</f>
        <v/>
      </c>
      <c r="C15" s="7">
        <f>COUNTIFS(Raspored!$C$5:$C$63,$A15,Raspored!$E$5:$E$63,"x")</f>
        <v/>
      </c>
      <c r="D15" s="7">
        <f>COUNTIFS(Raspored!$C$5:$C$63,$A15,Raspored!$F$5:$F$63,"x")</f>
        <v/>
      </c>
      <c r="E15" s="7">
        <f>COUNTIFS(Raspored!$C$5:$C$63,$A15,Raspored!$G$5:$G$63,"x")</f>
        <v/>
      </c>
      <c r="F15" s="7">
        <f>COUNTIFS(Raspored!$C$5:$C$63,$A15,Raspored!$H$5:$H$63,"x")</f>
        <v/>
      </c>
    </row>
    <row r="16">
      <c r="A16" s="19" t="inlineStr">
        <is>
          <t>ožujak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</row>
    <row r="17">
      <c r="A17" s="19" t="inlineStr">
        <is>
          <t>travanj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</row>
    <row r="18">
      <c r="A18" s="19" t="inlineStr">
        <is>
          <t>svibanj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</row>
    <row r="19">
      <c r="A19" s="19" t="inlineStr">
        <is>
          <t>lipanj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</row>
    <row r="20">
      <c r="A20" s="19" t="inlineStr">
        <is>
          <t>srpanj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</row>
    <row r="21">
      <c r="A21" s="19" t="inlineStr">
        <is>
          <t>kolovoz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</row>
    <row r="22">
      <c r="A22" s="19" t="inlineStr">
        <is>
          <t>rujan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</row>
    <row r="23">
      <c r="A23" s="19" t="inlineStr">
        <is>
          <t>listopad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</row>
    <row r="24">
      <c r="A24" s="19" t="inlineStr">
        <is>
          <t>studeni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</row>
    <row r="25">
      <c r="A25" s="19" t="inlineStr">
        <is>
          <t>prosinac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(Jagodnjak)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46133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46147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46163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46177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46182</v>
      </c>
      <c r="B30" s="7" t="inlineStr">
        <is>
          <t>utorak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46189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25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46233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46247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46252</v>
      </c>
      <c r="B40" s="7" t="inlineStr">
        <is>
          <t>utorak</t>
        </is>
      </c>
      <c r="C40" s="7" t="inlineStr">
        <is>
          <t>kolovoz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46273</v>
      </c>
      <c r="B43" s="7" t="inlineStr">
        <is>
          <t>utorak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46275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46280</v>
      </c>
      <c r="B45" s="7" t="inlineStr">
        <is>
          <t>utorak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46287</v>
      </c>
      <c r="B46" s="7" t="inlineStr">
        <is>
          <t>utorak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46289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46301</v>
      </c>
      <c r="B48" s="7" t="inlineStr">
        <is>
          <t>utorak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46303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46308</v>
      </c>
      <c r="B50" s="7" t="inlineStr">
        <is>
          <t>utorak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46315</v>
      </c>
      <c r="B51" s="7" t="inlineStr">
        <is>
          <t>utorak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46317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46329</v>
      </c>
      <c r="B53" s="7" t="inlineStr">
        <is>
          <t>utorak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46331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46336</v>
      </c>
      <c r="B55" s="7" t="inlineStr">
        <is>
          <t>utorak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46343</v>
      </c>
      <c r="B56" s="7" t="inlineStr">
        <is>
          <t>utorak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46345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46357</v>
      </c>
      <c r="B58" s="7" t="inlineStr">
        <is>
          <t>utorak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46359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46364</v>
      </c>
      <c r="B60" s="7" t="inlineStr">
        <is>
          <t>utorak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46371</v>
      </c>
      <c r="B61" s="7" t="inlineStr">
        <is>
          <t>utorak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46373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46387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</sheetData>
  <autoFilter ref="A4:I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A5:I6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46037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46042</v>
      </c>
      <c r="B4" s="19" t="inlineStr">
        <is>
          <t>utorak</t>
        </is>
      </c>
      <c r="C4" s="10" t="inlineStr">
        <is>
          <t>Papir i karton</t>
        </is>
      </c>
      <c r="D4" s="19" t="n"/>
    </row>
    <row r="5">
      <c r="A5" s="26" t="n">
        <v>46049</v>
      </c>
      <c r="B5" s="19" t="inlineStr">
        <is>
          <t>utorak</t>
        </is>
      </c>
      <c r="C5" s="9" t="inlineStr">
        <is>
          <t>Plastika i metal</t>
        </is>
      </c>
      <c r="D5" s="19" t="n"/>
    </row>
    <row r="6">
      <c r="A6" s="26" t="n">
        <v>46051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46063</v>
      </c>
      <c r="B7" s="19" t="inlineStr">
        <is>
          <t>utorak</t>
        </is>
      </c>
      <c r="C7" s="10" t="inlineStr">
        <is>
          <t>Papir i karton</t>
        </is>
      </c>
      <c r="D7" s="19" t="n"/>
    </row>
    <row r="8">
      <c r="A8" s="26" t="n">
        <v>46065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46070</v>
      </c>
      <c r="B9" s="19" t="inlineStr">
        <is>
          <t>utorak</t>
        </is>
      </c>
      <c r="C9" s="9" t="inlineStr">
        <is>
          <t>Plastika i metal</t>
        </is>
      </c>
      <c r="D9" s="19" t="n"/>
    </row>
    <row r="10">
      <c r="A10" s="26" t="n">
        <v>46077</v>
      </c>
      <c r="B10" s="19" t="inlineStr">
        <is>
          <t>utorak</t>
        </is>
      </c>
      <c r="C10" s="11" t="inlineStr">
        <is>
          <t>Staklo</t>
        </is>
      </c>
      <c r="D10" s="19" t="n"/>
    </row>
    <row r="11">
      <c r="A11" s="26" t="n">
        <v>46079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46091</v>
      </c>
      <c r="B12" s="19" t="inlineStr">
        <is>
          <t>utorak</t>
        </is>
      </c>
      <c r="C12" s="10" t="inlineStr">
        <is>
          <t>Papir i karton</t>
        </is>
      </c>
      <c r="D12" s="19" t="n"/>
    </row>
    <row r="13">
      <c r="A13" s="26" t="n">
        <v>46093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46098</v>
      </c>
      <c r="B14" s="19" t="inlineStr">
        <is>
          <t>utorak</t>
        </is>
      </c>
      <c r="C14" s="9" t="inlineStr">
        <is>
          <t>Plastika i metal</t>
        </is>
      </c>
      <c r="D14" s="19" t="n"/>
    </row>
    <row r="15">
      <c r="A15" s="26" t="n">
        <v>46105</v>
      </c>
      <c r="B15" s="19" t="inlineStr">
        <is>
          <t>utorak</t>
        </is>
      </c>
      <c r="C15" s="12" t="inlineStr">
        <is>
          <t>Metal</t>
        </is>
      </c>
      <c r="D15" s="19" t="n"/>
    </row>
    <row r="16">
      <c r="A16" s="26" t="n">
        <v>46107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46121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46126</v>
      </c>
      <c r="B18" s="19" t="inlineStr">
        <is>
          <t>utorak</t>
        </is>
      </c>
      <c r="C18" s="10" t="inlineStr">
        <is>
          <t>Papir i karton</t>
        </is>
      </c>
      <c r="D18" s="19" t="n"/>
    </row>
    <row r="19">
      <c r="A19" s="26" t="n">
        <v>46133</v>
      </c>
      <c r="B19" s="19" t="inlineStr">
        <is>
          <t>utorak</t>
        </is>
      </c>
      <c r="C19" s="9" t="inlineStr">
        <is>
          <t>Plastika i metal</t>
        </is>
      </c>
      <c r="D19" s="19" t="n"/>
    </row>
    <row r="20">
      <c r="A20" s="26" t="n">
        <v>46135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46147</v>
      </c>
      <c r="B21" s="19" t="inlineStr">
        <is>
          <t>utorak</t>
        </is>
      </c>
      <c r="C21" s="10" t="inlineStr">
        <is>
          <t>Papir i karton</t>
        </is>
      </c>
      <c r="D21" s="19" t="n"/>
    </row>
    <row r="22">
      <c r="A22" s="26" t="n">
        <v>46149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46154</v>
      </c>
      <c r="B23" s="19" t="inlineStr">
        <is>
          <t>utorak</t>
        </is>
      </c>
      <c r="C23" s="9" t="inlineStr">
        <is>
          <t>Plastika i metal</t>
        </is>
      </c>
      <c r="D23" s="19" t="n"/>
    </row>
    <row r="24">
      <c r="A24" s="26" t="n">
        <v>46161</v>
      </c>
      <c r="B24" s="19" t="inlineStr">
        <is>
          <t>utorak</t>
        </is>
      </c>
      <c r="C24" s="11" t="inlineStr">
        <is>
          <t>Staklo</t>
        </is>
      </c>
      <c r="D24" s="19" t="n"/>
    </row>
    <row r="25">
      <c r="A25" s="26" t="n">
        <v>46163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46177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46182</v>
      </c>
      <c r="B27" s="19" t="inlineStr">
        <is>
          <t>utorak</t>
        </is>
      </c>
      <c r="C27" s="10" t="inlineStr">
        <is>
          <t>Papir i karton</t>
        </is>
      </c>
      <c r="D27" s="19" t="n"/>
    </row>
    <row r="28">
      <c r="A28" s="26" t="n">
        <v>46189</v>
      </c>
      <c r="B28" s="19" t="inlineStr">
        <is>
          <t>utorak</t>
        </is>
      </c>
      <c r="C28" s="9" t="inlineStr">
        <is>
          <t>Plastika i metal</t>
        </is>
      </c>
      <c r="D28" s="19" t="n"/>
    </row>
    <row r="29">
      <c r="A29" s="26" t="n">
        <v>46191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46196</v>
      </c>
      <c r="B30" s="19" t="inlineStr">
        <is>
          <t>utorak</t>
        </is>
      </c>
      <c r="C30" s="12" t="inlineStr">
        <is>
          <t>Metal</t>
        </is>
      </c>
      <c r="D30" s="19" t="n"/>
    </row>
    <row r="31">
      <c r="A31" s="26" t="n">
        <v>46203</v>
      </c>
      <c r="B31" s="19" t="inlineStr">
        <is>
          <t>utorak</t>
        </is>
      </c>
      <c r="C31" s="10" t="inlineStr">
        <is>
          <t>Papir i karton</t>
        </is>
      </c>
      <c r="D31" s="19" t="n"/>
    </row>
    <row r="32">
      <c r="A32" s="26" t="n">
        <v>46205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46210</v>
      </c>
      <c r="B33" s="19" t="inlineStr">
        <is>
          <t>utorak</t>
        </is>
      </c>
      <c r="C33" s="9" t="inlineStr">
        <is>
          <t>Plastika i metal</t>
        </is>
      </c>
      <c r="D33" s="19" t="n"/>
    </row>
    <row r="34">
      <c r="A34" s="26" t="n">
        <v>46219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46233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46247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6" t="n">
        <v>46252</v>
      </c>
      <c r="B37" s="19" t="inlineStr">
        <is>
          <t>utorak</t>
        </is>
      </c>
      <c r="C37" s="10" t="inlineStr">
        <is>
          <t>Papir i karton</t>
        </is>
      </c>
      <c r="D37" s="19" t="n"/>
    </row>
    <row r="38">
      <c r="A38" s="26" t="n">
        <v>46259</v>
      </c>
      <c r="B38" s="19" t="inlineStr">
        <is>
          <t>utorak</t>
        </is>
      </c>
      <c r="C38" s="9" t="inlineStr">
        <is>
          <t>Plastika i metal</t>
        </is>
      </c>
      <c r="D38" s="19" t="n"/>
    </row>
    <row r="39">
      <c r="A39" s="26" t="n">
        <v>46261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46273</v>
      </c>
      <c r="B40" s="19" t="inlineStr">
        <is>
          <t>utorak</t>
        </is>
      </c>
      <c r="C40" s="10" t="inlineStr">
        <is>
          <t>Papir i karton</t>
        </is>
      </c>
      <c r="D40" s="19" t="n"/>
    </row>
    <row r="41">
      <c r="A41" s="26" t="n">
        <v>46275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46280</v>
      </c>
      <c r="B42" s="19" t="inlineStr">
        <is>
          <t>utorak</t>
        </is>
      </c>
      <c r="C42" s="9" t="inlineStr">
        <is>
          <t>Plastika i metal</t>
        </is>
      </c>
      <c r="D42" s="19" t="n"/>
    </row>
    <row r="43">
      <c r="A43" s="26" t="n">
        <v>46287</v>
      </c>
      <c r="B43" s="19" t="inlineStr">
        <is>
          <t>utorak</t>
        </is>
      </c>
      <c r="C43" s="11" t="inlineStr">
        <is>
          <t>Staklo</t>
        </is>
      </c>
      <c r="D43" s="19" t="n"/>
    </row>
    <row r="44">
      <c r="A44" s="26" t="n">
        <v>46289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6" t="n">
        <v>46301</v>
      </c>
      <c r="B45" s="19" t="inlineStr">
        <is>
          <t>utorak</t>
        </is>
      </c>
      <c r="C45" s="10" t="inlineStr">
        <is>
          <t>Papir i karton</t>
        </is>
      </c>
      <c r="D45" s="19" t="n"/>
    </row>
    <row r="46">
      <c r="A46" s="26" t="n">
        <v>46303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6" t="n">
        <v>46308</v>
      </c>
      <c r="B47" s="19" t="inlineStr">
        <is>
          <t>utorak</t>
        </is>
      </c>
      <c r="C47" s="9" t="inlineStr">
        <is>
          <t>Plastika i metal</t>
        </is>
      </c>
      <c r="D47" s="19" t="n"/>
    </row>
    <row r="48">
      <c r="A48" s="26" t="n">
        <v>46315</v>
      </c>
      <c r="B48" s="19" t="inlineStr">
        <is>
          <t>utorak</t>
        </is>
      </c>
      <c r="C48" s="12" t="inlineStr">
        <is>
          <t>Metal</t>
        </is>
      </c>
      <c r="D48" s="19" t="n"/>
    </row>
    <row r="49">
      <c r="A49" s="26" t="n">
        <v>46317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46329</v>
      </c>
      <c r="B50" s="19" t="inlineStr">
        <is>
          <t>utorak</t>
        </is>
      </c>
      <c r="C50" s="10" t="inlineStr">
        <is>
          <t>Papir i karton</t>
        </is>
      </c>
      <c r="D50" s="19" t="n"/>
    </row>
    <row r="51">
      <c r="A51" s="26" t="n">
        <v>46331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6" t="n">
        <v>46336</v>
      </c>
      <c r="B52" s="19" t="inlineStr">
        <is>
          <t>utorak</t>
        </is>
      </c>
      <c r="C52" s="9" t="inlineStr">
        <is>
          <t>Plastika i metal</t>
        </is>
      </c>
      <c r="D52" s="19" t="n"/>
    </row>
    <row r="53">
      <c r="A53" s="26" t="n">
        <v>46343</v>
      </c>
      <c r="B53" s="19" t="inlineStr">
        <is>
          <t>utorak</t>
        </is>
      </c>
      <c r="C53" s="11" t="inlineStr">
        <is>
          <t>Staklo</t>
        </is>
      </c>
      <c r="D53" s="19" t="n"/>
    </row>
    <row r="54">
      <c r="A54" s="26" t="n">
        <v>46345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46357</v>
      </c>
      <c r="B55" s="19" t="inlineStr">
        <is>
          <t>utorak</t>
        </is>
      </c>
      <c r="C55" s="10" t="inlineStr">
        <is>
          <t>Papir i karton</t>
        </is>
      </c>
      <c r="D55" s="19" t="n"/>
    </row>
    <row r="56">
      <c r="A56" s="26" t="n">
        <v>46359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6" t="n">
        <v>46364</v>
      </c>
      <c r="B57" s="19" t="inlineStr">
        <is>
          <t>utorak</t>
        </is>
      </c>
      <c r="C57" s="9" t="inlineStr">
        <is>
          <t>Plastika i metal</t>
        </is>
      </c>
      <c r="D57" s="19" t="n"/>
    </row>
    <row r="58">
      <c r="A58" s="26" t="n">
        <v>46371</v>
      </c>
      <c r="B58" s="19" t="inlineStr">
        <is>
          <t>utorak</t>
        </is>
      </c>
      <c r="C58" s="12" t="inlineStr">
        <is>
          <t>Metal</t>
        </is>
      </c>
      <c r="D58" s="19" t="n"/>
    </row>
    <row r="59">
      <c r="A59" s="26" t="n">
        <v>46373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46387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(Jagodnjak): ulice i naselja</t>
        </is>
      </c>
    </row>
    <row r="4">
      <c r="A4" s="4" t="inlineStr">
        <is>
          <t>Ulica / naselje</t>
        </is>
      </c>
    </row>
    <row r="5">
      <c r="A5" s="19" t="inlineStr">
        <is>
          <t>Jagodnjak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
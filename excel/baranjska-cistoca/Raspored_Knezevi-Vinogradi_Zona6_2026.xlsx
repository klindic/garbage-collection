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Plastika i metal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8">
      <c r="A8" s="10" t="inlineStr">
        <is>
          <t>Papir i karton</t>
        </is>
      </c>
      <c r="B8" s="6">
        <f>IFERROR(1/(1/_xlfn.MINIFS(Raspored!$A$5:$A$62,Raspored!$F$5:$F$62,"x",Raspored!$A$5:$A$62,"&gt;="&amp;$B$3)),"nema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COUNTIF(Raspored!$F$5:$F$62,"x")</f>
        <v/>
      </c>
    </row>
    <row r="9">
      <c r="A9" s="11" t="inlineStr">
        <is>
          <t>Staklo</t>
        </is>
      </c>
      <c r="B9" s="6">
        <f>IFERROR(1/(1/_xlfn.MINIFS(Raspored!$A$5:$A$62,Raspored!$G$5:$G$62,"x",Raspored!$A$5:$A$62,"&gt;="&amp;$B$3)),"nema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COUNTIF(Raspored!$G$5:$G$62,"x")</f>
        <v/>
      </c>
    </row>
    <row r="10">
      <c r="A10" s="12" t="inlineStr">
        <is>
          <t>Metal</t>
        </is>
      </c>
      <c r="B10" s="6">
        <f>IFERROR(1/(1/_xlfn.MINIFS(Raspored!$A$5:$A$62,Raspored!$H$5:$H$62,"x",Raspored!$A$5:$A$62,"&gt;="&amp;$B$3)),"nema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  <c r="D14" s="7">
        <f>COUNTIFS(Raspored!$C$5:$C$62,$A14,Raspored!$F$5:$F$62,"x")</f>
        <v/>
      </c>
      <c r="E14" s="7">
        <f>COUNTIFS(Raspored!$C$5:$C$62,$A14,Raspored!$G$5:$G$62,"x")</f>
        <v/>
      </c>
      <c r="F14" s="7">
        <f>COUNTIFS(Raspored!$C$5:$C$62,$A14,Raspored!$H$5:$H$62,"x")</f>
        <v/>
      </c>
    </row>
    <row r="15">
      <c r="A15" s="19" t="inlineStr">
        <is>
          <t>veljača</t>
        </is>
      </c>
      <c r="B15" s="7">
        <f>COUNTIFS(Raspored!$C$5:$C$62,$A15,Raspored!$D$5:$D$62,"x")</f>
        <v/>
      </c>
      <c r="C15" s="7">
        <f>COUNTIFS(Raspored!$C$5:$C$62,$A15,Raspored!$E$5:$E$62,"x")</f>
        <v/>
      </c>
      <c r="D15" s="7">
        <f>COUNTIFS(Raspored!$C$5:$C$62,$A15,Raspored!$F$5:$F$62,"x")</f>
        <v/>
      </c>
      <c r="E15" s="7">
        <f>COUNTIFS(Raspored!$C$5:$C$62,$A15,Raspored!$G$5:$G$62,"x")</f>
        <v/>
      </c>
      <c r="F15" s="7">
        <f>COUNTIFS(Raspored!$C$5:$C$62,$A15,Raspored!$H$5:$H$62,"x")</f>
        <v/>
      </c>
    </row>
    <row r="16">
      <c r="A16" s="19" t="inlineStr">
        <is>
          <t>ožujak</t>
        </is>
      </c>
      <c r="B16" s="7">
        <f>COUNTIFS(Raspored!$C$5:$C$62,$A16,Raspored!$D$5:$D$62,"x")</f>
        <v/>
      </c>
      <c r="C16" s="7">
        <f>COUNTIFS(Raspored!$C$5:$C$62,$A16,Raspored!$E$5:$E$62,"x")</f>
        <v/>
      </c>
      <c r="D16" s="7">
        <f>COUNTIFS(Raspored!$C$5:$C$62,$A16,Raspored!$F$5:$F$62,"x")</f>
        <v/>
      </c>
      <c r="E16" s="7">
        <f>COUNTIFS(Raspored!$C$5:$C$62,$A16,Raspored!$G$5:$G$62,"x")</f>
        <v/>
      </c>
      <c r="F16" s="7">
        <f>COUNTIFS(Raspored!$C$5:$C$62,$A16,Raspored!$H$5:$H$62,"x")</f>
        <v/>
      </c>
    </row>
    <row r="17">
      <c r="A17" s="19" t="inlineStr">
        <is>
          <t>travanj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  <c r="D17" s="7">
        <f>COUNTIFS(Raspored!$C$5:$C$62,$A17,Raspored!$F$5:$F$62,"x")</f>
        <v/>
      </c>
      <c r="E17" s="7">
        <f>COUNTIFS(Raspored!$C$5:$C$62,$A17,Raspored!$G$5:$G$62,"x")</f>
        <v/>
      </c>
      <c r="F17" s="7">
        <f>COUNTIFS(Raspored!$C$5:$C$62,$A17,Raspored!$H$5:$H$62,"x")</f>
        <v/>
      </c>
    </row>
    <row r="18">
      <c r="A18" s="19" t="inlineStr">
        <is>
          <t>svibanj</t>
        </is>
      </c>
      <c r="B18" s="7">
        <f>COUNTIFS(Raspored!$C$5:$C$62,$A18,Raspored!$D$5:$D$62,"x")</f>
        <v/>
      </c>
      <c r="C18" s="7">
        <f>COUNTIFS(Raspored!$C$5:$C$62,$A18,Raspored!$E$5:$E$62,"x")</f>
        <v/>
      </c>
      <c r="D18" s="7">
        <f>COUNTIFS(Raspored!$C$5:$C$62,$A18,Raspored!$F$5:$F$62,"x")</f>
        <v/>
      </c>
      <c r="E18" s="7">
        <f>COUNTIFS(Raspored!$C$5:$C$62,$A18,Raspored!$G$5:$G$62,"x")</f>
        <v/>
      </c>
      <c r="F18" s="7">
        <f>COUNTIFS(Raspored!$C$5:$C$62,$A18,Raspored!$H$5:$H$62,"x")</f>
        <v/>
      </c>
    </row>
    <row r="19">
      <c r="A19" s="19" t="inlineStr">
        <is>
          <t>lipanj</t>
        </is>
      </c>
      <c r="B19" s="7">
        <f>COUNTIFS(Raspored!$C$5:$C$62,$A19,Raspored!$D$5:$D$62,"x")</f>
        <v/>
      </c>
      <c r="C19" s="7">
        <f>COUNTIFS(Raspored!$C$5:$C$62,$A19,Raspored!$E$5:$E$62,"x")</f>
        <v/>
      </c>
      <c r="D19" s="7">
        <f>COUNTIFS(Raspored!$C$5:$C$62,$A19,Raspored!$F$5:$F$62,"x")</f>
        <v/>
      </c>
      <c r="E19" s="7">
        <f>COUNTIFS(Raspored!$C$5:$C$62,$A19,Raspored!$G$5:$G$62,"x")</f>
        <v/>
      </c>
      <c r="F19" s="7">
        <f>COUNTIFS(Raspored!$C$5:$C$62,$A19,Raspored!$H$5:$H$62,"x")</f>
        <v/>
      </c>
    </row>
    <row r="20">
      <c r="A20" s="19" t="inlineStr">
        <is>
          <t>srpanj</t>
        </is>
      </c>
      <c r="B20" s="7">
        <f>COUNTIFS(Raspored!$C$5:$C$62,$A20,Raspored!$D$5:$D$62,"x")</f>
        <v/>
      </c>
      <c r="C20" s="7">
        <f>COUNTIFS(Raspored!$C$5:$C$62,$A20,Raspored!$E$5:$E$62,"x")</f>
        <v/>
      </c>
      <c r="D20" s="7">
        <f>COUNTIFS(Raspored!$C$5:$C$62,$A20,Raspored!$F$5:$F$62,"x")</f>
        <v/>
      </c>
      <c r="E20" s="7">
        <f>COUNTIFS(Raspored!$C$5:$C$62,$A20,Raspored!$G$5:$G$62,"x")</f>
        <v/>
      </c>
      <c r="F20" s="7">
        <f>COUNTIFS(Raspored!$C$5:$C$62,$A20,Raspored!$H$5:$H$62,"x")</f>
        <v/>
      </c>
    </row>
    <row r="21">
      <c r="A21" s="19" t="inlineStr">
        <is>
          <t>kolovoz</t>
        </is>
      </c>
      <c r="B21" s="7">
        <f>COUNTIFS(Raspored!$C$5:$C$62,$A21,Raspored!$D$5:$D$62,"x")</f>
        <v/>
      </c>
      <c r="C21" s="7">
        <f>COUNTIFS(Raspored!$C$5:$C$62,$A21,Raspored!$E$5:$E$62,"x")</f>
        <v/>
      </c>
      <c r="D21" s="7">
        <f>COUNTIFS(Raspored!$C$5:$C$62,$A21,Raspored!$F$5:$F$62,"x")</f>
        <v/>
      </c>
      <c r="E21" s="7">
        <f>COUNTIFS(Raspored!$C$5:$C$62,$A21,Raspored!$G$5:$G$62,"x")</f>
        <v/>
      </c>
      <c r="F21" s="7">
        <f>COUNTIFS(Raspored!$C$5:$C$62,$A21,Raspored!$H$5:$H$62,"x")</f>
        <v/>
      </c>
    </row>
    <row r="22">
      <c r="A22" s="19" t="inlineStr">
        <is>
          <t>rujan</t>
        </is>
      </c>
      <c r="B22" s="7">
        <f>COUNTIFS(Raspored!$C$5:$C$62,$A22,Raspored!$D$5:$D$62,"x")</f>
        <v/>
      </c>
      <c r="C22" s="7">
        <f>COUNTIFS(Raspored!$C$5:$C$62,$A22,Raspored!$E$5:$E$62,"x")</f>
        <v/>
      </c>
      <c r="D22" s="7">
        <f>COUNTIFS(Raspored!$C$5:$C$62,$A22,Raspored!$F$5:$F$62,"x")</f>
        <v/>
      </c>
      <c r="E22" s="7">
        <f>COUNTIFS(Raspored!$C$5:$C$62,$A22,Raspored!$G$5:$G$62,"x")</f>
        <v/>
      </c>
      <c r="F22" s="7">
        <f>COUNTIFS(Raspored!$C$5:$C$62,$A22,Raspored!$H$5:$H$62,"x")</f>
        <v/>
      </c>
    </row>
    <row r="23">
      <c r="A23" s="19" t="inlineStr">
        <is>
          <t>listopad</t>
        </is>
      </c>
      <c r="B23" s="7">
        <f>COUNTIFS(Raspored!$C$5:$C$62,$A23,Raspored!$D$5:$D$62,"x")</f>
        <v/>
      </c>
      <c r="C23" s="7">
        <f>COUNTIFS(Raspored!$C$5:$C$62,$A23,Raspored!$E$5:$E$62,"x")</f>
        <v/>
      </c>
      <c r="D23" s="7">
        <f>COUNTIFS(Raspored!$C$5:$C$62,$A23,Raspored!$F$5:$F$62,"x")</f>
        <v/>
      </c>
      <c r="E23" s="7">
        <f>COUNTIFS(Raspored!$C$5:$C$62,$A23,Raspored!$G$5:$G$62,"x")</f>
        <v/>
      </c>
      <c r="F23" s="7">
        <f>COUNTIFS(Raspored!$C$5:$C$62,$A23,Raspored!$H$5:$H$62,"x")</f>
        <v/>
      </c>
    </row>
    <row r="24">
      <c r="A24" s="19" t="inlineStr">
        <is>
          <t>studeni</t>
        </is>
      </c>
      <c r="B24" s="7">
        <f>COUNTIFS(Raspored!$C$5:$C$62,$A24,Raspored!$D$5:$D$62,"x")</f>
        <v/>
      </c>
      <c r="C24" s="7">
        <f>COUNTIFS(Raspored!$C$5:$C$62,$A24,Raspored!$E$5:$E$62,"x")</f>
        <v/>
      </c>
      <c r="D24" s="7">
        <f>COUNTIFS(Raspored!$C$5:$C$62,$A24,Raspored!$F$5:$F$62,"x")</f>
        <v/>
      </c>
      <c r="E24" s="7">
        <f>COUNTIFS(Raspored!$C$5:$C$62,$A24,Raspored!$G$5:$G$62,"x")</f>
        <v/>
      </c>
      <c r="F24" s="7">
        <f>COUNTIFS(Raspored!$C$5:$C$62,$A24,Raspored!$H$5:$H$62,"x")</f>
        <v/>
      </c>
    </row>
    <row r="25">
      <c r="A25" s="19" t="inlineStr">
        <is>
          <t>prosinac</t>
        </is>
      </c>
      <c r="B25" s="7">
        <f>COUNTIFS(Raspored!$C$5:$C$62,$A25,Raspored!$D$5:$D$62,"x")</f>
        <v/>
      </c>
      <c r="C25" s="7">
        <f>COUNTIFS(Raspored!$C$5:$C$62,$A25,Raspored!$E$5:$E$62,"x")</f>
        <v/>
      </c>
      <c r="D25" s="7">
        <f>COUNTIFS(Raspored!$C$5:$C$62,$A25,Raspored!$F$5:$F$62,"x")</f>
        <v/>
      </c>
      <c r="E25" s="7">
        <f>COUNTIFS(Raspored!$C$5:$C$62,$A25,Raspored!$G$5:$G$62,"x")</f>
        <v/>
      </c>
      <c r="F25" s="7">
        <f>COUNTIFS(Raspored!$C$5:$C$62,$A25,Raspored!$H$5:$H$62,"x")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(Kneževi Vinogradi)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46190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inlineStr">
        <is>
          <t>x</t>
        </is>
      </c>
      <c r="I32" s="25" t="n"/>
    </row>
    <row r="33">
      <c r="A33" s="6" t="n">
        <v>46202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46211</v>
      </c>
      <c r="B35" s="7" t="inlineStr">
        <is>
          <t>srijeda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46244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46253</v>
      </c>
      <c r="B39" s="7" t="inlineStr">
        <is>
          <t>srijeda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46258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46260</v>
      </c>
      <c r="B41" s="7" t="inlineStr">
        <is>
          <t>srijeda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46272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46274</v>
      </c>
      <c r="B43" s="7" t="inlineStr">
        <is>
          <t>srijeda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46281</v>
      </c>
      <c r="B44" s="7" t="inlineStr">
        <is>
          <t>srijeda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46286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46288</v>
      </c>
      <c r="B46" s="7" t="inlineStr">
        <is>
          <t>srijeda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46300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46302</v>
      </c>
      <c r="B48" s="7" t="inlineStr">
        <is>
          <t>srijeda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46309</v>
      </c>
      <c r="B49" s="7" t="inlineStr">
        <is>
          <t>srijeda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46314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46316</v>
      </c>
      <c r="B51" s="7" t="inlineStr">
        <is>
          <t>srijeda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46330</v>
      </c>
      <c r="B53" s="7" t="inlineStr">
        <is>
          <t>srijeda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46337</v>
      </c>
      <c r="B54" s="7" t="inlineStr">
        <is>
          <t>srijeda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46342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46344</v>
      </c>
      <c r="B56" s="7" t="inlineStr">
        <is>
          <t>srijeda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46356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46358</v>
      </c>
      <c r="B58" s="7" t="inlineStr">
        <is>
          <t>srijeda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46365</v>
      </c>
      <c r="B59" s="7" t="inlineStr">
        <is>
          <t>srijeda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46370</v>
      </c>
      <c r="B60" s="7" t="inlineStr">
        <is>
          <t>ponedjeljak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46372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46384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</sheetData>
  <autoFilter ref="A4:I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F5:F62">
    <cfRule type="expression" priority="3" dxfId="2">
      <formula>F5="x"</formula>
    </cfRule>
  </conditionalFormatting>
  <conditionalFormatting sqref="G5:G62">
    <cfRule type="expression" priority="4" dxfId="3">
      <formula>G5="x"</formula>
    </cfRule>
  </conditionalFormatting>
  <conditionalFormatting sqref="H5:H62">
    <cfRule type="expression" priority="5" dxfId="4">
      <formula>H5="x"</formula>
    </cfRule>
  </conditionalFormatting>
  <conditionalFormatting sqref="A5:I6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46034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46043</v>
      </c>
      <c r="B3" s="19" t="inlineStr">
        <is>
          <t>srijeda</t>
        </is>
      </c>
      <c r="C3" s="10" t="inlineStr">
        <is>
          <t>Papir i karton</t>
        </is>
      </c>
      <c r="D3" s="19" t="n"/>
    </row>
    <row r="4">
      <c r="A4" s="26" t="n">
        <v>46048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46050</v>
      </c>
      <c r="B5" s="19" t="inlineStr">
        <is>
          <t>srijeda</t>
        </is>
      </c>
      <c r="C5" s="9" t="inlineStr">
        <is>
          <t>Plastika i metal</t>
        </is>
      </c>
      <c r="D5" s="19" t="n"/>
    </row>
    <row r="6">
      <c r="A6" s="26" t="n">
        <v>46062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46064</v>
      </c>
      <c r="B7" s="19" t="inlineStr">
        <is>
          <t>srijeda</t>
        </is>
      </c>
      <c r="C7" s="10" t="inlineStr">
        <is>
          <t>Papir i karton</t>
        </is>
      </c>
      <c r="D7" s="19" t="n"/>
    </row>
    <row r="8">
      <c r="A8" s="26" t="n">
        <v>46071</v>
      </c>
      <c r="B8" s="19" t="inlineStr">
        <is>
          <t>srijeda</t>
        </is>
      </c>
      <c r="C8" s="9" t="inlineStr">
        <is>
          <t>Plastika i metal</t>
        </is>
      </c>
      <c r="D8" s="19" t="n"/>
    </row>
    <row r="9">
      <c r="A9" s="26" t="n">
        <v>46076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46078</v>
      </c>
      <c r="B10" s="19" t="inlineStr">
        <is>
          <t>srijeda</t>
        </is>
      </c>
      <c r="C10" s="11" t="inlineStr">
        <is>
          <t>Staklo</t>
        </is>
      </c>
      <c r="D10" s="19" t="n"/>
    </row>
    <row r="11">
      <c r="A11" s="26" t="n">
        <v>46090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46092</v>
      </c>
      <c r="B12" s="19" t="inlineStr">
        <is>
          <t>srijeda</t>
        </is>
      </c>
      <c r="C12" s="10" t="inlineStr">
        <is>
          <t>Papir i karton</t>
        </is>
      </c>
      <c r="D12" s="19" t="n"/>
    </row>
    <row r="13">
      <c r="A13" s="26" t="n">
        <v>46099</v>
      </c>
      <c r="B13" s="19" t="inlineStr">
        <is>
          <t>srijeda</t>
        </is>
      </c>
      <c r="C13" s="9" t="inlineStr">
        <is>
          <t>Plastika i metal</t>
        </is>
      </c>
      <c r="D13" s="19" t="n"/>
    </row>
    <row r="14">
      <c r="A14" s="26" t="n">
        <v>46104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46106</v>
      </c>
      <c r="B15" s="19" t="inlineStr">
        <is>
          <t>srijeda</t>
        </is>
      </c>
      <c r="C15" s="12" t="inlineStr">
        <is>
          <t>Metal</t>
        </is>
      </c>
      <c r="D15" s="19" t="n"/>
    </row>
    <row r="16">
      <c r="A16" s="26" t="n">
        <v>46118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46127</v>
      </c>
      <c r="B17" s="19" t="inlineStr">
        <is>
          <t>srijeda</t>
        </is>
      </c>
      <c r="C17" s="10" t="inlineStr">
        <is>
          <t>Papir i karton</t>
        </is>
      </c>
      <c r="D17" s="19" t="n"/>
    </row>
    <row r="18">
      <c r="A18" s="26" t="n">
        <v>46132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46134</v>
      </c>
      <c r="B19" s="19" t="inlineStr">
        <is>
          <t>srijeda</t>
        </is>
      </c>
      <c r="C19" s="9" t="inlineStr">
        <is>
          <t>Plastika i metal</t>
        </is>
      </c>
      <c r="D19" s="19" t="n"/>
    </row>
    <row r="20">
      <c r="A20" s="26" t="n">
        <v>46146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46148</v>
      </c>
      <c r="B21" s="19" t="inlineStr">
        <is>
          <t>srijeda</t>
        </is>
      </c>
      <c r="C21" s="10" t="inlineStr">
        <is>
          <t>Papir i karton</t>
        </is>
      </c>
      <c r="D21" s="19" t="n"/>
    </row>
    <row r="22">
      <c r="A22" s="26" t="n">
        <v>46155</v>
      </c>
      <c r="B22" s="19" t="inlineStr">
        <is>
          <t>srijeda</t>
        </is>
      </c>
      <c r="C22" s="9" t="inlineStr">
        <is>
          <t>Plastika i metal</t>
        </is>
      </c>
      <c r="D22" s="19" t="n"/>
    </row>
    <row r="23">
      <c r="A23" s="26" t="n">
        <v>46160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46162</v>
      </c>
      <c r="B24" s="19" t="inlineStr">
        <is>
          <t>srijeda</t>
        </is>
      </c>
      <c r="C24" s="11" t="inlineStr">
        <is>
          <t>Staklo</t>
        </is>
      </c>
      <c r="D24" s="19" t="n"/>
    </row>
    <row r="25">
      <c r="A25" s="26" t="n">
        <v>46174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46183</v>
      </c>
      <c r="B26" s="19" t="inlineStr">
        <is>
          <t>srijeda</t>
        </is>
      </c>
      <c r="C26" s="10" t="inlineStr">
        <is>
          <t>Papir i karton</t>
        </is>
      </c>
      <c r="D26" s="19" t="n"/>
    </row>
    <row r="27">
      <c r="A27" s="26" t="n">
        <v>46188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46190</v>
      </c>
      <c r="B28" s="19" t="inlineStr">
        <is>
          <t>srijeda</t>
        </is>
      </c>
      <c r="C28" s="9" t="inlineStr">
        <is>
          <t>Plastika i metal</t>
        </is>
      </c>
      <c r="D28" s="19" t="n"/>
    </row>
    <row r="29">
      <c r="A29" s="26" t="n">
        <v>46197</v>
      </c>
      <c r="B29" s="19" t="inlineStr">
        <is>
          <t>srijeda</t>
        </is>
      </c>
      <c r="C29" s="12" t="inlineStr">
        <is>
          <t>Metal</t>
        </is>
      </c>
      <c r="D29" s="19" t="n"/>
    </row>
    <row r="30">
      <c r="A30" s="26" t="n">
        <v>46202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46204</v>
      </c>
      <c r="B31" s="19" t="inlineStr">
        <is>
          <t>srijeda</t>
        </is>
      </c>
      <c r="C31" s="10" t="inlineStr">
        <is>
          <t>Papir i karton</t>
        </is>
      </c>
      <c r="D31" s="19" t="n"/>
    </row>
    <row r="32">
      <c r="A32" s="26" t="n">
        <v>46211</v>
      </c>
      <c r="B32" s="19" t="inlineStr">
        <is>
          <t>srijeda</t>
        </is>
      </c>
      <c r="C32" s="9" t="inlineStr">
        <is>
          <t>Plastika i metal</t>
        </is>
      </c>
      <c r="D32" s="19" t="n"/>
    </row>
    <row r="33">
      <c r="A33" s="26" t="n">
        <v>46216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46230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6" t="n">
        <v>46244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46253</v>
      </c>
      <c r="B36" s="19" t="inlineStr">
        <is>
          <t>srijeda</t>
        </is>
      </c>
      <c r="C36" s="10" t="inlineStr">
        <is>
          <t>Papir i karton</t>
        </is>
      </c>
      <c r="D36" s="19" t="n"/>
    </row>
    <row r="37">
      <c r="A37" s="26" t="n">
        <v>46258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6" t="n">
        <v>46260</v>
      </c>
      <c r="B38" s="19" t="inlineStr">
        <is>
          <t>srijeda</t>
        </is>
      </c>
      <c r="C38" s="9" t="inlineStr">
        <is>
          <t>Plastika i metal</t>
        </is>
      </c>
      <c r="D38" s="19" t="n"/>
    </row>
    <row r="39">
      <c r="A39" s="26" t="n">
        <v>46272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46274</v>
      </c>
      <c r="B40" s="19" t="inlineStr">
        <is>
          <t>srijeda</t>
        </is>
      </c>
      <c r="C40" s="10" t="inlineStr">
        <is>
          <t>Papir i karton</t>
        </is>
      </c>
      <c r="D40" s="19" t="n"/>
    </row>
    <row r="41">
      <c r="A41" s="26" t="n">
        <v>46281</v>
      </c>
      <c r="B41" s="19" t="inlineStr">
        <is>
          <t>srijeda</t>
        </is>
      </c>
      <c r="C41" s="9" t="inlineStr">
        <is>
          <t>Plastika i metal</t>
        </is>
      </c>
      <c r="D41" s="19" t="n"/>
    </row>
    <row r="42">
      <c r="A42" s="26" t="n">
        <v>46286</v>
      </c>
      <c r="B42" s="19" t="inlineStr">
        <is>
          <t>ponedjeljak</t>
        </is>
      </c>
      <c r="C42" s="5" t="inlineStr">
        <is>
          <t>Miješani komunalni otpad</t>
        </is>
      </c>
      <c r="D42" s="19" t="n"/>
    </row>
    <row r="43">
      <c r="A43" s="26" t="n">
        <v>46288</v>
      </c>
      <c r="B43" s="19" t="inlineStr">
        <is>
          <t>srijeda</t>
        </is>
      </c>
      <c r="C43" s="11" t="inlineStr">
        <is>
          <t>Staklo</t>
        </is>
      </c>
      <c r="D43" s="19" t="n"/>
    </row>
    <row r="44">
      <c r="A44" s="26" t="n">
        <v>46300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6" t="n">
        <v>46302</v>
      </c>
      <c r="B45" s="19" t="inlineStr">
        <is>
          <t>srijeda</t>
        </is>
      </c>
      <c r="C45" s="10" t="inlineStr">
        <is>
          <t>Papir i karton</t>
        </is>
      </c>
      <c r="D45" s="19" t="n"/>
    </row>
    <row r="46">
      <c r="A46" s="26" t="n">
        <v>46309</v>
      </c>
      <c r="B46" s="19" t="inlineStr">
        <is>
          <t>srijeda</t>
        </is>
      </c>
      <c r="C46" s="9" t="inlineStr">
        <is>
          <t>Plastika i metal</t>
        </is>
      </c>
      <c r="D46" s="19" t="n"/>
    </row>
    <row r="47">
      <c r="A47" s="26" t="n">
        <v>46314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46316</v>
      </c>
      <c r="B48" s="19" t="inlineStr">
        <is>
          <t>srijeda</t>
        </is>
      </c>
      <c r="C48" s="12" t="inlineStr">
        <is>
          <t>Metal</t>
        </is>
      </c>
      <c r="D48" s="19" t="n"/>
    </row>
    <row r="49">
      <c r="A49" s="26" t="n">
        <v>46328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6" t="n">
        <v>46330</v>
      </c>
      <c r="B50" s="19" t="inlineStr">
        <is>
          <t>srijeda</t>
        </is>
      </c>
      <c r="C50" s="10" t="inlineStr">
        <is>
          <t>Papir i karton</t>
        </is>
      </c>
      <c r="D50" s="19" t="n"/>
    </row>
    <row r="51">
      <c r="A51" s="26" t="n">
        <v>46337</v>
      </c>
      <c r="B51" s="19" t="inlineStr">
        <is>
          <t>srijeda</t>
        </is>
      </c>
      <c r="C51" s="9" t="inlineStr">
        <is>
          <t>Plastika i metal</t>
        </is>
      </c>
      <c r="D51" s="19" t="n"/>
    </row>
    <row r="52">
      <c r="A52" s="26" t="n">
        <v>46342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6" t="n">
        <v>46344</v>
      </c>
      <c r="B53" s="19" t="inlineStr">
        <is>
          <t>srijeda</t>
        </is>
      </c>
      <c r="C53" s="11" t="inlineStr">
        <is>
          <t>Staklo</t>
        </is>
      </c>
      <c r="D53" s="19" t="n"/>
    </row>
    <row r="54">
      <c r="A54" s="26" t="n">
        <v>46356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46358</v>
      </c>
      <c r="B55" s="19" t="inlineStr">
        <is>
          <t>srijeda</t>
        </is>
      </c>
      <c r="C55" s="10" t="inlineStr">
        <is>
          <t>Papir i karton</t>
        </is>
      </c>
      <c r="D55" s="19" t="n"/>
    </row>
    <row r="56">
      <c r="A56" s="26" t="n">
        <v>46365</v>
      </c>
      <c r="B56" s="19" t="inlineStr">
        <is>
          <t>srijeda</t>
        </is>
      </c>
      <c r="C56" s="9" t="inlineStr">
        <is>
          <t>Plastika i metal</t>
        </is>
      </c>
      <c r="D56" s="19" t="n"/>
    </row>
    <row r="57">
      <c r="A57" s="26" t="n">
        <v>46370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46372</v>
      </c>
      <c r="B58" s="19" t="inlineStr">
        <is>
          <t>srijeda</t>
        </is>
      </c>
      <c r="C58" s="12" t="inlineStr">
        <is>
          <t>Metal</t>
        </is>
      </c>
      <c r="D58" s="19" t="n"/>
    </row>
    <row r="59">
      <c r="A59" s="26" t="n">
        <v>46384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(Kneževi Vinogradi): ulice i naselja</t>
        </is>
      </c>
    </row>
    <row r="4">
      <c r="A4" s="4" t="inlineStr">
        <is>
          <t>Ulica / naselje</t>
        </is>
      </c>
    </row>
    <row r="5">
      <c r="A5" s="19" t="inlineStr">
        <is>
          <t>Kneževi Vinogradi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
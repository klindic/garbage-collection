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'Raspored'!$A$4:$G$44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IFERROR(1/(1/_xlfn.MINIFS(Raspored!$A$5:$A$44,Raspored!$D$5:$D$44,"x",Raspored!$A$5:$A$44,"&gt;="&amp;$B$3)),"nema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COUNTIF(Raspored!$D$5:$D$44,"x")</f>
        <v/>
      </c>
    </row>
    <row r="7">
      <c r="A7" s="9" t="inlineStr">
        <is>
          <t>Plastika i metal</t>
        </is>
      </c>
      <c r="B7" s="6">
        <f>IFERROR(1/(1/_xlfn.MINIFS(Raspored!$A$5:$A$44,Raspored!$E$5:$E$44,"x",Raspored!$A$5:$A$44,"&gt;="&amp;$B$3)),"nema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COUNTIF(Raspored!$E$5:$E$44,"x")</f>
        <v/>
      </c>
    </row>
    <row r="8">
      <c r="A8" s="10" t="inlineStr">
        <is>
          <t>Papir i karton</t>
        </is>
      </c>
      <c r="B8" s="6">
        <f>IFERROR(1/(1/_xlfn.MINIFS(Raspored!$A$5:$A$44,Raspored!$F$5:$F$44,"x",Raspored!$A$5:$A$44,"&gt;="&amp;$B$3)),"nema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COUNTIFS(Raspored!$C$5:$C$44,$A12,Raspored!$D$5:$D$44,"x")</f>
        <v/>
      </c>
      <c r="C12" s="7">
        <f>COUNTIFS(Raspored!$C$5:$C$44,$A12,Raspored!$E$5:$E$44,"x")</f>
        <v/>
      </c>
      <c r="D12" s="7">
        <f>COUNTIFS(Raspored!$C$5:$C$44,$A12,Raspored!$F$5:$F$44,"x")</f>
        <v/>
      </c>
    </row>
    <row r="13">
      <c r="A13" s="15" t="inlineStr">
        <is>
          <t>veljača</t>
        </is>
      </c>
      <c r="B13" s="7">
        <f>COUNTIFS(Raspored!$C$5:$C$44,$A13,Raspored!$D$5:$D$44,"x")</f>
        <v/>
      </c>
      <c r="C13" s="7">
        <f>COUNTIFS(Raspored!$C$5:$C$44,$A13,Raspored!$E$5:$E$44,"x")</f>
        <v/>
      </c>
      <c r="D13" s="7">
        <f>COUNTIFS(Raspored!$C$5:$C$44,$A13,Raspored!$F$5:$F$44,"x")</f>
        <v/>
      </c>
    </row>
    <row r="14">
      <c r="A14" s="15" t="inlineStr">
        <is>
          <t>ožujak</t>
        </is>
      </c>
      <c r="B14" s="7">
        <f>COUNTIFS(Raspored!$C$5:$C$44,$A14,Raspored!$D$5:$D$44,"x")</f>
        <v/>
      </c>
      <c r="C14" s="7">
        <f>COUNTIFS(Raspored!$C$5:$C$44,$A14,Raspored!$E$5:$E$44,"x")</f>
        <v/>
      </c>
      <c r="D14" s="7">
        <f>COUNTIFS(Raspored!$C$5:$C$44,$A14,Raspored!$F$5:$F$44,"x")</f>
        <v/>
      </c>
    </row>
    <row r="15">
      <c r="A15" s="15" t="inlineStr">
        <is>
          <t>travanj</t>
        </is>
      </c>
      <c r="B15" s="7">
        <f>COUNTIFS(Raspored!$C$5:$C$44,$A15,Raspored!$D$5:$D$44,"x")</f>
        <v/>
      </c>
      <c r="C15" s="7">
        <f>COUNTIFS(Raspored!$C$5:$C$44,$A15,Raspored!$E$5:$E$44,"x")</f>
        <v/>
      </c>
      <c r="D15" s="7">
        <f>COUNTIFS(Raspored!$C$5:$C$44,$A15,Raspored!$F$5:$F$44,"x")</f>
        <v/>
      </c>
    </row>
    <row r="16">
      <c r="A16" s="15" t="inlineStr">
        <is>
          <t>svibanj</t>
        </is>
      </c>
      <c r="B16" s="7">
        <f>COUNTIFS(Raspored!$C$5:$C$44,$A16,Raspored!$D$5:$D$44,"x")</f>
        <v/>
      </c>
      <c r="C16" s="7">
        <f>COUNTIFS(Raspored!$C$5:$C$44,$A16,Raspored!$E$5:$E$44,"x")</f>
        <v/>
      </c>
      <c r="D16" s="7">
        <f>COUNTIFS(Raspored!$C$5:$C$44,$A16,Raspored!$F$5:$F$44,"x")</f>
        <v/>
      </c>
    </row>
    <row r="17">
      <c r="A17" s="15" t="inlineStr">
        <is>
          <t>lipanj</t>
        </is>
      </c>
      <c r="B17" s="7">
        <f>COUNTIFS(Raspored!$C$5:$C$44,$A17,Raspored!$D$5:$D$44,"x")</f>
        <v/>
      </c>
      <c r="C17" s="7">
        <f>COUNTIFS(Raspored!$C$5:$C$44,$A17,Raspored!$E$5:$E$44,"x")</f>
        <v/>
      </c>
      <c r="D17" s="7">
        <f>COUNTIFS(Raspored!$C$5:$C$44,$A17,Raspored!$F$5:$F$44,"x")</f>
        <v/>
      </c>
    </row>
    <row r="18">
      <c r="A18" s="15" t="inlineStr">
        <is>
          <t>srpanj</t>
        </is>
      </c>
      <c r="B18" s="7">
        <f>COUNTIFS(Raspored!$C$5:$C$44,$A18,Raspored!$D$5:$D$44,"x")</f>
        <v/>
      </c>
      <c r="C18" s="7">
        <f>COUNTIFS(Raspored!$C$5:$C$44,$A18,Raspored!$E$5:$E$44,"x")</f>
        <v/>
      </c>
      <c r="D18" s="7">
        <f>COUNTIFS(Raspored!$C$5:$C$44,$A18,Raspored!$F$5:$F$44,"x")</f>
        <v/>
      </c>
    </row>
    <row r="19">
      <c r="A19" s="15" t="inlineStr">
        <is>
          <t>kolovoz</t>
        </is>
      </c>
      <c r="B19" s="7">
        <f>COUNTIFS(Raspored!$C$5:$C$44,$A19,Raspored!$D$5:$D$44,"x")</f>
        <v/>
      </c>
      <c r="C19" s="7">
        <f>COUNTIFS(Raspored!$C$5:$C$44,$A19,Raspored!$E$5:$E$44,"x")</f>
        <v/>
      </c>
      <c r="D19" s="7">
        <f>COUNTIFS(Raspored!$C$5:$C$44,$A19,Raspored!$F$5:$F$44,"x")</f>
        <v/>
      </c>
    </row>
    <row r="20">
      <c r="A20" s="15" t="inlineStr">
        <is>
          <t>rujan</t>
        </is>
      </c>
      <c r="B20" s="7">
        <f>COUNTIFS(Raspored!$C$5:$C$44,$A20,Raspored!$D$5:$D$44,"x")</f>
        <v/>
      </c>
      <c r="C20" s="7">
        <f>COUNTIFS(Raspored!$C$5:$C$44,$A20,Raspored!$E$5:$E$44,"x")</f>
        <v/>
      </c>
      <c r="D20" s="7">
        <f>COUNTIFS(Raspored!$C$5:$C$44,$A20,Raspored!$F$5:$F$44,"x")</f>
        <v/>
      </c>
    </row>
    <row r="21">
      <c r="A21" s="15" t="inlineStr">
        <is>
          <t>listopad</t>
        </is>
      </c>
      <c r="B21" s="7">
        <f>COUNTIFS(Raspored!$C$5:$C$44,$A21,Raspored!$D$5:$D$44,"x")</f>
        <v/>
      </c>
      <c r="C21" s="7">
        <f>COUNTIFS(Raspored!$C$5:$C$44,$A21,Raspored!$E$5:$E$44,"x")</f>
        <v/>
      </c>
      <c r="D21" s="7">
        <f>COUNTIFS(Raspored!$C$5:$C$44,$A21,Raspored!$F$5:$F$44,"x")</f>
        <v/>
      </c>
    </row>
    <row r="22">
      <c r="A22" s="15" t="inlineStr">
        <is>
          <t>studeni</t>
        </is>
      </c>
      <c r="B22" s="7">
        <f>COUNTIFS(Raspored!$C$5:$C$44,$A22,Raspored!$D$5:$D$44,"x")</f>
        <v/>
      </c>
      <c r="C22" s="7">
        <f>COUNTIFS(Raspored!$C$5:$C$44,$A22,Raspored!$E$5:$E$44,"x")</f>
        <v/>
      </c>
      <c r="D22" s="7">
        <f>COUNTIFS(Raspored!$C$5:$C$44,$A22,Raspored!$F$5:$F$44,"x")</f>
        <v/>
      </c>
    </row>
    <row r="23">
      <c r="A23" s="15" t="inlineStr">
        <is>
          <t>prosinac</t>
        </is>
      </c>
      <c r="B23" s="7">
        <f>COUNTIFS(Raspored!$C$5:$C$44,$A23,Raspored!$D$5:$D$44,"x")</f>
        <v/>
      </c>
      <c r="C23" s="7">
        <f>COUNTIFS(Raspored!$C$5:$C$44,$A23,Raspored!$E$5:$E$44,"x")</f>
        <v/>
      </c>
      <c r="D23" s="7">
        <f>COUNTIFS(Raspored!$C$5:$C$44,$A23,Raspored!$F$5:$F$44,"x")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Za papir i plastiku ova zona prikazuje drugi datum iz kalendara. Napomena u kalendaru: „ZA KORISNIKE SA ADRESOM GENERALSKI STOL : KORISNICI UZ GLAVNU PROMETNICU GLEDATI PRVI DATUM, A KORISNICI U ODVOJCIMA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21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46066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46080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46094</v>
      </c>
      <c r="B12" s="7" t="inlineStr">
        <is>
          <t>petak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46108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46122</v>
      </c>
      <c r="B15" s="7" t="inlineStr">
        <is>
          <t>petak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46136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46150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46164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46178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46192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46206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46220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46234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46248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46262</v>
      </c>
      <c r="B30" s="7" t="inlineStr">
        <is>
          <t>petak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46276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46290</v>
      </c>
      <c r="B33" s="7" t="inlineStr">
        <is>
          <t>petak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46304</v>
      </c>
      <c r="B35" s="7" t="inlineStr">
        <is>
          <t>petak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46318</v>
      </c>
      <c r="B36" s="7" t="inlineStr">
        <is>
          <t>petak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46332</v>
      </c>
      <c r="B38" s="7" t="inlineStr">
        <is>
          <t>petak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46346</v>
      </c>
      <c r="B39" s="7" t="inlineStr">
        <is>
          <t>petak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46358</v>
      </c>
      <c r="B40" s="7" t="inlineStr">
        <is>
          <t>srijeda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46360</v>
      </c>
      <c r="B41" s="7" t="inlineStr">
        <is>
          <t>petak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46374</v>
      </c>
      <c r="B42" s="7" t="inlineStr">
        <is>
          <t>petak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46386</v>
      </c>
      <c r="B43" s="7" t="inlineStr">
        <is>
          <t>srijeda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21" t="n">
        <v>46387</v>
      </c>
      <c r="B44" s="22" t="inlineStr">
        <is>
          <t>četvrtak</t>
        </is>
      </c>
      <c r="C44" s="7" t="inlineStr">
        <is>
          <t>prosinac</t>
        </is>
      </c>
      <c r="D44" s="7" t="inlineStr">
        <is>
          <t>x</t>
        </is>
      </c>
      <c r="E44" s="7" t="n"/>
      <c r="F44" s="7" t="n"/>
      <c r="G44" s="23" t="inlineStr">
        <is>
          <t>Pomaknuto zbog neradnog dana u tjednu</t>
        </is>
      </c>
    </row>
  </sheetData>
  <autoFilter ref="A4:G44"/>
  <conditionalFormatting sqref="D5:D44">
    <cfRule type="expression" priority="1" dxfId="0">
      <formula>D5="x"</formula>
    </cfRule>
  </conditionalFormatting>
  <conditionalFormatting sqref="E5:E44">
    <cfRule type="expression" priority="2" dxfId="1">
      <formula>E5="x"</formula>
    </cfRule>
  </conditionalFormatting>
  <conditionalFormatting sqref="F5:F44">
    <cfRule type="expression" priority="3" dxfId="2">
      <formula>F5="x"</formula>
    </cfRule>
  </conditionalFormatting>
  <conditionalFormatting sqref="A5:G4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46038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46050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46050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46066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46078</v>
      </c>
      <c r="B8" s="15" t="inlineStr">
        <is>
          <t>srijeda</t>
        </is>
      </c>
      <c r="C8" s="9" t="inlineStr">
        <is>
          <t>Plastika i metal</t>
        </is>
      </c>
      <c r="D8" s="15" t="n"/>
    </row>
    <row r="9">
      <c r="A9" s="24" t="n">
        <v>46078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4" t="n">
        <v>46080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46094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46106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4" t="n">
        <v>46106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46108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46122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46134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46134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46136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46150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46162</v>
      </c>
      <c r="B20" s="15" t="inlineStr">
        <is>
          <t>srijeda</t>
        </is>
      </c>
      <c r="C20" s="9" t="inlineStr">
        <is>
          <t>Plastika i metal</t>
        </is>
      </c>
      <c r="D20" s="15" t="n"/>
    </row>
    <row r="21">
      <c r="A21" s="24" t="n">
        <v>46162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4" t="n">
        <v>46164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46178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46190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46190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4" t="n">
        <v>46192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46206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46218</v>
      </c>
      <c r="B28" s="15" t="inlineStr">
        <is>
          <t>srijeda</t>
        </is>
      </c>
      <c r="C28" s="9" t="inlineStr">
        <is>
          <t>Plastika i metal</t>
        </is>
      </c>
      <c r="D28" s="15" t="n"/>
    </row>
    <row r="29">
      <c r="A29" s="24" t="n">
        <v>46218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46220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46234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46246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4" t="n">
        <v>46246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4" t="n">
        <v>46248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46262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46274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46274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46276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46290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46302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46302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46304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46318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46330</v>
      </c>
      <c r="B44" s="15" t="inlineStr">
        <is>
          <t>srijeda</t>
        </is>
      </c>
      <c r="C44" s="9" t="inlineStr">
        <is>
          <t>Plastika i metal</t>
        </is>
      </c>
      <c r="D44" s="15" t="n"/>
    </row>
    <row r="45">
      <c r="A45" s="24" t="n">
        <v>46330</v>
      </c>
      <c r="B45" s="15" t="inlineStr">
        <is>
          <t>srijeda</t>
        </is>
      </c>
      <c r="C45" s="10" t="inlineStr">
        <is>
          <t>Papir i karton</t>
        </is>
      </c>
      <c r="D45" s="15" t="n"/>
    </row>
    <row r="46">
      <c r="A46" s="24" t="n">
        <v>46332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46346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46358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46358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46360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46374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46386</v>
      </c>
      <c r="B52" s="15" t="inlineStr">
        <is>
          <t>srijeda</t>
        </is>
      </c>
      <c r="C52" s="9" t="inlineStr">
        <is>
          <t>Plastika i metal</t>
        </is>
      </c>
      <c r="D52" s="15" t="n"/>
    </row>
    <row r="53">
      <c r="A53" s="24" t="n">
        <v>46386</v>
      </c>
      <c r="B53" s="15" t="inlineStr">
        <is>
          <t>srijeda</t>
        </is>
      </c>
      <c r="C53" s="10" t="inlineStr">
        <is>
          <t>Papir i karton</t>
        </is>
      </c>
      <c r="D53" s="15" t="n"/>
    </row>
    <row r="54">
      <c r="A54" s="24" t="n">
        <v>46387</v>
      </c>
      <c r="B54" s="15" t="inlineStr">
        <is>
          <t>četvrtak</t>
        </is>
      </c>
      <c r="C54" s="5" t="inlineStr">
        <is>
          <t>Miješani komunalni otpad</t>
        </is>
      </c>
      <c r="D54" s="15" t="inlineStr">
        <is>
          <t>Pomaknuto zbog neradnog dana u tjednu</t>
        </is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(Generalski Stol): ulice i naselja</t>
        </is>
      </c>
    </row>
    <row r="2">
      <c r="A2" s="20" t="inlineStr">
        <is>
          <t>RASPORED SE ODNOSI NA SLIJEDEĆA NASELJA: GENERALSKI STOL, ERDELJ, LEŠĆE, RADOČAJI, SKUKANI, TOMAŠIĆI, GORINCI. NAPOMENA ZA KORISNIKE SA ADRESOM GENERALSKI STOL : KORISNICI UZ GLAVNU PROMETNICU GLEDATI PRVI DATUM, A KORISNICI U ODVOJCIMA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Generalski Stol</t>
        </is>
      </c>
    </row>
    <row r="6">
      <c r="A6" s="15" t="inlineStr">
        <is>
          <t>Erdelj</t>
        </is>
      </c>
    </row>
    <row r="7">
      <c r="A7" s="15" t="inlineStr">
        <is>
          <t>Lešće</t>
        </is>
      </c>
    </row>
    <row r="8">
      <c r="A8" s="15" t="inlineStr">
        <is>
          <t>Radočaji</t>
        </is>
      </c>
    </row>
    <row r="9">
      <c r="A9" s="15" t="inlineStr">
        <is>
          <t>Skukani</t>
        </is>
      </c>
    </row>
    <row r="10">
      <c r="A10" s="15" t="inlineStr">
        <is>
          <t>Tomašići</t>
        </is>
      </c>
    </row>
    <row r="11">
      <c r="A11" s="15" t="inlineStr">
        <is>
          <t>Gorinci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2026-10-07T18:31:33Z</dcterms:created>
  <dcterms:modified xmlns:dcterms="http://purl.org/dc/terms/" xmlns:xsi="http://www.w3.org/2001/XMLSchema-instance" xsi:type="dcterms:W3CDTF">2026-10-07T18:31:33Z</dcterms:modified>
</cp:coreProperties>
</file>
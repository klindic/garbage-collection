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'Raspored'!$A$4:$G$43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IFERROR(1/(1/_xlfn.MINIFS(Raspored!$A$5:$A$43,Raspored!$D$5:$D$43,"x",Raspored!$A$5:$A$43,"&gt;="&amp;$B$3)),"nema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COUNTIF(Raspored!$D$5:$D$43,"x")</f>
        <v/>
      </c>
    </row>
    <row r="7">
      <c r="A7" s="9" t="inlineStr">
        <is>
          <t>Plastika i metal</t>
        </is>
      </c>
      <c r="B7" s="6">
        <f>IFERROR(1/(1/_xlfn.MINIFS(Raspored!$A$5:$A$43,Raspored!$E$5:$E$43,"x",Raspored!$A$5:$A$43,"&gt;="&amp;$B$3)),"nema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COUNTIF(Raspored!$E$5:$E$43,"x")</f>
        <v/>
      </c>
    </row>
    <row r="8">
      <c r="A8" s="10" t="inlineStr">
        <is>
          <t>Papir i karton</t>
        </is>
      </c>
      <c r="B8" s="6">
        <f>IFERROR(1/(1/_xlfn.MINIFS(Raspored!$A$5:$A$43,Raspored!$F$5:$F$43,"x",Raspored!$A$5:$A$43,"&gt;="&amp;$B$3)),"nema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COUNTIF(Raspored!$F$5:$F$43,"x")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COUNTIFS(Raspored!$C$5:$C$43,$A12,Raspored!$D$5:$D$43,"x")</f>
        <v/>
      </c>
      <c r="C12" s="7">
        <f>COUNTIFS(Raspored!$C$5:$C$43,$A12,Raspored!$E$5:$E$43,"x")</f>
        <v/>
      </c>
      <c r="D12" s="7">
        <f>COUNTIFS(Raspored!$C$5:$C$43,$A12,Raspored!$F$5:$F$43,"x")</f>
        <v/>
      </c>
    </row>
    <row r="13">
      <c r="A13" s="15" t="inlineStr">
        <is>
          <t>veljača</t>
        </is>
      </c>
      <c r="B13" s="7">
        <f>COUNTIFS(Raspored!$C$5:$C$43,$A13,Raspored!$D$5:$D$43,"x")</f>
        <v/>
      </c>
      <c r="C13" s="7">
        <f>COUNTIFS(Raspored!$C$5:$C$43,$A13,Raspored!$E$5:$E$43,"x")</f>
        <v/>
      </c>
      <c r="D13" s="7">
        <f>COUNTIFS(Raspored!$C$5:$C$43,$A13,Raspored!$F$5:$F$43,"x")</f>
        <v/>
      </c>
    </row>
    <row r="14">
      <c r="A14" s="15" t="inlineStr">
        <is>
          <t>ožujak</t>
        </is>
      </c>
      <c r="B14" s="7">
        <f>COUNTIFS(Raspored!$C$5:$C$43,$A14,Raspored!$D$5:$D$43,"x")</f>
        <v/>
      </c>
      <c r="C14" s="7">
        <f>COUNTIFS(Raspored!$C$5:$C$43,$A14,Raspored!$E$5:$E$43,"x")</f>
        <v/>
      </c>
      <c r="D14" s="7">
        <f>COUNTIFS(Raspored!$C$5:$C$43,$A14,Raspored!$F$5:$F$43,"x")</f>
        <v/>
      </c>
    </row>
    <row r="15">
      <c r="A15" s="15" t="inlineStr">
        <is>
          <t>travanj</t>
        </is>
      </c>
      <c r="B15" s="7">
        <f>COUNTIFS(Raspored!$C$5:$C$43,$A15,Raspored!$D$5:$D$43,"x")</f>
        <v/>
      </c>
      <c r="C15" s="7">
        <f>COUNTIFS(Raspored!$C$5:$C$43,$A15,Raspored!$E$5:$E$43,"x")</f>
        <v/>
      </c>
      <c r="D15" s="7">
        <f>COUNTIFS(Raspored!$C$5:$C$43,$A15,Raspored!$F$5:$F$43,"x")</f>
        <v/>
      </c>
    </row>
    <row r="16">
      <c r="A16" s="15" t="inlineStr">
        <is>
          <t>svibanj</t>
        </is>
      </c>
      <c r="B16" s="7">
        <f>COUNTIFS(Raspored!$C$5:$C$43,$A16,Raspored!$D$5:$D$43,"x")</f>
        <v/>
      </c>
      <c r="C16" s="7">
        <f>COUNTIFS(Raspored!$C$5:$C$43,$A16,Raspored!$E$5:$E$43,"x")</f>
        <v/>
      </c>
      <c r="D16" s="7">
        <f>COUNTIFS(Raspored!$C$5:$C$43,$A16,Raspored!$F$5:$F$43,"x")</f>
        <v/>
      </c>
    </row>
    <row r="17">
      <c r="A17" s="15" t="inlineStr">
        <is>
          <t>lipanj</t>
        </is>
      </c>
      <c r="B17" s="7">
        <f>COUNTIFS(Raspored!$C$5:$C$43,$A17,Raspored!$D$5:$D$43,"x")</f>
        <v/>
      </c>
      <c r="C17" s="7">
        <f>COUNTIFS(Raspored!$C$5:$C$43,$A17,Raspored!$E$5:$E$43,"x")</f>
        <v/>
      </c>
      <c r="D17" s="7">
        <f>COUNTIFS(Raspored!$C$5:$C$43,$A17,Raspored!$F$5:$F$43,"x")</f>
        <v/>
      </c>
    </row>
    <row r="18">
      <c r="A18" s="15" t="inlineStr">
        <is>
          <t>srpanj</t>
        </is>
      </c>
      <c r="B18" s="7">
        <f>COUNTIFS(Raspored!$C$5:$C$43,$A18,Raspored!$D$5:$D$43,"x")</f>
        <v/>
      </c>
      <c r="C18" s="7">
        <f>COUNTIFS(Raspored!$C$5:$C$43,$A18,Raspored!$E$5:$E$43,"x")</f>
        <v/>
      </c>
      <c r="D18" s="7">
        <f>COUNTIFS(Raspored!$C$5:$C$43,$A18,Raspored!$F$5:$F$43,"x")</f>
        <v/>
      </c>
    </row>
    <row r="19">
      <c r="A19" s="15" t="inlineStr">
        <is>
          <t>kolovoz</t>
        </is>
      </c>
      <c r="B19" s="7">
        <f>COUNTIFS(Raspored!$C$5:$C$43,$A19,Raspored!$D$5:$D$43,"x")</f>
        <v/>
      </c>
      <c r="C19" s="7">
        <f>COUNTIFS(Raspored!$C$5:$C$43,$A19,Raspored!$E$5:$E$43,"x")</f>
        <v/>
      </c>
      <c r="D19" s="7">
        <f>COUNTIFS(Raspored!$C$5:$C$43,$A19,Raspored!$F$5:$F$43,"x")</f>
        <v/>
      </c>
    </row>
    <row r="20">
      <c r="A20" s="15" t="inlineStr">
        <is>
          <t>rujan</t>
        </is>
      </c>
      <c r="B20" s="7">
        <f>COUNTIFS(Raspored!$C$5:$C$43,$A20,Raspored!$D$5:$D$43,"x")</f>
        <v/>
      </c>
      <c r="C20" s="7">
        <f>COUNTIFS(Raspored!$C$5:$C$43,$A20,Raspored!$E$5:$E$43,"x")</f>
        <v/>
      </c>
      <c r="D20" s="7">
        <f>COUNTIFS(Raspored!$C$5:$C$43,$A20,Raspored!$F$5:$F$43,"x")</f>
        <v/>
      </c>
    </row>
    <row r="21">
      <c r="A21" s="15" t="inlineStr">
        <is>
          <t>listopad</t>
        </is>
      </c>
      <c r="B21" s="7">
        <f>COUNTIFS(Raspored!$C$5:$C$43,$A21,Raspored!$D$5:$D$43,"x")</f>
        <v/>
      </c>
      <c r="C21" s="7">
        <f>COUNTIFS(Raspored!$C$5:$C$43,$A21,Raspored!$E$5:$E$43,"x")</f>
        <v/>
      </c>
      <c r="D21" s="7">
        <f>COUNTIFS(Raspored!$C$5:$C$43,$A21,Raspored!$F$5:$F$43,"x")</f>
        <v/>
      </c>
    </row>
    <row r="22">
      <c r="A22" s="15" t="inlineStr">
        <is>
          <t>studeni</t>
        </is>
      </c>
      <c r="B22" s="7">
        <f>COUNTIFS(Raspored!$C$5:$C$43,$A22,Raspored!$D$5:$D$43,"x")</f>
        <v/>
      </c>
      <c r="C22" s="7">
        <f>COUNTIFS(Raspored!$C$5:$C$43,$A22,Raspored!$E$5:$E$43,"x")</f>
        <v/>
      </c>
      <c r="D22" s="7">
        <f>COUNTIFS(Raspored!$C$5:$C$43,$A22,Raspored!$F$5:$F$43,"x")</f>
        <v/>
      </c>
    </row>
    <row r="23">
      <c r="A23" s="15" t="inlineStr">
        <is>
          <t>prosinac</t>
        </is>
      </c>
      <c r="B23" s="7">
        <f>COUNTIFS(Raspored!$C$5:$C$43,$A23,Raspored!$D$5:$D$43,"x")</f>
        <v/>
      </c>
      <c r="C23" s="7">
        <f>COUNTIFS(Raspored!$C$5:$C$43,$A23,Raspored!$E$5:$E$43,"x")</f>
        <v/>
      </c>
      <c r="D23" s="7">
        <f>COUNTIFS(Raspored!$C$5:$C$43,$A23,Raspored!$F$5:$F$43,"x")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četvrtkom).</t>
        </is>
      </c>
    </row>
    <row r="28">
      <c r="A28" s="19" t="inlineStr">
        <is>
          <t>• Plastika i papir odvoze se zajedno, jednom mjesečno.</t>
        </is>
      </c>
    </row>
    <row r="29">
      <c r="A29" s="19" t="inlineStr">
        <is>
          <t>• Pomaci zbog blagdana ugrađeni su u objavljene datume (npr. ponedjeljak 05.01. umjesto utorka 06.01.); datumi izvan uobičajenog dana zone u tjednu s blagdanom označeni su kao pomaknuti.</t>
        </is>
      </c>
    </row>
    <row r="30">
      <c r="A30" s="19" t="inlineStr">
        <is>
          <t>• Općina Barilović: Čistoća Duga Resa raspored objavljuje od 2026. godine.</t>
        </is>
      </c>
    </row>
    <row r="31">
      <c r="A31" s="19" t="inlineStr">
        <is>
          <t>• Kontakt: Čistoća Duga Resa d.o.o., Kolodvorska 1, Duga Resa, info@cistoca-dugaresa.hr.</t>
        </is>
      </c>
    </row>
    <row r="32">
      <c r="A32" s="19" t="inlineStr">
        <is>
          <t>• Duga Resa: u kalendaru nema rasporeda za DUGA RESA - 1.</t>
        </is>
      </c>
    </row>
    <row r="33">
      <c r="A33" s="19" t="inlineStr">
        <is>
          <t>• Duga Resa: u kalendaru nema rasporeda za NASELJA U OKOLICI DUGE RESE - 2.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12 (Netretić)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46030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46042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inlineStr">
        <is>
          <t>x</t>
        </is>
      </c>
      <c r="G6" s="21" t="n"/>
    </row>
    <row r="7">
      <c r="A7" s="6" t="n">
        <v>46044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46058</v>
      </c>
      <c r="B8" s="7" t="inlineStr">
        <is>
          <t>četvrtak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46070</v>
      </c>
      <c r="B9" s="7" t="inlineStr">
        <is>
          <t>utorak</t>
        </is>
      </c>
      <c r="C9" s="7" t="inlineStr">
        <is>
          <t>veljača</t>
        </is>
      </c>
      <c r="D9" s="7" t="n"/>
      <c r="E9" s="7" t="inlineStr">
        <is>
          <t>x</t>
        </is>
      </c>
      <c r="F9" s="7" t="inlineStr">
        <is>
          <t>x</t>
        </is>
      </c>
      <c r="G9" s="21" t="n"/>
    </row>
    <row r="10">
      <c r="A10" s="6" t="n">
        <v>46072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46086</v>
      </c>
      <c r="B11" s="7" t="inlineStr">
        <is>
          <t>četvrtak</t>
        </is>
      </c>
      <c r="C11" s="7" t="inlineStr">
        <is>
          <t>ožujak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46098</v>
      </c>
      <c r="B12" s="7" t="inlineStr">
        <is>
          <t>utorak</t>
        </is>
      </c>
      <c r="C12" s="7" t="inlineStr">
        <is>
          <t>ožujak</t>
        </is>
      </c>
      <c r="D12" s="7" t="n"/>
      <c r="E12" s="7" t="inlineStr">
        <is>
          <t>x</t>
        </is>
      </c>
      <c r="F12" s="7" t="inlineStr">
        <is>
          <t>x</t>
        </is>
      </c>
      <c r="G12" s="21" t="n"/>
    </row>
    <row r="13">
      <c r="A13" s="6" t="n">
        <v>46100</v>
      </c>
      <c r="B13" s="7" t="inlineStr">
        <is>
          <t>četvrtak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46114</v>
      </c>
      <c r="B14" s="7" t="inlineStr">
        <is>
          <t>četvrtak</t>
        </is>
      </c>
      <c r="C14" s="7" t="inlineStr">
        <is>
          <t>travanj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46126</v>
      </c>
      <c r="B15" s="7" t="inlineStr">
        <is>
          <t>utorak</t>
        </is>
      </c>
      <c r="C15" s="7" t="inlineStr">
        <is>
          <t>travanj</t>
        </is>
      </c>
      <c r="D15" s="7" t="n"/>
      <c r="E15" s="7" t="inlineStr">
        <is>
          <t>x</t>
        </is>
      </c>
      <c r="F15" s="7" t="inlineStr">
        <is>
          <t>x</t>
        </is>
      </c>
      <c r="G15" s="21" t="n"/>
    </row>
    <row r="16">
      <c r="A16" s="6" t="n">
        <v>46128</v>
      </c>
      <c r="B16" s="7" t="inlineStr">
        <is>
          <t>četvrtak</t>
        </is>
      </c>
      <c r="C16" s="7" t="inlineStr">
        <is>
          <t>travanj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46142</v>
      </c>
      <c r="B17" s="7" t="inlineStr">
        <is>
          <t>četvrtak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46154</v>
      </c>
      <c r="B18" s="7" t="inlineStr">
        <is>
          <t>utorak</t>
        </is>
      </c>
      <c r="C18" s="7" t="inlineStr">
        <is>
          <t>svibanj</t>
        </is>
      </c>
      <c r="D18" s="7" t="n"/>
      <c r="E18" s="7" t="inlineStr">
        <is>
          <t>x</t>
        </is>
      </c>
      <c r="F18" s="7" t="inlineStr">
        <is>
          <t>x</t>
        </is>
      </c>
      <c r="G18" s="21" t="n"/>
    </row>
    <row r="19">
      <c r="A19" s="6" t="n">
        <v>46156</v>
      </c>
      <c r="B19" s="7" t="inlineStr">
        <is>
          <t>četvrtak</t>
        </is>
      </c>
      <c r="C19" s="7" t="inlineStr">
        <is>
          <t>svibanj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46170</v>
      </c>
      <c r="B20" s="7" t="inlineStr">
        <is>
          <t>četvrtak</t>
        </is>
      </c>
      <c r="C20" s="7" t="inlineStr">
        <is>
          <t>svibanj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46182</v>
      </c>
      <c r="B21" s="7" t="inlineStr">
        <is>
          <t>utorak</t>
        </is>
      </c>
      <c r="C21" s="7" t="inlineStr">
        <is>
          <t>lipanj</t>
        </is>
      </c>
      <c r="D21" s="7" t="n"/>
      <c r="E21" s="7" t="inlineStr">
        <is>
          <t>x</t>
        </is>
      </c>
      <c r="F21" s="7" t="inlineStr">
        <is>
          <t>x</t>
        </is>
      </c>
      <c r="G21" s="21" t="n"/>
    </row>
    <row r="22">
      <c r="A22" s="6" t="n">
        <v>46184</v>
      </c>
      <c r="B22" s="7" t="inlineStr">
        <is>
          <t>četvrtak</t>
        </is>
      </c>
      <c r="C22" s="7" t="inlineStr">
        <is>
          <t>lipanj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46198</v>
      </c>
      <c r="B23" s="7" t="inlineStr">
        <is>
          <t>četvrtak</t>
        </is>
      </c>
      <c r="C23" s="7" t="inlineStr">
        <is>
          <t>lipanj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46210</v>
      </c>
      <c r="B24" s="7" t="inlineStr">
        <is>
          <t>utorak</t>
        </is>
      </c>
      <c r="C24" s="7" t="inlineStr">
        <is>
          <t>srpanj</t>
        </is>
      </c>
      <c r="D24" s="7" t="n"/>
      <c r="E24" s="7" t="inlineStr">
        <is>
          <t>x</t>
        </is>
      </c>
      <c r="F24" s="7" t="inlineStr">
        <is>
          <t>x</t>
        </is>
      </c>
      <c r="G24" s="21" t="n"/>
    </row>
    <row r="25">
      <c r="A25" s="6" t="n">
        <v>46212</v>
      </c>
      <c r="B25" s="7" t="inlineStr">
        <is>
          <t>četvrtak</t>
        </is>
      </c>
      <c r="C25" s="7" t="inlineStr">
        <is>
          <t>srpanj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46226</v>
      </c>
      <c r="B26" s="7" t="inlineStr">
        <is>
          <t>četvrtak</t>
        </is>
      </c>
      <c r="C26" s="7" t="inlineStr">
        <is>
          <t>srpanj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46238</v>
      </c>
      <c r="B27" s="7" t="inlineStr">
        <is>
          <t>utorak</t>
        </is>
      </c>
      <c r="C27" s="7" t="inlineStr">
        <is>
          <t>kolovoz</t>
        </is>
      </c>
      <c r="D27" s="7" t="n"/>
      <c r="E27" s="7" t="inlineStr">
        <is>
          <t>x</t>
        </is>
      </c>
      <c r="F27" s="7" t="inlineStr">
        <is>
          <t>x</t>
        </is>
      </c>
      <c r="G27" s="21" t="n"/>
    </row>
    <row r="28">
      <c r="A28" s="22" t="n">
        <v>46241</v>
      </c>
      <c r="B28" s="23" t="inlineStr">
        <is>
          <t>petak</t>
        </is>
      </c>
      <c r="C28" s="7" t="inlineStr">
        <is>
          <t>kolovoz</t>
        </is>
      </c>
      <c r="D28" s="7" t="inlineStr">
        <is>
          <t>x</t>
        </is>
      </c>
      <c r="E28" s="7" t="n"/>
      <c r="F28" s="7" t="n"/>
      <c r="G28" s="21" t="inlineStr">
        <is>
          <t>Pomaknuto zbog neradnog dana u tjednu</t>
        </is>
      </c>
    </row>
    <row r="29">
      <c r="A29" s="6" t="n">
        <v>46254</v>
      </c>
      <c r="B29" s="7" t="inlineStr">
        <is>
          <t>četvrtak</t>
        </is>
      </c>
      <c r="C29" s="7" t="inlineStr">
        <is>
          <t>kolovoz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46266</v>
      </c>
      <c r="B30" s="7" t="inlineStr">
        <is>
          <t>utorak</t>
        </is>
      </c>
      <c r="C30" s="7" t="inlineStr">
        <is>
          <t>rujan</t>
        </is>
      </c>
      <c r="D30" s="7" t="n"/>
      <c r="E30" s="7" t="inlineStr">
        <is>
          <t>x</t>
        </is>
      </c>
      <c r="F30" s="7" t="inlineStr">
        <is>
          <t>x</t>
        </is>
      </c>
      <c r="G30" s="21" t="n"/>
    </row>
    <row r="31">
      <c r="A31" s="6" t="n">
        <v>46268</v>
      </c>
      <c r="B31" s="7" t="inlineStr">
        <is>
          <t>četvrtak</t>
        </is>
      </c>
      <c r="C31" s="7" t="inlineStr">
        <is>
          <t>rujan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46282</v>
      </c>
      <c r="B32" s="7" t="inlineStr">
        <is>
          <t>četvrtak</t>
        </is>
      </c>
      <c r="C32" s="7" t="inlineStr">
        <is>
          <t>rujan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46294</v>
      </c>
      <c r="B33" s="7" t="inlineStr">
        <is>
          <t>utorak</t>
        </is>
      </c>
      <c r="C33" s="7" t="inlineStr">
        <is>
          <t>rujan</t>
        </is>
      </c>
      <c r="D33" s="7" t="n"/>
      <c r="E33" s="7" t="inlineStr">
        <is>
          <t>x</t>
        </is>
      </c>
      <c r="F33" s="7" t="inlineStr">
        <is>
          <t>x</t>
        </is>
      </c>
      <c r="G33" s="21" t="n"/>
    </row>
    <row r="34">
      <c r="A34" s="6" t="n">
        <v>46296</v>
      </c>
      <c r="B34" s="7" t="inlineStr">
        <is>
          <t>četvrtak</t>
        </is>
      </c>
      <c r="C34" s="7" t="inlineStr">
        <is>
          <t>listopad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46310</v>
      </c>
      <c r="B35" s="7" t="inlineStr">
        <is>
          <t>četvrtak</t>
        </is>
      </c>
      <c r="C35" s="7" t="inlineStr">
        <is>
          <t>listopad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46322</v>
      </c>
      <c r="B36" s="7" t="inlineStr">
        <is>
          <t>utorak</t>
        </is>
      </c>
      <c r="C36" s="7" t="inlineStr">
        <is>
          <t>listopad</t>
        </is>
      </c>
      <c r="D36" s="7" t="n"/>
      <c r="E36" s="7" t="inlineStr">
        <is>
          <t>x</t>
        </is>
      </c>
      <c r="F36" s="7" t="inlineStr">
        <is>
          <t>x</t>
        </is>
      </c>
      <c r="G36" s="21" t="n"/>
    </row>
    <row r="37">
      <c r="A37" s="6" t="n">
        <v>46324</v>
      </c>
      <c r="B37" s="7" t="inlineStr">
        <is>
          <t>četvrtak</t>
        </is>
      </c>
      <c r="C37" s="7" t="inlineStr">
        <is>
          <t>listopad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46338</v>
      </c>
      <c r="B38" s="7" t="inlineStr">
        <is>
          <t>četvrtak</t>
        </is>
      </c>
      <c r="C38" s="7" t="inlineStr">
        <is>
          <t>studeni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46350</v>
      </c>
      <c r="B39" s="7" t="inlineStr">
        <is>
          <t>utorak</t>
        </is>
      </c>
      <c r="C39" s="7" t="inlineStr">
        <is>
          <t>studeni</t>
        </is>
      </c>
      <c r="D39" s="7" t="n"/>
      <c r="E39" s="7" t="inlineStr">
        <is>
          <t>x</t>
        </is>
      </c>
      <c r="F39" s="7" t="inlineStr">
        <is>
          <t>x</t>
        </is>
      </c>
      <c r="G39" s="21" t="n"/>
    </row>
    <row r="40">
      <c r="A40" s="6" t="n">
        <v>46352</v>
      </c>
      <c r="B40" s="7" t="inlineStr">
        <is>
          <t>četvrtak</t>
        </is>
      </c>
      <c r="C40" s="7" t="inlineStr">
        <is>
          <t>studeni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46366</v>
      </c>
      <c r="B41" s="7" t="inlineStr">
        <is>
          <t>četvrtak</t>
        </is>
      </c>
      <c r="C41" s="7" t="inlineStr">
        <is>
          <t>prosinac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46378</v>
      </c>
      <c r="B42" s="7" t="inlineStr">
        <is>
          <t>utorak</t>
        </is>
      </c>
      <c r="C42" s="7" t="inlineStr">
        <is>
          <t>prosinac</t>
        </is>
      </c>
      <c r="D42" s="7" t="n"/>
      <c r="E42" s="7" t="inlineStr">
        <is>
          <t>x</t>
        </is>
      </c>
      <c r="F42" s="7" t="inlineStr">
        <is>
          <t>x</t>
        </is>
      </c>
      <c r="G42" s="21" t="n"/>
    </row>
    <row r="43">
      <c r="A43" s="22" t="n">
        <v>46379</v>
      </c>
      <c r="B43" s="23" t="inlineStr">
        <is>
          <t>srijeda</t>
        </is>
      </c>
      <c r="C43" s="7" t="inlineStr">
        <is>
          <t>prosinac</t>
        </is>
      </c>
      <c r="D43" s="7" t="inlineStr">
        <is>
          <t>x</t>
        </is>
      </c>
      <c r="E43" s="7" t="n"/>
      <c r="F43" s="7" t="n"/>
      <c r="G43" s="21" t="inlineStr">
        <is>
          <t>Pomaknuto zbog neradnog dana u tjednu</t>
        </is>
      </c>
    </row>
  </sheetData>
  <autoFilter ref="A4:G43"/>
  <conditionalFormatting sqref="D5:D43">
    <cfRule type="expression" priority="1" dxfId="0">
      <formula>D5="x"</formula>
    </cfRule>
  </conditionalFormatting>
  <conditionalFormatting sqref="E5:E43">
    <cfRule type="expression" priority="2" dxfId="1">
      <formula>E5="x"</formula>
    </cfRule>
  </conditionalFormatting>
  <conditionalFormatting sqref="F5:F43">
    <cfRule type="expression" priority="3" dxfId="2">
      <formula>F5="x"</formula>
    </cfRule>
  </conditionalFormatting>
  <conditionalFormatting sqref="A5:G43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46030</v>
      </c>
      <c r="B2" s="15" t="inlineStr">
        <is>
          <t>četvrtak</t>
        </is>
      </c>
      <c r="C2" s="5" t="inlineStr">
        <is>
          <t>Miješani komunalni otpad</t>
        </is>
      </c>
      <c r="D2" s="15" t="n"/>
    </row>
    <row r="3">
      <c r="A3" s="24" t="n">
        <v>46042</v>
      </c>
      <c r="B3" s="15" t="inlineStr">
        <is>
          <t>utorak</t>
        </is>
      </c>
      <c r="C3" s="9" t="inlineStr">
        <is>
          <t>Plastika i metal</t>
        </is>
      </c>
      <c r="D3" s="15" t="n"/>
    </row>
    <row r="4">
      <c r="A4" s="24" t="n">
        <v>46042</v>
      </c>
      <c r="B4" s="15" t="inlineStr">
        <is>
          <t>utorak</t>
        </is>
      </c>
      <c r="C4" s="10" t="inlineStr">
        <is>
          <t>Papir i karton</t>
        </is>
      </c>
      <c r="D4" s="15" t="n"/>
    </row>
    <row r="5">
      <c r="A5" s="24" t="n">
        <v>46044</v>
      </c>
      <c r="B5" s="15" t="inlineStr">
        <is>
          <t>četvrtak</t>
        </is>
      </c>
      <c r="C5" s="5" t="inlineStr">
        <is>
          <t>Miješani komunalni otpad</t>
        </is>
      </c>
      <c r="D5" s="15" t="n"/>
    </row>
    <row r="6">
      <c r="A6" s="24" t="n">
        <v>46058</v>
      </c>
      <c r="B6" s="15" t="inlineStr">
        <is>
          <t>četvrtak</t>
        </is>
      </c>
      <c r="C6" s="5" t="inlineStr">
        <is>
          <t>Miješani komunalni otpad</t>
        </is>
      </c>
      <c r="D6" s="15" t="n"/>
    </row>
    <row r="7">
      <c r="A7" s="24" t="n">
        <v>46070</v>
      </c>
      <c r="B7" s="15" t="inlineStr">
        <is>
          <t>utorak</t>
        </is>
      </c>
      <c r="C7" s="9" t="inlineStr">
        <is>
          <t>Plastika i metal</t>
        </is>
      </c>
      <c r="D7" s="15" t="n"/>
    </row>
    <row r="8">
      <c r="A8" s="24" t="n">
        <v>46070</v>
      </c>
      <c r="B8" s="15" t="inlineStr">
        <is>
          <t>utorak</t>
        </is>
      </c>
      <c r="C8" s="10" t="inlineStr">
        <is>
          <t>Papir i karton</t>
        </is>
      </c>
      <c r="D8" s="15" t="n"/>
    </row>
    <row r="9">
      <c r="A9" s="24" t="n">
        <v>46072</v>
      </c>
      <c r="B9" s="15" t="inlineStr">
        <is>
          <t>četvrtak</t>
        </is>
      </c>
      <c r="C9" s="5" t="inlineStr">
        <is>
          <t>Miješani komunalni otpad</t>
        </is>
      </c>
      <c r="D9" s="15" t="n"/>
    </row>
    <row r="10">
      <c r="A10" s="24" t="n">
        <v>46086</v>
      </c>
      <c r="B10" s="15" t="inlineStr">
        <is>
          <t>četvrtak</t>
        </is>
      </c>
      <c r="C10" s="5" t="inlineStr">
        <is>
          <t>Miješani komunalni otpad</t>
        </is>
      </c>
      <c r="D10" s="15" t="n"/>
    </row>
    <row r="11">
      <c r="A11" s="24" t="n">
        <v>46098</v>
      </c>
      <c r="B11" s="15" t="inlineStr">
        <is>
          <t>utorak</t>
        </is>
      </c>
      <c r="C11" s="9" t="inlineStr">
        <is>
          <t>Plastika i metal</t>
        </is>
      </c>
      <c r="D11" s="15" t="n"/>
    </row>
    <row r="12">
      <c r="A12" s="24" t="n">
        <v>46098</v>
      </c>
      <c r="B12" s="15" t="inlineStr">
        <is>
          <t>utorak</t>
        </is>
      </c>
      <c r="C12" s="10" t="inlineStr">
        <is>
          <t>Papir i karton</t>
        </is>
      </c>
      <c r="D12" s="15" t="n"/>
    </row>
    <row r="13">
      <c r="A13" s="24" t="n">
        <v>46100</v>
      </c>
      <c r="B13" s="15" t="inlineStr">
        <is>
          <t>četvrtak</t>
        </is>
      </c>
      <c r="C13" s="5" t="inlineStr">
        <is>
          <t>Miješani komunalni otpad</t>
        </is>
      </c>
      <c r="D13" s="15" t="n"/>
    </row>
    <row r="14">
      <c r="A14" s="24" t="n">
        <v>46114</v>
      </c>
      <c r="B14" s="15" t="inlineStr">
        <is>
          <t>četvrtak</t>
        </is>
      </c>
      <c r="C14" s="5" t="inlineStr">
        <is>
          <t>Miješani komunalni otpad</t>
        </is>
      </c>
      <c r="D14" s="15" t="n"/>
    </row>
    <row r="15">
      <c r="A15" s="24" t="n">
        <v>46126</v>
      </c>
      <c r="B15" s="15" t="inlineStr">
        <is>
          <t>utorak</t>
        </is>
      </c>
      <c r="C15" s="9" t="inlineStr">
        <is>
          <t>Plastika i metal</t>
        </is>
      </c>
      <c r="D15" s="15" t="n"/>
    </row>
    <row r="16">
      <c r="A16" s="24" t="n">
        <v>46126</v>
      </c>
      <c r="B16" s="15" t="inlineStr">
        <is>
          <t>utorak</t>
        </is>
      </c>
      <c r="C16" s="10" t="inlineStr">
        <is>
          <t>Papir i karton</t>
        </is>
      </c>
      <c r="D16" s="15" t="n"/>
    </row>
    <row r="17">
      <c r="A17" s="24" t="n">
        <v>46128</v>
      </c>
      <c r="B17" s="15" t="inlineStr">
        <is>
          <t>četvrtak</t>
        </is>
      </c>
      <c r="C17" s="5" t="inlineStr">
        <is>
          <t>Miješani komunalni otpad</t>
        </is>
      </c>
      <c r="D17" s="15" t="n"/>
    </row>
    <row r="18">
      <c r="A18" s="24" t="n">
        <v>46142</v>
      </c>
      <c r="B18" s="15" t="inlineStr">
        <is>
          <t>četvrtak</t>
        </is>
      </c>
      <c r="C18" s="5" t="inlineStr">
        <is>
          <t>Miješani komunalni otpad</t>
        </is>
      </c>
      <c r="D18" s="15" t="n"/>
    </row>
    <row r="19">
      <c r="A19" s="24" t="n">
        <v>46154</v>
      </c>
      <c r="B19" s="15" t="inlineStr">
        <is>
          <t>utorak</t>
        </is>
      </c>
      <c r="C19" s="9" t="inlineStr">
        <is>
          <t>Plastika i metal</t>
        </is>
      </c>
      <c r="D19" s="15" t="n"/>
    </row>
    <row r="20">
      <c r="A20" s="24" t="n">
        <v>46154</v>
      </c>
      <c r="B20" s="15" t="inlineStr">
        <is>
          <t>utorak</t>
        </is>
      </c>
      <c r="C20" s="10" t="inlineStr">
        <is>
          <t>Papir i karton</t>
        </is>
      </c>
      <c r="D20" s="15" t="n"/>
    </row>
    <row r="21">
      <c r="A21" s="24" t="n">
        <v>46156</v>
      </c>
      <c r="B21" s="15" t="inlineStr">
        <is>
          <t>četvrtak</t>
        </is>
      </c>
      <c r="C21" s="5" t="inlineStr">
        <is>
          <t>Miješani komunalni otpad</t>
        </is>
      </c>
      <c r="D21" s="15" t="n"/>
    </row>
    <row r="22">
      <c r="A22" s="24" t="n">
        <v>46170</v>
      </c>
      <c r="B22" s="15" t="inlineStr">
        <is>
          <t>četvrtak</t>
        </is>
      </c>
      <c r="C22" s="5" t="inlineStr">
        <is>
          <t>Miješani komunalni otpad</t>
        </is>
      </c>
      <c r="D22" s="15" t="n"/>
    </row>
    <row r="23">
      <c r="A23" s="24" t="n">
        <v>46182</v>
      </c>
      <c r="B23" s="15" t="inlineStr">
        <is>
          <t>utorak</t>
        </is>
      </c>
      <c r="C23" s="9" t="inlineStr">
        <is>
          <t>Plastika i metal</t>
        </is>
      </c>
      <c r="D23" s="15" t="n"/>
    </row>
    <row r="24">
      <c r="A24" s="24" t="n">
        <v>46182</v>
      </c>
      <c r="B24" s="15" t="inlineStr">
        <is>
          <t>utorak</t>
        </is>
      </c>
      <c r="C24" s="10" t="inlineStr">
        <is>
          <t>Papir i karton</t>
        </is>
      </c>
      <c r="D24" s="15" t="n"/>
    </row>
    <row r="25">
      <c r="A25" s="24" t="n">
        <v>46184</v>
      </c>
      <c r="B25" s="15" t="inlineStr">
        <is>
          <t>četvrtak</t>
        </is>
      </c>
      <c r="C25" s="5" t="inlineStr">
        <is>
          <t>Miješani komunalni otpad</t>
        </is>
      </c>
      <c r="D25" s="15" t="n"/>
    </row>
    <row r="26">
      <c r="A26" s="24" t="n">
        <v>46198</v>
      </c>
      <c r="B26" s="15" t="inlineStr">
        <is>
          <t>četvrtak</t>
        </is>
      </c>
      <c r="C26" s="5" t="inlineStr">
        <is>
          <t>Miješani komunalni otpad</t>
        </is>
      </c>
      <c r="D26" s="15" t="n"/>
    </row>
    <row r="27">
      <c r="A27" s="24" t="n">
        <v>46210</v>
      </c>
      <c r="B27" s="15" t="inlineStr">
        <is>
          <t>utorak</t>
        </is>
      </c>
      <c r="C27" s="9" t="inlineStr">
        <is>
          <t>Plastika i metal</t>
        </is>
      </c>
      <c r="D27" s="15" t="n"/>
    </row>
    <row r="28">
      <c r="A28" s="24" t="n">
        <v>46210</v>
      </c>
      <c r="B28" s="15" t="inlineStr">
        <is>
          <t>utorak</t>
        </is>
      </c>
      <c r="C28" s="10" t="inlineStr">
        <is>
          <t>Papir i karton</t>
        </is>
      </c>
      <c r="D28" s="15" t="n"/>
    </row>
    <row r="29">
      <c r="A29" s="24" t="n">
        <v>46212</v>
      </c>
      <c r="B29" s="15" t="inlineStr">
        <is>
          <t>četvrtak</t>
        </is>
      </c>
      <c r="C29" s="5" t="inlineStr">
        <is>
          <t>Miješani komunalni otpad</t>
        </is>
      </c>
      <c r="D29" s="15" t="n"/>
    </row>
    <row r="30">
      <c r="A30" s="24" t="n">
        <v>46226</v>
      </c>
      <c r="B30" s="15" t="inlineStr">
        <is>
          <t>četvrtak</t>
        </is>
      </c>
      <c r="C30" s="5" t="inlineStr">
        <is>
          <t>Miješani komunalni otpad</t>
        </is>
      </c>
      <c r="D30" s="15" t="n"/>
    </row>
    <row r="31">
      <c r="A31" s="24" t="n">
        <v>46238</v>
      </c>
      <c r="B31" s="15" t="inlineStr">
        <is>
          <t>utorak</t>
        </is>
      </c>
      <c r="C31" s="9" t="inlineStr">
        <is>
          <t>Plastika i metal</t>
        </is>
      </c>
      <c r="D31" s="15" t="n"/>
    </row>
    <row r="32">
      <c r="A32" s="24" t="n">
        <v>46238</v>
      </c>
      <c r="B32" s="15" t="inlineStr">
        <is>
          <t>utorak</t>
        </is>
      </c>
      <c r="C32" s="10" t="inlineStr">
        <is>
          <t>Papir i karton</t>
        </is>
      </c>
      <c r="D32" s="15" t="n"/>
    </row>
    <row r="33">
      <c r="A33" s="24" t="n">
        <v>46241</v>
      </c>
      <c r="B33" s="15" t="inlineStr">
        <is>
          <t>petak</t>
        </is>
      </c>
      <c r="C33" s="5" t="inlineStr">
        <is>
          <t>Miješani komunalni otpad</t>
        </is>
      </c>
      <c r="D33" s="15" t="inlineStr">
        <is>
          <t>Pomaknuto zbog neradnog dana u tjednu</t>
        </is>
      </c>
    </row>
    <row r="34">
      <c r="A34" s="24" t="n">
        <v>46254</v>
      </c>
      <c r="B34" s="15" t="inlineStr">
        <is>
          <t>četvrtak</t>
        </is>
      </c>
      <c r="C34" s="5" t="inlineStr">
        <is>
          <t>Miješani komunalni otpad</t>
        </is>
      </c>
      <c r="D34" s="15" t="n"/>
    </row>
    <row r="35">
      <c r="A35" s="24" t="n">
        <v>46266</v>
      </c>
      <c r="B35" s="15" t="inlineStr">
        <is>
          <t>utorak</t>
        </is>
      </c>
      <c r="C35" s="9" t="inlineStr">
        <is>
          <t>Plastika i metal</t>
        </is>
      </c>
      <c r="D35" s="15" t="n"/>
    </row>
    <row r="36">
      <c r="A36" s="24" t="n">
        <v>46266</v>
      </c>
      <c r="B36" s="15" t="inlineStr">
        <is>
          <t>utorak</t>
        </is>
      </c>
      <c r="C36" s="10" t="inlineStr">
        <is>
          <t>Papir i karton</t>
        </is>
      </c>
      <c r="D36" s="15" t="n"/>
    </row>
    <row r="37">
      <c r="A37" s="24" t="n">
        <v>46268</v>
      </c>
      <c r="B37" s="15" t="inlineStr">
        <is>
          <t>četvrtak</t>
        </is>
      </c>
      <c r="C37" s="5" t="inlineStr">
        <is>
          <t>Miješani komunalni otpad</t>
        </is>
      </c>
      <c r="D37" s="15" t="n"/>
    </row>
    <row r="38">
      <c r="A38" s="24" t="n">
        <v>46282</v>
      </c>
      <c r="B38" s="15" t="inlineStr">
        <is>
          <t>četvrtak</t>
        </is>
      </c>
      <c r="C38" s="5" t="inlineStr">
        <is>
          <t>Miješani komunalni otpad</t>
        </is>
      </c>
      <c r="D38" s="15" t="n"/>
    </row>
    <row r="39">
      <c r="A39" s="24" t="n">
        <v>46294</v>
      </c>
      <c r="B39" s="15" t="inlineStr">
        <is>
          <t>utorak</t>
        </is>
      </c>
      <c r="C39" s="9" t="inlineStr">
        <is>
          <t>Plastika i metal</t>
        </is>
      </c>
      <c r="D39" s="15" t="n"/>
    </row>
    <row r="40">
      <c r="A40" s="24" t="n">
        <v>46294</v>
      </c>
      <c r="B40" s="15" t="inlineStr">
        <is>
          <t>utorak</t>
        </is>
      </c>
      <c r="C40" s="10" t="inlineStr">
        <is>
          <t>Papir i karton</t>
        </is>
      </c>
      <c r="D40" s="15" t="n"/>
    </row>
    <row r="41">
      <c r="A41" s="24" t="n">
        <v>46296</v>
      </c>
      <c r="B41" s="15" t="inlineStr">
        <is>
          <t>četvrtak</t>
        </is>
      </c>
      <c r="C41" s="5" t="inlineStr">
        <is>
          <t>Miješani komunalni otpad</t>
        </is>
      </c>
      <c r="D41" s="15" t="n"/>
    </row>
    <row r="42">
      <c r="A42" s="24" t="n">
        <v>46310</v>
      </c>
      <c r="B42" s="15" t="inlineStr">
        <is>
          <t>četvrtak</t>
        </is>
      </c>
      <c r="C42" s="5" t="inlineStr">
        <is>
          <t>Miješani komunalni otpad</t>
        </is>
      </c>
      <c r="D42" s="15" t="n"/>
    </row>
    <row r="43">
      <c r="A43" s="24" t="n">
        <v>46322</v>
      </c>
      <c r="B43" s="15" t="inlineStr">
        <is>
          <t>utorak</t>
        </is>
      </c>
      <c r="C43" s="9" t="inlineStr">
        <is>
          <t>Plastika i metal</t>
        </is>
      </c>
      <c r="D43" s="15" t="n"/>
    </row>
    <row r="44">
      <c r="A44" s="24" t="n">
        <v>46322</v>
      </c>
      <c r="B44" s="15" t="inlineStr">
        <is>
          <t>utorak</t>
        </is>
      </c>
      <c r="C44" s="10" t="inlineStr">
        <is>
          <t>Papir i karton</t>
        </is>
      </c>
      <c r="D44" s="15" t="n"/>
    </row>
    <row r="45">
      <c r="A45" s="24" t="n">
        <v>46324</v>
      </c>
      <c r="B45" s="15" t="inlineStr">
        <is>
          <t>četvrtak</t>
        </is>
      </c>
      <c r="C45" s="5" t="inlineStr">
        <is>
          <t>Miješani komunalni otpad</t>
        </is>
      </c>
      <c r="D45" s="15" t="n"/>
    </row>
    <row r="46">
      <c r="A46" s="24" t="n">
        <v>46338</v>
      </c>
      <c r="B46" s="15" t="inlineStr">
        <is>
          <t>četvrtak</t>
        </is>
      </c>
      <c r="C46" s="5" t="inlineStr">
        <is>
          <t>Miješani komunalni otpad</t>
        </is>
      </c>
      <c r="D46" s="15" t="n"/>
    </row>
    <row r="47">
      <c r="A47" s="24" t="n">
        <v>46350</v>
      </c>
      <c r="B47" s="15" t="inlineStr">
        <is>
          <t>utorak</t>
        </is>
      </c>
      <c r="C47" s="9" t="inlineStr">
        <is>
          <t>Plastika i metal</t>
        </is>
      </c>
      <c r="D47" s="15" t="n"/>
    </row>
    <row r="48">
      <c r="A48" s="24" t="n">
        <v>46350</v>
      </c>
      <c r="B48" s="15" t="inlineStr">
        <is>
          <t>utorak</t>
        </is>
      </c>
      <c r="C48" s="10" t="inlineStr">
        <is>
          <t>Papir i karton</t>
        </is>
      </c>
      <c r="D48" s="15" t="n"/>
    </row>
    <row r="49">
      <c r="A49" s="24" t="n">
        <v>46352</v>
      </c>
      <c r="B49" s="15" t="inlineStr">
        <is>
          <t>četvrtak</t>
        </is>
      </c>
      <c r="C49" s="5" t="inlineStr">
        <is>
          <t>Miješani komunalni otpad</t>
        </is>
      </c>
      <c r="D49" s="15" t="n"/>
    </row>
    <row r="50">
      <c r="A50" s="24" t="n">
        <v>46366</v>
      </c>
      <c r="B50" s="15" t="inlineStr">
        <is>
          <t>četvrtak</t>
        </is>
      </c>
      <c r="C50" s="5" t="inlineStr">
        <is>
          <t>Miješani komunalni otpad</t>
        </is>
      </c>
      <c r="D50" s="15" t="n"/>
    </row>
    <row r="51">
      <c r="A51" s="24" t="n">
        <v>46378</v>
      </c>
      <c r="B51" s="15" t="inlineStr">
        <is>
          <t>utorak</t>
        </is>
      </c>
      <c r="C51" s="9" t="inlineStr">
        <is>
          <t>Plastika i metal</t>
        </is>
      </c>
      <c r="D51" s="15" t="n"/>
    </row>
    <row r="52">
      <c r="A52" s="24" t="n">
        <v>46378</v>
      </c>
      <c r="B52" s="15" t="inlineStr">
        <is>
          <t>utorak</t>
        </is>
      </c>
      <c r="C52" s="10" t="inlineStr">
        <is>
          <t>Papir i karton</t>
        </is>
      </c>
      <c r="D52" s="15" t="n"/>
    </row>
    <row r="53">
      <c r="A53" s="24" t="n">
        <v>46379</v>
      </c>
      <c r="B53" s="15" t="inlineStr">
        <is>
          <t>srijeda</t>
        </is>
      </c>
      <c r="C53" s="5" t="inlineStr">
        <is>
          <t>Miješani komunalni otpad</t>
        </is>
      </c>
      <c r="D53" s="15" t="inlineStr">
        <is>
          <t>Pomaknuto zbog neradnog dana u tjednu</t>
        </is>
      </c>
    </row>
  </sheetData>
  <autoFilter ref="A1:D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12 (Netretić): ulice i naselja</t>
        </is>
      </c>
    </row>
    <row r="2">
      <c r="A2" s="20" t="inlineStr">
        <is>
          <t>RASPORED SE ODNOSI NA SLIJEDEĆA NASELJA: Borovci, Mračin, Dubravčani, Dubravci, Frketić Selo Vinski Vrh (dom za starije,motel ''AMARILIS''), Rešetarevo, Zagradci, Skupica, Bukovje Netretićko, Grdašići, Novigrad, Vikend naselje Jarče Polje, Vikend naselje Vinski Vrh</t>
        </is>
      </c>
    </row>
    <row r="4">
      <c r="A4" s="4" t="inlineStr">
        <is>
          <t>Ulica / naselje</t>
        </is>
      </c>
    </row>
    <row r="5">
      <c r="A5" s="15" t="inlineStr">
        <is>
          <t>Borovci</t>
        </is>
      </c>
    </row>
    <row r="6">
      <c r="A6" s="15" t="inlineStr">
        <is>
          <t>Mračin</t>
        </is>
      </c>
    </row>
    <row r="7">
      <c r="A7" s="15" t="inlineStr">
        <is>
          <t>Dubravčani</t>
        </is>
      </c>
    </row>
    <row r="8">
      <c r="A8" s="15" t="inlineStr">
        <is>
          <t>Dubravci</t>
        </is>
      </c>
    </row>
    <row r="9">
      <c r="A9" s="15" t="inlineStr">
        <is>
          <t>Frketić Selo</t>
        </is>
      </c>
    </row>
    <row r="10">
      <c r="A10" s="15" t="inlineStr">
        <is>
          <t>Vinski Vrh (dom za starije, motel Amarilis)</t>
        </is>
      </c>
    </row>
    <row r="11">
      <c r="A11" s="15" t="inlineStr">
        <is>
          <t>Rešetarevo</t>
        </is>
      </c>
    </row>
    <row r="12">
      <c r="A12" s="15" t="inlineStr">
        <is>
          <t>Zagradci</t>
        </is>
      </c>
    </row>
    <row r="13">
      <c r="A13" s="15" t="inlineStr">
        <is>
          <t>Skupica</t>
        </is>
      </c>
    </row>
    <row r="14">
      <c r="A14" s="15" t="inlineStr">
        <is>
          <t>Bukovje Netretićko</t>
        </is>
      </c>
    </row>
    <row r="15">
      <c r="A15" s="15" t="inlineStr">
        <is>
          <t>Grdašići</t>
        </is>
      </c>
    </row>
    <row r="16">
      <c r="A16" s="15" t="inlineStr">
        <is>
          <t>Novigrad</t>
        </is>
      </c>
    </row>
    <row r="17">
      <c r="A17" s="15" t="inlineStr">
        <is>
          <t>Vikend naselje Jarče Polje</t>
        </is>
      </c>
    </row>
    <row r="18">
      <c r="A18" s="15" t="inlineStr">
        <is>
          <t>Vikend naselje Vinski Vrh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2026-10-07T18:31:32Z</dcterms:created>
  <dcterms:modified xmlns:dcterms="http://purl.org/dc/terms/" xmlns:xsi="http://www.w3.org/2001/XMLSchema-instance" xsi:type="dcterms:W3CDTF">2026-10-07T18:31:32Z</dcterms:modified>
</cp:coreProperties>
</file>
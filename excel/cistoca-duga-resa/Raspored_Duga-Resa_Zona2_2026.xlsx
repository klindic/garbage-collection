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'Raspored'!$A$4:$G$56</definedName>
    <definedName name="_xlnm._FilterDatabase" localSheetId="2" hidden="1">'Po vrsti'!$A$1:$D$66</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1">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color rgb="00C00000"/>
    </font>
    <font>
      <name val="Arial"/>
      <b val="1"/>
    </font>
    <font>
      <name val="Arial"/>
      <b val="1"/>
      <sz val="12"/>
    </font>
    <font>
      <name val="Arial"/>
      <b val="1"/>
      <sz val="10"/>
    </font>
    <font>
      <name val="Arial"/>
      <sz val="10"/>
    </font>
  </fonts>
  <fills count="6">
    <fill>
      <patternFill/>
    </fill>
    <fill>
      <patternFill patternType="gray125"/>
    </fill>
    <fill>
      <patternFill patternType="solid">
        <fgColor rgb="00375623"/>
      </patternFill>
    </fill>
    <fill>
      <patternFill patternType="solid">
        <fgColor rgb="00262626"/>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7"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4" fillId="4" borderId="1" pivotButton="0" quotePrefix="0" xfId="0"/>
    <xf numFmtId="0" fontId="3" fillId="5" borderId="1" pivotButton="0" quotePrefix="0" xfId="0"/>
    <xf numFmtId="0" fontId="8"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5" fillId="0" borderId="1" pivotButton="0" quotePrefix="0" xfId="0"/>
    <xf numFmtId="0" fontId="7" fillId="0" borderId="1" pivotButton="0" quotePrefix="0" xfId="0"/>
    <xf numFmtId="0" fontId="7" fillId="0" borderId="1" applyAlignment="1" pivotButton="0" quotePrefix="0" xfId="0">
      <alignment horizontal="center" vertical="center" wrapText="1"/>
    </xf>
    <xf numFmtId="0" fontId="9" fillId="0" borderId="0" pivotButton="0" quotePrefix="0" xfId="0"/>
    <xf numFmtId="0" fontId="10" fillId="0" borderId="0" pivotButton="0" quotePrefix="0" xfId="0"/>
    <xf numFmtId="0" fontId="2" fillId="0" borderId="0" pivotButton="0" quotePrefix="0" xfId="0"/>
    <xf numFmtId="0" fontId="5" fillId="0" borderId="1" applyAlignment="1" pivotButton="0" quotePrefix="0" xfId="0">
      <alignment vertical="center"/>
    </xf>
    <xf numFmtId="165"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65" fontId="5" fillId="0" borderId="1" pivotButton="0" quotePrefix="0" xfId="0"/>
  </cellXfs>
  <cellStyles count="1">
    <cellStyle name="Normal" xfId="0" builtinId="0" hidden="0"/>
  </cellStyles>
  <dxfs count="4">
    <dxf>
      <font>
        <b val="1"/>
        <color rgb="00FFFFFF"/>
      </font>
      <fill>
        <patternFill patternType="solid">
          <fgColor rgb="00262626"/>
          <bgColor rgb="00262626"/>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2,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IFERROR(1/(1/_xlfn.MINIFS(Raspored!$A$5:$A$56,Raspored!$D$5:$D$56,"x",Raspored!$A$5:$A$56,"&gt;="&amp;$B$3)),"nema više u 2026.")</f>
        <v/>
      </c>
      <c r="C6" s="7">
        <f>IF(ISNUMBER(B6),INDEX({"nedjelja","ponedjeljak","utorak","srijeda","četvrtak","petak","subota"},WEEKDAY(B6)),"")</f>
        <v/>
      </c>
      <c r="D6" s="8">
        <f>IF(ISNUMBER(B6),B6-$B$3,"")</f>
        <v/>
      </c>
      <c r="E6" s="7">
        <f>COUNTIF(Raspored!$D$5:$D$56,"x")</f>
        <v/>
      </c>
    </row>
    <row r="7">
      <c r="A7" s="9" t="inlineStr">
        <is>
          <t>Plastika i metal</t>
        </is>
      </c>
      <c r="B7" s="6">
        <f>IFERROR(1/(1/_xlfn.MINIFS(Raspored!$A$5:$A$56,Raspored!$E$5:$E$56,"x",Raspored!$A$5:$A$56,"&gt;="&amp;$B$3)),"nema više u 2026.")</f>
        <v/>
      </c>
      <c r="C7" s="7">
        <f>IF(ISNUMBER(B7),INDEX({"nedjelja","ponedjeljak","utorak","srijeda","četvrtak","petak","subota"},WEEKDAY(B7)),"")</f>
        <v/>
      </c>
      <c r="D7" s="8">
        <f>IF(ISNUMBER(B7),B7-$B$3,"")</f>
        <v/>
      </c>
      <c r="E7" s="7">
        <f>COUNTIF(Raspored!$E$5:$E$56,"x")</f>
        <v/>
      </c>
    </row>
    <row r="8">
      <c r="A8" s="10" t="inlineStr">
        <is>
          <t>Papir i karton</t>
        </is>
      </c>
      <c r="B8" s="6">
        <f>IFERROR(1/(1/_xlfn.MINIFS(Raspored!$A$5:$A$56,Raspored!$F$5:$F$56,"x",Raspored!$A$5:$A$56,"&gt;="&amp;$B$3)),"nema više u 2026.")</f>
        <v/>
      </c>
      <c r="C8" s="7">
        <f>IF(ISNUMBER(B8),INDEX({"nedjelja","ponedjeljak","utorak","srijeda","četvrtak","petak","subota"},WEEKDAY(B8)),"")</f>
        <v/>
      </c>
      <c r="D8" s="8">
        <f>IF(ISNUMBER(B8),B8-$B$3,"")</f>
        <v/>
      </c>
      <c r="E8" s="7">
        <f>COUNTIF(Raspored!$F$5:$F$56,"x")</f>
        <v/>
      </c>
    </row>
    <row r="10">
      <c r="A10" s="11" t="inlineStr">
        <is>
          <t>Broj odvoza po mjesecu</t>
        </is>
      </c>
    </row>
    <row r="11" ht="30" customHeight="1">
      <c r="A11" s="4" t="inlineStr">
        <is>
          <t>Mjesec</t>
        </is>
      </c>
      <c r="B11" s="12" t="inlineStr">
        <is>
          <t>Miješani komunalni otpad</t>
        </is>
      </c>
      <c r="C11" s="13" t="inlineStr">
        <is>
          <t>Plastika i metal</t>
        </is>
      </c>
      <c r="D11" s="14" t="inlineStr">
        <is>
          <t>Papir i karton</t>
        </is>
      </c>
    </row>
    <row r="12">
      <c r="A12" s="15" t="inlineStr">
        <is>
          <t>siječanj</t>
        </is>
      </c>
      <c r="B12" s="7">
        <f>COUNTIFS(Raspored!$C$5:$C$56,$A12,Raspored!$D$5:$D$56,"x")</f>
        <v/>
      </c>
      <c r="C12" s="7">
        <f>COUNTIFS(Raspored!$C$5:$C$56,$A12,Raspored!$E$5:$E$56,"x")</f>
        <v/>
      </c>
      <c r="D12" s="7">
        <f>COUNTIFS(Raspored!$C$5:$C$56,$A12,Raspored!$F$5:$F$56,"x")</f>
        <v/>
      </c>
    </row>
    <row r="13">
      <c r="A13" s="15" t="inlineStr">
        <is>
          <t>veljača</t>
        </is>
      </c>
      <c r="B13" s="7">
        <f>COUNTIFS(Raspored!$C$5:$C$56,$A13,Raspored!$D$5:$D$56,"x")</f>
        <v/>
      </c>
      <c r="C13" s="7">
        <f>COUNTIFS(Raspored!$C$5:$C$56,$A13,Raspored!$E$5:$E$56,"x")</f>
        <v/>
      </c>
      <c r="D13" s="7">
        <f>COUNTIFS(Raspored!$C$5:$C$56,$A13,Raspored!$F$5:$F$56,"x")</f>
        <v/>
      </c>
    </row>
    <row r="14">
      <c r="A14" s="15" t="inlineStr">
        <is>
          <t>ožujak</t>
        </is>
      </c>
      <c r="B14" s="7">
        <f>COUNTIFS(Raspored!$C$5:$C$56,$A14,Raspored!$D$5:$D$56,"x")</f>
        <v/>
      </c>
      <c r="C14" s="7">
        <f>COUNTIFS(Raspored!$C$5:$C$56,$A14,Raspored!$E$5:$E$56,"x")</f>
        <v/>
      </c>
      <c r="D14" s="7">
        <f>COUNTIFS(Raspored!$C$5:$C$56,$A14,Raspored!$F$5:$F$56,"x")</f>
        <v/>
      </c>
    </row>
    <row r="15">
      <c r="A15" s="15" t="inlineStr">
        <is>
          <t>travanj</t>
        </is>
      </c>
      <c r="B15" s="7">
        <f>COUNTIFS(Raspored!$C$5:$C$56,$A15,Raspored!$D$5:$D$56,"x")</f>
        <v/>
      </c>
      <c r="C15" s="7">
        <f>COUNTIFS(Raspored!$C$5:$C$56,$A15,Raspored!$E$5:$E$56,"x")</f>
        <v/>
      </c>
      <c r="D15" s="7">
        <f>COUNTIFS(Raspored!$C$5:$C$56,$A15,Raspored!$F$5:$F$56,"x")</f>
        <v/>
      </c>
    </row>
    <row r="16">
      <c r="A16" s="15" t="inlineStr">
        <is>
          <t>svibanj</t>
        </is>
      </c>
      <c r="B16" s="7">
        <f>COUNTIFS(Raspored!$C$5:$C$56,$A16,Raspored!$D$5:$D$56,"x")</f>
        <v/>
      </c>
      <c r="C16" s="7">
        <f>COUNTIFS(Raspored!$C$5:$C$56,$A16,Raspored!$E$5:$E$56,"x")</f>
        <v/>
      </c>
      <c r="D16" s="7">
        <f>COUNTIFS(Raspored!$C$5:$C$56,$A16,Raspored!$F$5:$F$56,"x")</f>
        <v/>
      </c>
    </row>
    <row r="17">
      <c r="A17" s="15" t="inlineStr">
        <is>
          <t>lipanj</t>
        </is>
      </c>
      <c r="B17" s="7">
        <f>COUNTIFS(Raspored!$C$5:$C$56,$A17,Raspored!$D$5:$D$56,"x")</f>
        <v/>
      </c>
      <c r="C17" s="7">
        <f>COUNTIFS(Raspored!$C$5:$C$56,$A17,Raspored!$E$5:$E$56,"x")</f>
        <v/>
      </c>
      <c r="D17" s="7">
        <f>COUNTIFS(Raspored!$C$5:$C$56,$A17,Raspored!$F$5:$F$56,"x")</f>
        <v/>
      </c>
    </row>
    <row r="18">
      <c r="A18" s="15" t="inlineStr">
        <is>
          <t>srpanj</t>
        </is>
      </c>
      <c r="B18" s="7">
        <f>COUNTIFS(Raspored!$C$5:$C$56,$A18,Raspored!$D$5:$D$56,"x")</f>
        <v/>
      </c>
      <c r="C18" s="7">
        <f>COUNTIFS(Raspored!$C$5:$C$56,$A18,Raspored!$E$5:$E$56,"x")</f>
        <v/>
      </c>
      <c r="D18" s="7">
        <f>COUNTIFS(Raspored!$C$5:$C$56,$A18,Raspored!$F$5:$F$56,"x")</f>
        <v/>
      </c>
    </row>
    <row r="19">
      <c r="A19" s="15" t="inlineStr">
        <is>
          <t>kolovoz</t>
        </is>
      </c>
      <c r="B19" s="7">
        <f>COUNTIFS(Raspored!$C$5:$C$56,$A19,Raspored!$D$5:$D$56,"x")</f>
        <v/>
      </c>
      <c r="C19" s="7">
        <f>COUNTIFS(Raspored!$C$5:$C$56,$A19,Raspored!$E$5:$E$56,"x")</f>
        <v/>
      </c>
      <c r="D19" s="7">
        <f>COUNTIFS(Raspored!$C$5:$C$56,$A19,Raspored!$F$5:$F$56,"x")</f>
        <v/>
      </c>
    </row>
    <row r="20">
      <c r="A20" s="15" t="inlineStr">
        <is>
          <t>rujan</t>
        </is>
      </c>
      <c r="B20" s="7">
        <f>COUNTIFS(Raspored!$C$5:$C$56,$A20,Raspored!$D$5:$D$56,"x")</f>
        <v/>
      </c>
      <c r="C20" s="7">
        <f>COUNTIFS(Raspored!$C$5:$C$56,$A20,Raspored!$E$5:$E$56,"x")</f>
        <v/>
      </c>
      <c r="D20" s="7">
        <f>COUNTIFS(Raspored!$C$5:$C$56,$A20,Raspored!$F$5:$F$56,"x")</f>
        <v/>
      </c>
    </row>
    <row r="21">
      <c r="A21" s="15" t="inlineStr">
        <is>
          <t>listopad</t>
        </is>
      </c>
      <c r="B21" s="7">
        <f>COUNTIFS(Raspored!$C$5:$C$56,$A21,Raspored!$D$5:$D$56,"x")</f>
        <v/>
      </c>
      <c r="C21" s="7">
        <f>COUNTIFS(Raspored!$C$5:$C$56,$A21,Raspored!$E$5:$E$56,"x")</f>
        <v/>
      </c>
      <c r="D21" s="7">
        <f>COUNTIFS(Raspored!$C$5:$C$56,$A21,Raspored!$F$5:$F$56,"x")</f>
        <v/>
      </c>
    </row>
    <row r="22">
      <c r="A22" s="15" t="inlineStr">
        <is>
          <t>studeni</t>
        </is>
      </c>
      <c r="B22" s="7">
        <f>COUNTIFS(Raspored!$C$5:$C$56,$A22,Raspored!$D$5:$D$56,"x")</f>
        <v/>
      </c>
      <c r="C22" s="7">
        <f>COUNTIFS(Raspored!$C$5:$C$56,$A22,Raspored!$E$5:$E$56,"x")</f>
        <v/>
      </c>
      <c r="D22" s="7">
        <f>COUNTIFS(Raspored!$C$5:$C$56,$A22,Raspored!$F$5:$F$56,"x")</f>
        <v/>
      </c>
    </row>
    <row r="23">
      <c r="A23" s="15" t="inlineStr">
        <is>
          <t>prosinac</t>
        </is>
      </c>
      <c r="B23" s="7">
        <f>COUNTIFS(Raspored!$C$5:$C$56,$A23,Raspored!$D$5:$D$56,"x")</f>
        <v/>
      </c>
      <c r="C23" s="7">
        <f>COUNTIFS(Raspored!$C$5:$C$56,$A23,Raspored!$E$5:$E$56,"x")</f>
        <v/>
      </c>
      <c r="D23" s="7">
        <f>COUNTIFS(Raspored!$C$5:$C$56,$A23,Raspored!$F$5:$F$56,"x")</f>
        <v/>
      </c>
    </row>
    <row r="24">
      <c r="A24" s="16" t="inlineStr">
        <is>
          <t>Ukupno</t>
        </is>
      </c>
      <c r="B24" s="17">
        <f>SUM(B12:B23)</f>
        <v/>
      </c>
      <c r="C24" s="17">
        <f>SUM(C12:C23)</f>
        <v/>
      </c>
      <c r="D24" s="17">
        <f>SUM(D12:D23)</f>
        <v/>
      </c>
    </row>
    <row r="26">
      <c r="A26" s="18" t="inlineStr">
        <is>
          <t>Napomene:</t>
        </is>
      </c>
    </row>
    <row r="27">
      <c r="A27" s="19" t="inlineStr">
        <is>
          <t>• Crveno označeni datumi u listu "Raspored" su pomaknuti zbog neradnog dana u tom tjednu (inače je odvoz srijedom).</t>
        </is>
      </c>
    </row>
    <row r="28">
      <c r="A28" s="19" t="inlineStr">
        <is>
          <t>• Plastika i papir odvoze se zajedno, jednom mjesečno.</t>
        </is>
      </c>
    </row>
    <row r="29">
      <c r="A29" s="19" t="inlineStr">
        <is>
          <t>• Pomaci zbog blagdana ugrađeni su u objavljene datume (npr. ponedjeljak 05.01. umjesto utorka 06.01.); datumi izvan uobičajenog dana zone u tjednu s blagdanom označeni su kao pomaknuti.</t>
        </is>
      </c>
    </row>
    <row r="30">
      <c r="A30" s="19" t="inlineStr">
        <is>
          <t>• Općina Barilović: Čistoća Duga Resa raspored objavljuje od 2026. godine.</t>
        </is>
      </c>
    </row>
    <row r="31">
      <c r="A31" s="19" t="inlineStr">
        <is>
          <t>• Kontakt: Čistoća Duga Resa d.o.o., Kolodvorska 1, Duga Resa, info@cistoca-dugaresa.hr.</t>
        </is>
      </c>
    </row>
    <row r="32">
      <c r="A32" s="19" t="inlineStr">
        <is>
          <t>• Duga Resa: u kalendaru nema rasporeda za DUGA RESA - 1.</t>
        </is>
      </c>
    </row>
    <row r="33">
      <c r="A33" s="19" t="inlineStr">
        <is>
          <t>• Duga Resa: u kalendaru nema rasporeda za NASELJA U OKOLICI DUGE RESE - 2.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6"/>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6" customWidth="1" min="5" max="5"/>
    <col width="13" customWidth="1" min="6" max="6"/>
    <col width="44" customWidth="1" min="7" max="7"/>
  </cols>
  <sheetData>
    <row r="1">
      <c r="A1" s="1" t="inlineStr">
        <is>
          <t>Raspored odvoza otpada 2026., Zona 2 (Duga Resa)</t>
        </is>
      </c>
    </row>
    <row r="2">
      <c r="A2" s="20" t="inlineStr">
        <is>
          <t>"x" = odvoz tog dana. Spremnike iznijeti do 07:00. Prošli datumi su posivljeni.</t>
        </is>
      </c>
    </row>
    <row r="4" ht="32" customHeight="1">
      <c r="A4" s="4" t="inlineStr">
        <is>
          <t>Datum</t>
        </is>
      </c>
      <c r="B4" s="4" t="inlineStr">
        <is>
          <t>Dan</t>
        </is>
      </c>
      <c r="C4" s="4" t="inlineStr">
        <is>
          <t>Mjesec</t>
        </is>
      </c>
      <c r="D4" s="12" t="inlineStr">
        <is>
          <t>Miješani komunalni otpad</t>
        </is>
      </c>
      <c r="E4" s="13" t="inlineStr">
        <is>
          <t>Plastika i metal</t>
        </is>
      </c>
      <c r="F4" s="14" t="inlineStr">
        <is>
          <t>Papir i karton</t>
        </is>
      </c>
      <c r="G4" s="4" t="inlineStr">
        <is>
          <t>Napomena</t>
        </is>
      </c>
    </row>
    <row r="5">
      <c r="A5" s="6" t="n">
        <v>46029</v>
      </c>
      <c r="B5" s="7" t="inlineStr">
        <is>
          <t>srijeda</t>
        </is>
      </c>
      <c r="C5" s="7" t="inlineStr">
        <is>
          <t>siječanj</t>
        </is>
      </c>
      <c r="D5" s="7" t="inlineStr">
        <is>
          <t>x</t>
        </is>
      </c>
      <c r="E5" s="7" t="n"/>
      <c r="F5" s="7" t="n"/>
      <c r="G5" s="21" t="n"/>
    </row>
    <row r="6">
      <c r="A6" s="6" t="n">
        <v>46036</v>
      </c>
      <c r="B6" s="7" t="inlineStr">
        <is>
          <t>srijeda</t>
        </is>
      </c>
      <c r="C6" s="7" t="inlineStr">
        <is>
          <t>siječanj</t>
        </is>
      </c>
      <c r="D6" s="7" t="inlineStr">
        <is>
          <t>x</t>
        </is>
      </c>
      <c r="E6" s="7" t="n"/>
      <c r="F6" s="7" t="n"/>
      <c r="G6" s="21" t="n"/>
    </row>
    <row r="7">
      <c r="A7" s="6" t="n">
        <v>46043</v>
      </c>
      <c r="B7" s="7" t="inlineStr">
        <is>
          <t>srijeda</t>
        </is>
      </c>
      <c r="C7" s="7" t="inlineStr">
        <is>
          <t>siječanj</t>
        </is>
      </c>
      <c r="D7" s="7" t="n"/>
      <c r="E7" s="7" t="inlineStr">
        <is>
          <t>x</t>
        </is>
      </c>
      <c r="F7" s="7" t="inlineStr">
        <is>
          <t>x</t>
        </is>
      </c>
      <c r="G7" s="21" t="n"/>
    </row>
    <row r="8">
      <c r="A8" s="6" t="n">
        <v>46050</v>
      </c>
      <c r="B8" s="7" t="inlineStr">
        <is>
          <t>srijeda</t>
        </is>
      </c>
      <c r="C8" s="7" t="inlineStr">
        <is>
          <t>siječanj</t>
        </is>
      </c>
      <c r="D8" s="7" t="inlineStr">
        <is>
          <t>x</t>
        </is>
      </c>
      <c r="E8" s="7" t="n"/>
      <c r="F8" s="7" t="n"/>
      <c r="G8" s="21" t="n"/>
    </row>
    <row r="9">
      <c r="A9" s="6" t="n">
        <v>46057</v>
      </c>
      <c r="B9" s="7" t="inlineStr">
        <is>
          <t>srijeda</t>
        </is>
      </c>
      <c r="C9" s="7" t="inlineStr">
        <is>
          <t>veljača</t>
        </is>
      </c>
      <c r="D9" s="7" t="inlineStr">
        <is>
          <t>x</t>
        </is>
      </c>
      <c r="E9" s="7" t="n"/>
      <c r="F9" s="7" t="n"/>
      <c r="G9" s="21" t="n"/>
    </row>
    <row r="10">
      <c r="A10" s="6" t="n">
        <v>46064</v>
      </c>
      <c r="B10" s="7" t="inlineStr">
        <is>
          <t>srijeda</t>
        </is>
      </c>
      <c r="C10" s="7" t="inlineStr">
        <is>
          <t>veljača</t>
        </is>
      </c>
      <c r="D10" s="7" t="inlineStr">
        <is>
          <t>x</t>
        </is>
      </c>
      <c r="E10" s="7" t="n"/>
      <c r="F10" s="7" t="n"/>
      <c r="G10" s="21" t="n"/>
    </row>
    <row r="11">
      <c r="A11" s="6" t="n">
        <v>46071</v>
      </c>
      <c r="B11" s="7" t="inlineStr">
        <is>
          <t>srijeda</t>
        </is>
      </c>
      <c r="C11" s="7" t="inlineStr">
        <is>
          <t>veljača</t>
        </is>
      </c>
      <c r="D11" s="7" t="n"/>
      <c r="E11" s="7" t="inlineStr">
        <is>
          <t>x</t>
        </is>
      </c>
      <c r="F11" s="7" t="inlineStr">
        <is>
          <t>x</t>
        </is>
      </c>
      <c r="G11" s="21" t="n"/>
    </row>
    <row r="12">
      <c r="A12" s="6" t="n">
        <v>46078</v>
      </c>
      <c r="B12" s="7" t="inlineStr">
        <is>
          <t>srijeda</t>
        </is>
      </c>
      <c r="C12" s="7" t="inlineStr">
        <is>
          <t>veljača</t>
        </is>
      </c>
      <c r="D12" s="7" t="inlineStr">
        <is>
          <t>x</t>
        </is>
      </c>
      <c r="E12" s="7" t="n"/>
      <c r="F12" s="7" t="n"/>
      <c r="G12" s="21" t="n"/>
    </row>
    <row r="13">
      <c r="A13" s="6" t="n">
        <v>46085</v>
      </c>
      <c r="B13" s="7" t="inlineStr">
        <is>
          <t>srijeda</t>
        </is>
      </c>
      <c r="C13" s="7" t="inlineStr">
        <is>
          <t>ožujak</t>
        </is>
      </c>
      <c r="D13" s="7" t="inlineStr">
        <is>
          <t>x</t>
        </is>
      </c>
      <c r="E13" s="7" t="n"/>
      <c r="F13" s="7" t="n"/>
      <c r="G13" s="21" t="n"/>
    </row>
    <row r="14">
      <c r="A14" s="6" t="n">
        <v>46092</v>
      </c>
      <c r="B14" s="7" t="inlineStr">
        <is>
          <t>srijeda</t>
        </is>
      </c>
      <c r="C14" s="7" t="inlineStr">
        <is>
          <t>ožujak</t>
        </is>
      </c>
      <c r="D14" s="7" t="inlineStr">
        <is>
          <t>x</t>
        </is>
      </c>
      <c r="E14" s="7" t="n"/>
      <c r="F14" s="7" t="n"/>
      <c r="G14" s="21" t="n"/>
    </row>
    <row r="15">
      <c r="A15" s="6" t="n">
        <v>46099</v>
      </c>
      <c r="B15" s="7" t="inlineStr">
        <is>
          <t>srijeda</t>
        </is>
      </c>
      <c r="C15" s="7" t="inlineStr">
        <is>
          <t>ožujak</t>
        </is>
      </c>
      <c r="D15" s="7" t="n"/>
      <c r="E15" s="7" t="inlineStr">
        <is>
          <t>x</t>
        </is>
      </c>
      <c r="F15" s="7" t="inlineStr">
        <is>
          <t>x</t>
        </is>
      </c>
      <c r="G15" s="21" t="n"/>
    </row>
    <row r="16">
      <c r="A16" s="6" t="n">
        <v>46106</v>
      </c>
      <c r="B16" s="7" t="inlineStr">
        <is>
          <t>srijeda</t>
        </is>
      </c>
      <c r="C16" s="7" t="inlineStr">
        <is>
          <t>ožujak</t>
        </is>
      </c>
      <c r="D16" s="7" t="inlineStr">
        <is>
          <t>x</t>
        </is>
      </c>
      <c r="E16" s="7" t="n"/>
      <c r="F16" s="7" t="n"/>
      <c r="G16" s="21" t="n"/>
    </row>
    <row r="17">
      <c r="A17" s="6" t="n">
        <v>46113</v>
      </c>
      <c r="B17" s="7" t="inlineStr">
        <is>
          <t>srijeda</t>
        </is>
      </c>
      <c r="C17" s="7" t="inlineStr">
        <is>
          <t>travanj</t>
        </is>
      </c>
      <c r="D17" s="7" t="inlineStr">
        <is>
          <t>x</t>
        </is>
      </c>
      <c r="E17" s="7" t="n"/>
      <c r="F17" s="7" t="n"/>
      <c r="G17" s="21" t="n"/>
    </row>
    <row r="18">
      <c r="A18" s="6" t="n">
        <v>46120</v>
      </c>
      <c r="B18" s="7" t="inlineStr">
        <is>
          <t>srijeda</t>
        </is>
      </c>
      <c r="C18" s="7" t="inlineStr">
        <is>
          <t>travanj</t>
        </is>
      </c>
      <c r="D18" s="7" t="inlineStr">
        <is>
          <t>x</t>
        </is>
      </c>
      <c r="E18" s="7" t="n"/>
      <c r="F18" s="7" t="n"/>
      <c r="G18" s="21" t="n"/>
    </row>
    <row r="19">
      <c r="A19" s="6" t="n">
        <v>46127</v>
      </c>
      <c r="B19" s="7" t="inlineStr">
        <is>
          <t>srijeda</t>
        </is>
      </c>
      <c r="C19" s="7" t="inlineStr">
        <is>
          <t>travanj</t>
        </is>
      </c>
      <c r="D19" s="7" t="n"/>
      <c r="E19" s="7" t="inlineStr">
        <is>
          <t>x</t>
        </is>
      </c>
      <c r="F19" s="7" t="inlineStr">
        <is>
          <t>x</t>
        </is>
      </c>
      <c r="G19" s="21" t="n"/>
    </row>
    <row r="20">
      <c r="A20" s="6" t="n">
        <v>46134</v>
      </c>
      <c r="B20" s="7" t="inlineStr">
        <is>
          <t>srijeda</t>
        </is>
      </c>
      <c r="C20" s="7" t="inlineStr">
        <is>
          <t>travanj</t>
        </is>
      </c>
      <c r="D20" s="7" t="inlineStr">
        <is>
          <t>x</t>
        </is>
      </c>
      <c r="E20" s="7" t="n"/>
      <c r="F20" s="7" t="n"/>
      <c r="G20" s="21" t="n"/>
    </row>
    <row r="21">
      <c r="A21" s="22" t="n">
        <v>46140</v>
      </c>
      <c r="B21" s="23" t="inlineStr">
        <is>
          <t>utorak</t>
        </is>
      </c>
      <c r="C21" s="7" t="inlineStr">
        <is>
          <t>travanj</t>
        </is>
      </c>
      <c r="D21" s="7" t="inlineStr">
        <is>
          <t>x</t>
        </is>
      </c>
      <c r="E21" s="7" t="n"/>
      <c r="F21" s="7" t="n"/>
      <c r="G21" s="21" t="inlineStr">
        <is>
          <t>Pomaknuto zbog neradnog dana u tjednu</t>
        </is>
      </c>
    </row>
    <row r="22">
      <c r="A22" s="6" t="n">
        <v>46148</v>
      </c>
      <c r="B22" s="7" t="inlineStr">
        <is>
          <t>srijeda</t>
        </is>
      </c>
      <c r="C22" s="7" t="inlineStr">
        <is>
          <t>svibanj</t>
        </is>
      </c>
      <c r="D22" s="7" t="inlineStr">
        <is>
          <t>x</t>
        </is>
      </c>
      <c r="E22" s="7" t="n"/>
      <c r="F22" s="7" t="n"/>
      <c r="G22" s="21" t="n"/>
    </row>
    <row r="23">
      <c r="A23" s="6" t="n">
        <v>46155</v>
      </c>
      <c r="B23" s="7" t="inlineStr">
        <is>
          <t>srijeda</t>
        </is>
      </c>
      <c r="C23" s="7" t="inlineStr">
        <is>
          <t>svibanj</t>
        </is>
      </c>
      <c r="D23" s="7" t="n"/>
      <c r="E23" s="7" t="inlineStr">
        <is>
          <t>x</t>
        </is>
      </c>
      <c r="F23" s="7" t="inlineStr">
        <is>
          <t>x</t>
        </is>
      </c>
      <c r="G23" s="21" t="n"/>
    </row>
    <row r="24">
      <c r="A24" s="6" t="n">
        <v>46162</v>
      </c>
      <c r="B24" s="7" t="inlineStr">
        <is>
          <t>srijeda</t>
        </is>
      </c>
      <c r="C24" s="7" t="inlineStr">
        <is>
          <t>svibanj</t>
        </is>
      </c>
      <c r="D24" s="7" t="inlineStr">
        <is>
          <t>x</t>
        </is>
      </c>
      <c r="E24" s="7" t="n"/>
      <c r="F24" s="7" t="n"/>
      <c r="G24" s="21" t="n"/>
    </row>
    <row r="25">
      <c r="A25" s="6" t="n">
        <v>46169</v>
      </c>
      <c r="B25" s="7" t="inlineStr">
        <is>
          <t>srijeda</t>
        </is>
      </c>
      <c r="C25" s="7" t="inlineStr">
        <is>
          <t>svibanj</t>
        </is>
      </c>
      <c r="D25" s="7" t="inlineStr">
        <is>
          <t>x</t>
        </is>
      </c>
      <c r="E25" s="7" t="n"/>
      <c r="F25" s="7" t="n"/>
      <c r="G25" s="21" t="n"/>
    </row>
    <row r="26">
      <c r="A26" s="22" t="n">
        <v>46175</v>
      </c>
      <c r="B26" s="23" t="inlineStr">
        <is>
          <t>utorak</t>
        </is>
      </c>
      <c r="C26" s="7" t="inlineStr">
        <is>
          <t>lipanj</t>
        </is>
      </c>
      <c r="D26" s="7" t="inlineStr">
        <is>
          <t>x</t>
        </is>
      </c>
      <c r="E26" s="7" t="n"/>
      <c r="F26" s="7" t="n"/>
      <c r="G26" s="21" t="inlineStr">
        <is>
          <t>Pomaknuto zbog neradnog dana u tjednu</t>
        </is>
      </c>
    </row>
    <row r="27">
      <c r="A27" s="6" t="n">
        <v>46183</v>
      </c>
      <c r="B27" s="7" t="inlineStr">
        <is>
          <t>srijeda</t>
        </is>
      </c>
      <c r="C27" s="7" t="inlineStr">
        <is>
          <t>lipanj</t>
        </is>
      </c>
      <c r="D27" s="7" t="n"/>
      <c r="E27" s="7" t="inlineStr">
        <is>
          <t>x</t>
        </is>
      </c>
      <c r="F27" s="7" t="inlineStr">
        <is>
          <t>x</t>
        </is>
      </c>
      <c r="G27" s="21" t="n"/>
    </row>
    <row r="28">
      <c r="A28" s="6" t="n">
        <v>46190</v>
      </c>
      <c r="B28" s="7" t="inlineStr">
        <is>
          <t>srijeda</t>
        </is>
      </c>
      <c r="C28" s="7" t="inlineStr">
        <is>
          <t>lipanj</t>
        </is>
      </c>
      <c r="D28" s="7" t="inlineStr">
        <is>
          <t>x</t>
        </is>
      </c>
      <c r="E28" s="7" t="n"/>
      <c r="F28" s="7" t="n"/>
      <c r="G28" s="21" t="n"/>
    </row>
    <row r="29">
      <c r="A29" s="6" t="n">
        <v>46197</v>
      </c>
      <c r="B29" s="7" t="inlineStr">
        <is>
          <t>srijeda</t>
        </is>
      </c>
      <c r="C29" s="7" t="inlineStr">
        <is>
          <t>lipanj</t>
        </is>
      </c>
      <c r="D29" s="7" t="inlineStr">
        <is>
          <t>x</t>
        </is>
      </c>
      <c r="E29" s="7" t="n"/>
      <c r="F29" s="7" t="n"/>
      <c r="G29" s="21" t="n"/>
    </row>
    <row r="30">
      <c r="A30" s="6" t="n">
        <v>46204</v>
      </c>
      <c r="B30" s="7" t="inlineStr">
        <is>
          <t>srijeda</t>
        </is>
      </c>
      <c r="C30" s="7" t="inlineStr">
        <is>
          <t>srpanj</t>
        </is>
      </c>
      <c r="D30" s="7" t="inlineStr">
        <is>
          <t>x</t>
        </is>
      </c>
      <c r="E30" s="7" t="n"/>
      <c r="F30" s="7" t="n"/>
      <c r="G30" s="21" t="n"/>
    </row>
    <row r="31">
      <c r="A31" s="6" t="n">
        <v>46211</v>
      </c>
      <c r="B31" s="7" t="inlineStr">
        <is>
          <t>srijeda</t>
        </is>
      </c>
      <c r="C31" s="7" t="inlineStr">
        <is>
          <t>srpanj</t>
        </is>
      </c>
      <c r="D31" s="7" t="n"/>
      <c r="E31" s="7" t="inlineStr">
        <is>
          <t>x</t>
        </is>
      </c>
      <c r="F31" s="7" t="inlineStr">
        <is>
          <t>x</t>
        </is>
      </c>
      <c r="G31" s="21" t="n"/>
    </row>
    <row r="32">
      <c r="A32" s="6" t="n">
        <v>46218</v>
      </c>
      <c r="B32" s="7" t="inlineStr">
        <is>
          <t>srijeda</t>
        </is>
      </c>
      <c r="C32" s="7" t="inlineStr">
        <is>
          <t>srpanj</t>
        </is>
      </c>
      <c r="D32" s="7" t="inlineStr">
        <is>
          <t>x</t>
        </is>
      </c>
      <c r="E32" s="7" t="n"/>
      <c r="F32" s="7" t="n"/>
      <c r="G32" s="21" t="n"/>
    </row>
    <row r="33">
      <c r="A33" s="6" t="n">
        <v>46225</v>
      </c>
      <c r="B33" s="7" t="inlineStr">
        <is>
          <t>srijeda</t>
        </is>
      </c>
      <c r="C33" s="7" t="inlineStr">
        <is>
          <t>srpanj</t>
        </is>
      </c>
      <c r="D33" s="7" t="inlineStr">
        <is>
          <t>x</t>
        </is>
      </c>
      <c r="E33" s="7" t="n"/>
      <c r="F33" s="7" t="n"/>
      <c r="G33" s="21" t="n"/>
    </row>
    <row r="34">
      <c r="A34" s="6" t="n">
        <v>46232</v>
      </c>
      <c r="B34" s="7" t="inlineStr">
        <is>
          <t>srijeda</t>
        </is>
      </c>
      <c r="C34" s="7" t="inlineStr">
        <is>
          <t>srpanj</t>
        </is>
      </c>
      <c r="D34" s="7" t="inlineStr">
        <is>
          <t>x</t>
        </is>
      </c>
      <c r="E34" s="7" t="n"/>
      <c r="F34" s="7" t="n"/>
      <c r="G34" s="21" t="n"/>
    </row>
    <row r="35">
      <c r="A35" s="22" t="n">
        <v>46238</v>
      </c>
      <c r="B35" s="23" t="inlineStr">
        <is>
          <t>utorak</t>
        </is>
      </c>
      <c r="C35" s="7" t="inlineStr">
        <is>
          <t>kolovoz</t>
        </is>
      </c>
      <c r="D35" s="7" t="n"/>
      <c r="E35" s="7" t="inlineStr">
        <is>
          <t>x</t>
        </is>
      </c>
      <c r="F35" s="7" t="inlineStr">
        <is>
          <t>x</t>
        </is>
      </c>
      <c r="G35" s="21" t="inlineStr">
        <is>
          <t>Pomaknuto zbog neradnog dana u tjednu</t>
        </is>
      </c>
    </row>
    <row r="36">
      <c r="A36" s="6" t="n">
        <v>46246</v>
      </c>
      <c r="B36" s="7" t="inlineStr">
        <is>
          <t>srijeda</t>
        </is>
      </c>
      <c r="C36" s="7" t="inlineStr">
        <is>
          <t>kolovoz</t>
        </is>
      </c>
      <c r="D36" s="7" t="inlineStr">
        <is>
          <t>x</t>
        </is>
      </c>
      <c r="E36" s="7" t="n"/>
      <c r="F36" s="7" t="n"/>
      <c r="G36" s="21" t="n"/>
    </row>
    <row r="37">
      <c r="A37" s="6" t="n">
        <v>46253</v>
      </c>
      <c r="B37" s="7" t="inlineStr">
        <is>
          <t>srijeda</t>
        </is>
      </c>
      <c r="C37" s="7" t="inlineStr">
        <is>
          <t>kolovoz</t>
        </is>
      </c>
      <c r="D37" s="7" t="inlineStr">
        <is>
          <t>x</t>
        </is>
      </c>
      <c r="E37" s="7" t="n"/>
      <c r="F37" s="7" t="n"/>
      <c r="G37" s="21" t="n"/>
    </row>
    <row r="38">
      <c r="A38" s="6" t="n">
        <v>46260</v>
      </c>
      <c r="B38" s="7" t="inlineStr">
        <is>
          <t>srijeda</t>
        </is>
      </c>
      <c r="C38" s="7" t="inlineStr">
        <is>
          <t>kolovoz</t>
        </is>
      </c>
      <c r="D38" s="7" t="inlineStr">
        <is>
          <t>x</t>
        </is>
      </c>
      <c r="E38" s="7" t="n"/>
      <c r="F38" s="7" t="n"/>
      <c r="G38" s="21" t="n"/>
    </row>
    <row r="39">
      <c r="A39" s="6" t="n">
        <v>46267</v>
      </c>
      <c r="B39" s="7" t="inlineStr">
        <is>
          <t>srijeda</t>
        </is>
      </c>
      <c r="C39" s="7" t="inlineStr">
        <is>
          <t>rujan</t>
        </is>
      </c>
      <c r="D39" s="7" t="n"/>
      <c r="E39" s="7" t="inlineStr">
        <is>
          <t>x</t>
        </is>
      </c>
      <c r="F39" s="7" t="inlineStr">
        <is>
          <t>x</t>
        </is>
      </c>
      <c r="G39" s="21" t="n"/>
    </row>
    <row r="40">
      <c r="A40" s="6" t="n">
        <v>46274</v>
      </c>
      <c r="B40" s="7" t="inlineStr">
        <is>
          <t>srijeda</t>
        </is>
      </c>
      <c r="C40" s="7" t="inlineStr">
        <is>
          <t>rujan</t>
        </is>
      </c>
      <c r="D40" s="7" t="inlineStr">
        <is>
          <t>x</t>
        </is>
      </c>
      <c r="E40" s="7" t="n"/>
      <c r="F40" s="7" t="n"/>
      <c r="G40" s="21" t="n"/>
    </row>
    <row r="41">
      <c r="A41" s="6" t="n">
        <v>46281</v>
      </c>
      <c r="B41" s="7" t="inlineStr">
        <is>
          <t>srijeda</t>
        </is>
      </c>
      <c r="C41" s="7" t="inlineStr">
        <is>
          <t>rujan</t>
        </is>
      </c>
      <c r="D41" s="7" t="inlineStr">
        <is>
          <t>x</t>
        </is>
      </c>
      <c r="E41" s="7" t="n"/>
      <c r="F41" s="7" t="n"/>
      <c r="G41" s="21" t="n"/>
    </row>
    <row r="42">
      <c r="A42" s="6" t="n">
        <v>46288</v>
      </c>
      <c r="B42" s="7" t="inlineStr">
        <is>
          <t>srijeda</t>
        </is>
      </c>
      <c r="C42" s="7" t="inlineStr">
        <is>
          <t>rujan</t>
        </is>
      </c>
      <c r="D42" s="7" t="inlineStr">
        <is>
          <t>x</t>
        </is>
      </c>
      <c r="E42" s="7" t="n"/>
      <c r="F42" s="7" t="n"/>
      <c r="G42" s="21" t="n"/>
    </row>
    <row r="43">
      <c r="A43" s="6" t="n">
        <v>46295</v>
      </c>
      <c r="B43" s="7" t="inlineStr">
        <is>
          <t>srijeda</t>
        </is>
      </c>
      <c r="C43" s="7" t="inlineStr">
        <is>
          <t>rujan</t>
        </is>
      </c>
      <c r="D43" s="7" t="n"/>
      <c r="E43" s="7" t="inlineStr">
        <is>
          <t>x</t>
        </is>
      </c>
      <c r="F43" s="7" t="inlineStr">
        <is>
          <t>x</t>
        </is>
      </c>
      <c r="G43" s="21" t="n"/>
    </row>
    <row r="44">
      <c r="A44" s="6" t="n">
        <v>46302</v>
      </c>
      <c r="B44" s="7" t="inlineStr">
        <is>
          <t>srijeda</t>
        </is>
      </c>
      <c r="C44" s="7" t="inlineStr">
        <is>
          <t>listopad</t>
        </is>
      </c>
      <c r="D44" s="7" t="inlineStr">
        <is>
          <t>x</t>
        </is>
      </c>
      <c r="E44" s="7" t="n"/>
      <c r="F44" s="7" t="n"/>
      <c r="G44" s="21" t="n"/>
    </row>
    <row r="45">
      <c r="A45" s="6" t="n">
        <v>46309</v>
      </c>
      <c r="B45" s="7" t="inlineStr">
        <is>
          <t>srijeda</t>
        </is>
      </c>
      <c r="C45" s="7" t="inlineStr">
        <is>
          <t>listopad</t>
        </is>
      </c>
      <c r="D45" s="7" t="inlineStr">
        <is>
          <t>x</t>
        </is>
      </c>
      <c r="E45" s="7" t="n"/>
      <c r="F45" s="7" t="n"/>
      <c r="G45" s="21" t="n"/>
    </row>
    <row r="46">
      <c r="A46" s="6" t="n">
        <v>46316</v>
      </c>
      <c r="B46" s="7" t="inlineStr">
        <is>
          <t>srijeda</t>
        </is>
      </c>
      <c r="C46" s="7" t="inlineStr">
        <is>
          <t>listopad</t>
        </is>
      </c>
      <c r="D46" s="7" t="inlineStr">
        <is>
          <t>x</t>
        </is>
      </c>
      <c r="E46" s="7" t="n"/>
      <c r="F46" s="7" t="n"/>
      <c r="G46" s="21" t="n"/>
    </row>
    <row r="47">
      <c r="A47" s="6" t="n">
        <v>46323</v>
      </c>
      <c r="B47" s="7" t="inlineStr">
        <is>
          <t>srijeda</t>
        </is>
      </c>
      <c r="C47" s="7" t="inlineStr">
        <is>
          <t>listopad</t>
        </is>
      </c>
      <c r="D47" s="7" t="n"/>
      <c r="E47" s="7" t="inlineStr">
        <is>
          <t>x</t>
        </is>
      </c>
      <c r="F47" s="7" t="inlineStr">
        <is>
          <t>x</t>
        </is>
      </c>
      <c r="G47" s="21" t="n"/>
    </row>
    <row r="48">
      <c r="A48" s="6" t="n">
        <v>46330</v>
      </c>
      <c r="B48" s="7" t="inlineStr">
        <is>
          <t>srijeda</t>
        </is>
      </c>
      <c r="C48" s="7" t="inlineStr">
        <is>
          <t>studeni</t>
        </is>
      </c>
      <c r="D48" s="7" t="inlineStr">
        <is>
          <t>x</t>
        </is>
      </c>
      <c r="E48" s="7" t="n"/>
      <c r="F48" s="7" t="n"/>
      <c r="G48" s="21" t="n"/>
    </row>
    <row r="49">
      <c r="A49" s="6" t="n">
        <v>46337</v>
      </c>
      <c r="B49" s="7" t="inlineStr">
        <is>
          <t>srijeda</t>
        </is>
      </c>
      <c r="C49" s="7" t="inlineStr">
        <is>
          <t>studeni</t>
        </is>
      </c>
      <c r="D49" s="7" t="inlineStr">
        <is>
          <t>x</t>
        </is>
      </c>
      <c r="E49" s="7" t="n"/>
      <c r="F49" s="7" t="n"/>
      <c r="G49" s="21" t="n"/>
    </row>
    <row r="50">
      <c r="A50" s="22" t="n">
        <v>46343</v>
      </c>
      <c r="B50" s="23" t="inlineStr">
        <is>
          <t>utorak</t>
        </is>
      </c>
      <c r="C50" s="7" t="inlineStr">
        <is>
          <t>studeni</t>
        </is>
      </c>
      <c r="D50" s="7" t="inlineStr">
        <is>
          <t>x</t>
        </is>
      </c>
      <c r="E50" s="7" t="n"/>
      <c r="F50" s="7" t="n"/>
      <c r="G50" s="21" t="inlineStr">
        <is>
          <t>Pomaknuto zbog neradnog dana u tjednu</t>
        </is>
      </c>
    </row>
    <row r="51">
      <c r="A51" s="6" t="n">
        <v>46351</v>
      </c>
      <c r="B51" s="7" t="inlineStr">
        <is>
          <t>srijeda</t>
        </is>
      </c>
      <c r="C51" s="7" t="inlineStr">
        <is>
          <t>studeni</t>
        </is>
      </c>
      <c r="D51" s="7" t="n"/>
      <c r="E51" s="7" t="inlineStr">
        <is>
          <t>x</t>
        </is>
      </c>
      <c r="F51" s="7" t="inlineStr">
        <is>
          <t>x</t>
        </is>
      </c>
      <c r="G51" s="21" t="n"/>
    </row>
    <row r="52">
      <c r="A52" s="6" t="n">
        <v>46358</v>
      </c>
      <c r="B52" s="7" t="inlineStr">
        <is>
          <t>srijeda</t>
        </is>
      </c>
      <c r="C52" s="7" t="inlineStr">
        <is>
          <t>prosinac</t>
        </is>
      </c>
      <c r="D52" s="7" t="inlineStr">
        <is>
          <t>x</t>
        </is>
      </c>
      <c r="E52" s="7" t="n"/>
      <c r="F52" s="7" t="n"/>
      <c r="G52" s="21" t="n"/>
    </row>
    <row r="53">
      <c r="A53" s="6" t="n">
        <v>46365</v>
      </c>
      <c r="B53" s="7" t="inlineStr">
        <is>
          <t>srijeda</t>
        </is>
      </c>
      <c r="C53" s="7" t="inlineStr">
        <is>
          <t>prosinac</t>
        </is>
      </c>
      <c r="D53" s="7" t="inlineStr">
        <is>
          <t>x</t>
        </is>
      </c>
      <c r="E53" s="7" t="n"/>
      <c r="F53" s="7" t="n"/>
      <c r="G53" s="21" t="n"/>
    </row>
    <row r="54">
      <c r="A54" s="6" t="n">
        <v>46372</v>
      </c>
      <c r="B54" s="7" t="inlineStr">
        <is>
          <t>srijeda</t>
        </is>
      </c>
      <c r="C54" s="7" t="inlineStr">
        <is>
          <t>prosinac</t>
        </is>
      </c>
      <c r="D54" s="7" t="inlineStr">
        <is>
          <t>x</t>
        </is>
      </c>
      <c r="E54" s="7" t="n"/>
      <c r="F54" s="7" t="n"/>
      <c r="G54" s="21" t="n"/>
    </row>
    <row r="55">
      <c r="A55" s="22" t="n">
        <v>46378</v>
      </c>
      <c r="B55" s="23" t="inlineStr">
        <is>
          <t>utorak</t>
        </is>
      </c>
      <c r="C55" s="7" t="inlineStr">
        <is>
          <t>prosinac</t>
        </is>
      </c>
      <c r="D55" s="7" t="n"/>
      <c r="E55" s="7" t="inlineStr">
        <is>
          <t>x</t>
        </is>
      </c>
      <c r="F55" s="7" t="inlineStr">
        <is>
          <t>x</t>
        </is>
      </c>
      <c r="G55" s="21" t="inlineStr">
        <is>
          <t>Pomaknuto zbog neradnog dana u tjednu</t>
        </is>
      </c>
    </row>
    <row r="56">
      <c r="A56" s="22" t="n">
        <v>46385</v>
      </c>
      <c r="B56" s="23" t="inlineStr">
        <is>
          <t>utorak</t>
        </is>
      </c>
      <c r="C56" s="7" t="inlineStr">
        <is>
          <t>prosinac</t>
        </is>
      </c>
      <c r="D56" s="7" t="inlineStr">
        <is>
          <t>x</t>
        </is>
      </c>
      <c r="E56" s="7" t="n"/>
      <c r="F56" s="7" t="n"/>
      <c r="G56" s="21" t="inlineStr">
        <is>
          <t>Pomaknuto zbog neradnog dana u tjednu</t>
        </is>
      </c>
    </row>
  </sheetData>
  <autoFilter ref="A4:G56"/>
  <conditionalFormatting sqref="D5:D56">
    <cfRule type="expression" priority="1" dxfId="0">
      <formula>D5="x"</formula>
    </cfRule>
  </conditionalFormatting>
  <conditionalFormatting sqref="E5:E56">
    <cfRule type="expression" priority="2" dxfId="1">
      <formula>E5="x"</formula>
    </cfRule>
  </conditionalFormatting>
  <conditionalFormatting sqref="F5:F56">
    <cfRule type="expression" priority="3" dxfId="2">
      <formula>F5="x"</formula>
    </cfRule>
  </conditionalFormatting>
  <conditionalFormatting sqref="A5:G56">
    <cfRule type="expression" priority="4" dxfId="3"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6"/>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4" t="n">
        <v>46029</v>
      </c>
      <c r="B2" s="15" t="inlineStr">
        <is>
          <t>srijeda</t>
        </is>
      </c>
      <c r="C2" s="5" t="inlineStr">
        <is>
          <t>Miješani komunalni otpad</t>
        </is>
      </c>
      <c r="D2" s="15" t="n"/>
    </row>
    <row r="3">
      <c r="A3" s="24" t="n">
        <v>46036</v>
      </c>
      <c r="B3" s="15" t="inlineStr">
        <is>
          <t>srijeda</t>
        </is>
      </c>
      <c r="C3" s="5" t="inlineStr">
        <is>
          <t>Miješani komunalni otpad</t>
        </is>
      </c>
      <c r="D3" s="15" t="n"/>
    </row>
    <row r="4">
      <c r="A4" s="24" t="n">
        <v>46043</v>
      </c>
      <c r="B4" s="15" t="inlineStr">
        <is>
          <t>srijeda</t>
        </is>
      </c>
      <c r="C4" s="9" t="inlineStr">
        <is>
          <t>Plastika i metal</t>
        </is>
      </c>
      <c r="D4" s="15" t="n"/>
    </row>
    <row r="5">
      <c r="A5" s="24" t="n">
        <v>46043</v>
      </c>
      <c r="B5" s="15" t="inlineStr">
        <is>
          <t>srijeda</t>
        </is>
      </c>
      <c r="C5" s="10" t="inlineStr">
        <is>
          <t>Papir i karton</t>
        </is>
      </c>
      <c r="D5" s="15" t="n"/>
    </row>
    <row r="6">
      <c r="A6" s="24" t="n">
        <v>46050</v>
      </c>
      <c r="B6" s="15" t="inlineStr">
        <is>
          <t>srijeda</t>
        </is>
      </c>
      <c r="C6" s="5" t="inlineStr">
        <is>
          <t>Miješani komunalni otpad</t>
        </is>
      </c>
      <c r="D6" s="15" t="n"/>
    </row>
    <row r="7">
      <c r="A7" s="24" t="n">
        <v>46057</v>
      </c>
      <c r="B7" s="15" t="inlineStr">
        <is>
          <t>srijeda</t>
        </is>
      </c>
      <c r="C7" s="5" t="inlineStr">
        <is>
          <t>Miješani komunalni otpad</t>
        </is>
      </c>
      <c r="D7" s="15" t="n"/>
    </row>
    <row r="8">
      <c r="A8" s="24" t="n">
        <v>46064</v>
      </c>
      <c r="B8" s="15" t="inlineStr">
        <is>
          <t>srijeda</t>
        </is>
      </c>
      <c r="C8" s="5" t="inlineStr">
        <is>
          <t>Miješani komunalni otpad</t>
        </is>
      </c>
      <c r="D8" s="15" t="n"/>
    </row>
    <row r="9">
      <c r="A9" s="24" t="n">
        <v>46071</v>
      </c>
      <c r="B9" s="15" t="inlineStr">
        <is>
          <t>srijeda</t>
        </is>
      </c>
      <c r="C9" s="9" t="inlineStr">
        <is>
          <t>Plastika i metal</t>
        </is>
      </c>
      <c r="D9" s="15" t="n"/>
    </row>
    <row r="10">
      <c r="A10" s="24" t="n">
        <v>46071</v>
      </c>
      <c r="B10" s="15" t="inlineStr">
        <is>
          <t>srijeda</t>
        </is>
      </c>
      <c r="C10" s="10" t="inlineStr">
        <is>
          <t>Papir i karton</t>
        </is>
      </c>
      <c r="D10" s="15" t="n"/>
    </row>
    <row r="11">
      <c r="A11" s="24" t="n">
        <v>46078</v>
      </c>
      <c r="B11" s="15" t="inlineStr">
        <is>
          <t>srijeda</t>
        </is>
      </c>
      <c r="C11" s="5" t="inlineStr">
        <is>
          <t>Miješani komunalni otpad</t>
        </is>
      </c>
      <c r="D11" s="15" t="n"/>
    </row>
    <row r="12">
      <c r="A12" s="24" t="n">
        <v>46085</v>
      </c>
      <c r="B12" s="15" t="inlineStr">
        <is>
          <t>srijeda</t>
        </is>
      </c>
      <c r="C12" s="5" t="inlineStr">
        <is>
          <t>Miješani komunalni otpad</t>
        </is>
      </c>
      <c r="D12" s="15" t="n"/>
    </row>
    <row r="13">
      <c r="A13" s="24" t="n">
        <v>46092</v>
      </c>
      <c r="B13" s="15" t="inlineStr">
        <is>
          <t>srijeda</t>
        </is>
      </c>
      <c r="C13" s="5" t="inlineStr">
        <is>
          <t>Miješani komunalni otpad</t>
        </is>
      </c>
      <c r="D13" s="15" t="n"/>
    </row>
    <row r="14">
      <c r="A14" s="24" t="n">
        <v>46099</v>
      </c>
      <c r="B14" s="15" t="inlineStr">
        <is>
          <t>srijeda</t>
        </is>
      </c>
      <c r="C14" s="9" t="inlineStr">
        <is>
          <t>Plastika i metal</t>
        </is>
      </c>
      <c r="D14" s="15" t="n"/>
    </row>
    <row r="15">
      <c r="A15" s="24" t="n">
        <v>46099</v>
      </c>
      <c r="B15" s="15" t="inlineStr">
        <is>
          <t>srijeda</t>
        </is>
      </c>
      <c r="C15" s="10" t="inlineStr">
        <is>
          <t>Papir i karton</t>
        </is>
      </c>
      <c r="D15" s="15" t="n"/>
    </row>
    <row r="16">
      <c r="A16" s="24" t="n">
        <v>46106</v>
      </c>
      <c r="B16" s="15" t="inlineStr">
        <is>
          <t>srijeda</t>
        </is>
      </c>
      <c r="C16" s="5" t="inlineStr">
        <is>
          <t>Miješani komunalni otpad</t>
        </is>
      </c>
      <c r="D16" s="15" t="n"/>
    </row>
    <row r="17">
      <c r="A17" s="24" t="n">
        <v>46113</v>
      </c>
      <c r="B17" s="15" t="inlineStr">
        <is>
          <t>srijeda</t>
        </is>
      </c>
      <c r="C17" s="5" t="inlineStr">
        <is>
          <t>Miješani komunalni otpad</t>
        </is>
      </c>
      <c r="D17" s="15" t="n"/>
    </row>
    <row r="18">
      <c r="A18" s="24" t="n">
        <v>46120</v>
      </c>
      <c r="B18" s="15" t="inlineStr">
        <is>
          <t>srijeda</t>
        </is>
      </c>
      <c r="C18" s="5" t="inlineStr">
        <is>
          <t>Miješani komunalni otpad</t>
        </is>
      </c>
      <c r="D18" s="15" t="n"/>
    </row>
    <row r="19">
      <c r="A19" s="24" t="n">
        <v>46127</v>
      </c>
      <c r="B19" s="15" t="inlineStr">
        <is>
          <t>srijeda</t>
        </is>
      </c>
      <c r="C19" s="9" t="inlineStr">
        <is>
          <t>Plastika i metal</t>
        </is>
      </c>
      <c r="D19" s="15" t="n"/>
    </row>
    <row r="20">
      <c r="A20" s="24" t="n">
        <v>46127</v>
      </c>
      <c r="B20" s="15" t="inlineStr">
        <is>
          <t>srijeda</t>
        </is>
      </c>
      <c r="C20" s="10" t="inlineStr">
        <is>
          <t>Papir i karton</t>
        </is>
      </c>
      <c r="D20" s="15" t="n"/>
    </row>
    <row r="21">
      <c r="A21" s="24" t="n">
        <v>46134</v>
      </c>
      <c r="B21" s="15" t="inlineStr">
        <is>
          <t>srijeda</t>
        </is>
      </c>
      <c r="C21" s="5" t="inlineStr">
        <is>
          <t>Miješani komunalni otpad</t>
        </is>
      </c>
      <c r="D21" s="15" t="n"/>
    </row>
    <row r="22">
      <c r="A22" s="24" t="n">
        <v>46140</v>
      </c>
      <c r="B22" s="15" t="inlineStr">
        <is>
          <t>utorak</t>
        </is>
      </c>
      <c r="C22" s="5" t="inlineStr">
        <is>
          <t>Miješani komunalni otpad</t>
        </is>
      </c>
      <c r="D22" s="15" t="inlineStr">
        <is>
          <t>Pomaknuto zbog neradnog dana u tjednu</t>
        </is>
      </c>
    </row>
    <row r="23">
      <c r="A23" s="24" t="n">
        <v>46148</v>
      </c>
      <c r="B23" s="15" t="inlineStr">
        <is>
          <t>srijeda</t>
        </is>
      </c>
      <c r="C23" s="5" t="inlineStr">
        <is>
          <t>Miješani komunalni otpad</t>
        </is>
      </c>
      <c r="D23" s="15" t="n"/>
    </row>
    <row r="24">
      <c r="A24" s="24" t="n">
        <v>46155</v>
      </c>
      <c r="B24" s="15" t="inlineStr">
        <is>
          <t>srijeda</t>
        </is>
      </c>
      <c r="C24" s="9" t="inlineStr">
        <is>
          <t>Plastika i metal</t>
        </is>
      </c>
      <c r="D24" s="15" t="n"/>
    </row>
    <row r="25">
      <c r="A25" s="24" t="n">
        <v>46155</v>
      </c>
      <c r="B25" s="15" t="inlineStr">
        <is>
          <t>srijeda</t>
        </is>
      </c>
      <c r="C25" s="10" t="inlineStr">
        <is>
          <t>Papir i karton</t>
        </is>
      </c>
      <c r="D25" s="15" t="n"/>
    </row>
    <row r="26">
      <c r="A26" s="24" t="n">
        <v>46162</v>
      </c>
      <c r="B26" s="15" t="inlineStr">
        <is>
          <t>srijeda</t>
        </is>
      </c>
      <c r="C26" s="5" t="inlineStr">
        <is>
          <t>Miješani komunalni otpad</t>
        </is>
      </c>
      <c r="D26" s="15" t="n"/>
    </row>
    <row r="27">
      <c r="A27" s="24" t="n">
        <v>46169</v>
      </c>
      <c r="B27" s="15" t="inlineStr">
        <is>
          <t>srijeda</t>
        </is>
      </c>
      <c r="C27" s="5" t="inlineStr">
        <is>
          <t>Miješani komunalni otpad</t>
        </is>
      </c>
      <c r="D27" s="15" t="n"/>
    </row>
    <row r="28">
      <c r="A28" s="24" t="n">
        <v>46175</v>
      </c>
      <c r="B28" s="15" t="inlineStr">
        <is>
          <t>utorak</t>
        </is>
      </c>
      <c r="C28" s="5" t="inlineStr">
        <is>
          <t>Miješani komunalni otpad</t>
        </is>
      </c>
      <c r="D28" s="15" t="inlineStr">
        <is>
          <t>Pomaknuto zbog neradnog dana u tjednu</t>
        </is>
      </c>
    </row>
    <row r="29">
      <c r="A29" s="24" t="n">
        <v>46183</v>
      </c>
      <c r="B29" s="15" t="inlineStr">
        <is>
          <t>srijeda</t>
        </is>
      </c>
      <c r="C29" s="9" t="inlineStr">
        <is>
          <t>Plastika i metal</t>
        </is>
      </c>
      <c r="D29" s="15" t="n"/>
    </row>
    <row r="30">
      <c r="A30" s="24" t="n">
        <v>46183</v>
      </c>
      <c r="B30" s="15" t="inlineStr">
        <is>
          <t>srijeda</t>
        </is>
      </c>
      <c r="C30" s="10" t="inlineStr">
        <is>
          <t>Papir i karton</t>
        </is>
      </c>
      <c r="D30" s="15" t="n"/>
    </row>
    <row r="31">
      <c r="A31" s="24" t="n">
        <v>46190</v>
      </c>
      <c r="B31" s="15" t="inlineStr">
        <is>
          <t>srijeda</t>
        </is>
      </c>
      <c r="C31" s="5" t="inlineStr">
        <is>
          <t>Miješani komunalni otpad</t>
        </is>
      </c>
      <c r="D31" s="15" t="n"/>
    </row>
    <row r="32">
      <c r="A32" s="24" t="n">
        <v>46197</v>
      </c>
      <c r="B32" s="15" t="inlineStr">
        <is>
          <t>srijeda</t>
        </is>
      </c>
      <c r="C32" s="5" t="inlineStr">
        <is>
          <t>Miješani komunalni otpad</t>
        </is>
      </c>
      <c r="D32" s="15" t="n"/>
    </row>
    <row r="33">
      <c r="A33" s="24" t="n">
        <v>46204</v>
      </c>
      <c r="B33" s="15" t="inlineStr">
        <is>
          <t>srijeda</t>
        </is>
      </c>
      <c r="C33" s="5" t="inlineStr">
        <is>
          <t>Miješani komunalni otpad</t>
        </is>
      </c>
      <c r="D33" s="15" t="n"/>
    </row>
    <row r="34">
      <c r="A34" s="24" t="n">
        <v>46211</v>
      </c>
      <c r="B34" s="15" t="inlineStr">
        <is>
          <t>srijeda</t>
        </is>
      </c>
      <c r="C34" s="9" t="inlineStr">
        <is>
          <t>Plastika i metal</t>
        </is>
      </c>
      <c r="D34" s="15" t="n"/>
    </row>
    <row r="35">
      <c r="A35" s="24" t="n">
        <v>46211</v>
      </c>
      <c r="B35" s="15" t="inlineStr">
        <is>
          <t>srijeda</t>
        </is>
      </c>
      <c r="C35" s="10" t="inlineStr">
        <is>
          <t>Papir i karton</t>
        </is>
      </c>
      <c r="D35" s="15" t="n"/>
    </row>
    <row r="36">
      <c r="A36" s="24" t="n">
        <v>46218</v>
      </c>
      <c r="B36" s="15" t="inlineStr">
        <is>
          <t>srijeda</t>
        </is>
      </c>
      <c r="C36" s="5" t="inlineStr">
        <is>
          <t>Miješani komunalni otpad</t>
        </is>
      </c>
      <c r="D36" s="15" t="n"/>
    </row>
    <row r="37">
      <c r="A37" s="24" t="n">
        <v>46225</v>
      </c>
      <c r="B37" s="15" t="inlineStr">
        <is>
          <t>srijeda</t>
        </is>
      </c>
      <c r="C37" s="5" t="inlineStr">
        <is>
          <t>Miješani komunalni otpad</t>
        </is>
      </c>
      <c r="D37" s="15" t="n"/>
    </row>
    <row r="38">
      <c r="A38" s="24" t="n">
        <v>46232</v>
      </c>
      <c r="B38" s="15" t="inlineStr">
        <is>
          <t>srijeda</t>
        </is>
      </c>
      <c r="C38" s="5" t="inlineStr">
        <is>
          <t>Miješani komunalni otpad</t>
        </is>
      </c>
      <c r="D38" s="15" t="n"/>
    </row>
    <row r="39">
      <c r="A39" s="24" t="n">
        <v>46238</v>
      </c>
      <c r="B39" s="15" t="inlineStr">
        <is>
          <t>utorak</t>
        </is>
      </c>
      <c r="C39" s="9" t="inlineStr">
        <is>
          <t>Plastika i metal</t>
        </is>
      </c>
      <c r="D39" s="15" t="inlineStr">
        <is>
          <t>Pomaknuto zbog neradnog dana u tjednu</t>
        </is>
      </c>
    </row>
    <row r="40">
      <c r="A40" s="24" t="n">
        <v>46238</v>
      </c>
      <c r="B40" s="15" t="inlineStr">
        <is>
          <t>utorak</t>
        </is>
      </c>
      <c r="C40" s="10" t="inlineStr">
        <is>
          <t>Papir i karton</t>
        </is>
      </c>
      <c r="D40" s="15" t="inlineStr">
        <is>
          <t>Pomaknuto zbog neradnog dana u tjednu</t>
        </is>
      </c>
    </row>
    <row r="41">
      <c r="A41" s="24" t="n">
        <v>46246</v>
      </c>
      <c r="B41" s="15" t="inlineStr">
        <is>
          <t>srijeda</t>
        </is>
      </c>
      <c r="C41" s="5" t="inlineStr">
        <is>
          <t>Miješani komunalni otpad</t>
        </is>
      </c>
      <c r="D41" s="15" t="n"/>
    </row>
    <row r="42">
      <c r="A42" s="24" t="n">
        <v>46253</v>
      </c>
      <c r="B42" s="15" t="inlineStr">
        <is>
          <t>srijeda</t>
        </is>
      </c>
      <c r="C42" s="5" t="inlineStr">
        <is>
          <t>Miješani komunalni otpad</t>
        </is>
      </c>
      <c r="D42" s="15" t="n"/>
    </row>
    <row r="43">
      <c r="A43" s="24" t="n">
        <v>46260</v>
      </c>
      <c r="B43" s="15" t="inlineStr">
        <is>
          <t>srijeda</t>
        </is>
      </c>
      <c r="C43" s="5" t="inlineStr">
        <is>
          <t>Miješani komunalni otpad</t>
        </is>
      </c>
      <c r="D43" s="15" t="n"/>
    </row>
    <row r="44">
      <c r="A44" s="24" t="n">
        <v>46267</v>
      </c>
      <c r="B44" s="15" t="inlineStr">
        <is>
          <t>srijeda</t>
        </is>
      </c>
      <c r="C44" s="9" t="inlineStr">
        <is>
          <t>Plastika i metal</t>
        </is>
      </c>
      <c r="D44" s="15" t="n"/>
    </row>
    <row r="45">
      <c r="A45" s="24" t="n">
        <v>46267</v>
      </c>
      <c r="B45" s="15" t="inlineStr">
        <is>
          <t>srijeda</t>
        </is>
      </c>
      <c r="C45" s="10" t="inlineStr">
        <is>
          <t>Papir i karton</t>
        </is>
      </c>
      <c r="D45" s="15" t="n"/>
    </row>
    <row r="46">
      <c r="A46" s="24" t="n">
        <v>46274</v>
      </c>
      <c r="B46" s="15" t="inlineStr">
        <is>
          <t>srijeda</t>
        </is>
      </c>
      <c r="C46" s="5" t="inlineStr">
        <is>
          <t>Miješani komunalni otpad</t>
        </is>
      </c>
      <c r="D46" s="15" t="n"/>
    </row>
    <row r="47">
      <c r="A47" s="24" t="n">
        <v>46281</v>
      </c>
      <c r="B47" s="15" t="inlineStr">
        <is>
          <t>srijeda</t>
        </is>
      </c>
      <c r="C47" s="5" t="inlineStr">
        <is>
          <t>Miješani komunalni otpad</t>
        </is>
      </c>
      <c r="D47" s="15" t="n"/>
    </row>
    <row r="48">
      <c r="A48" s="24" t="n">
        <v>46288</v>
      </c>
      <c r="B48" s="15" t="inlineStr">
        <is>
          <t>srijeda</t>
        </is>
      </c>
      <c r="C48" s="5" t="inlineStr">
        <is>
          <t>Miješani komunalni otpad</t>
        </is>
      </c>
      <c r="D48" s="15" t="n"/>
    </row>
    <row r="49">
      <c r="A49" s="24" t="n">
        <v>46295</v>
      </c>
      <c r="B49" s="15" t="inlineStr">
        <is>
          <t>srijeda</t>
        </is>
      </c>
      <c r="C49" s="9" t="inlineStr">
        <is>
          <t>Plastika i metal</t>
        </is>
      </c>
      <c r="D49" s="15" t="n"/>
    </row>
    <row r="50">
      <c r="A50" s="24" t="n">
        <v>46295</v>
      </c>
      <c r="B50" s="15" t="inlineStr">
        <is>
          <t>srijeda</t>
        </is>
      </c>
      <c r="C50" s="10" t="inlineStr">
        <is>
          <t>Papir i karton</t>
        </is>
      </c>
      <c r="D50" s="15" t="n"/>
    </row>
    <row r="51">
      <c r="A51" s="24" t="n">
        <v>46302</v>
      </c>
      <c r="B51" s="15" t="inlineStr">
        <is>
          <t>srijeda</t>
        </is>
      </c>
      <c r="C51" s="5" t="inlineStr">
        <is>
          <t>Miješani komunalni otpad</t>
        </is>
      </c>
      <c r="D51" s="15" t="n"/>
    </row>
    <row r="52">
      <c r="A52" s="24" t="n">
        <v>46309</v>
      </c>
      <c r="B52" s="15" t="inlineStr">
        <is>
          <t>srijeda</t>
        </is>
      </c>
      <c r="C52" s="5" t="inlineStr">
        <is>
          <t>Miješani komunalni otpad</t>
        </is>
      </c>
      <c r="D52" s="15" t="n"/>
    </row>
    <row r="53">
      <c r="A53" s="24" t="n">
        <v>46316</v>
      </c>
      <c r="B53" s="15" t="inlineStr">
        <is>
          <t>srijeda</t>
        </is>
      </c>
      <c r="C53" s="5" t="inlineStr">
        <is>
          <t>Miješani komunalni otpad</t>
        </is>
      </c>
      <c r="D53" s="15" t="n"/>
    </row>
    <row r="54">
      <c r="A54" s="24" t="n">
        <v>46323</v>
      </c>
      <c r="B54" s="15" t="inlineStr">
        <is>
          <t>srijeda</t>
        </is>
      </c>
      <c r="C54" s="9" t="inlineStr">
        <is>
          <t>Plastika i metal</t>
        </is>
      </c>
      <c r="D54" s="15" t="n"/>
    </row>
    <row r="55">
      <c r="A55" s="24" t="n">
        <v>46323</v>
      </c>
      <c r="B55" s="15" t="inlineStr">
        <is>
          <t>srijeda</t>
        </is>
      </c>
      <c r="C55" s="10" t="inlineStr">
        <is>
          <t>Papir i karton</t>
        </is>
      </c>
      <c r="D55" s="15" t="n"/>
    </row>
    <row r="56">
      <c r="A56" s="24" t="n">
        <v>46330</v>
      </c>
      <c r="B56" s="15" t="inlineStr">
        <is>
          <t>srijeda</t>
        </is>
      </c>
      <c r="C56" s="5" t="inlineStr">
        <is>
          <t>Miješani komunalni otpad</t>
        </is>
      </c>
      <c r="D56" s="15" t="n"/>
    </row>
    <row r="57">
      <c r="A57" s="24" t="n">
        <v>46337</v>
      </c>
      <c r="B57" s="15" t="inlineStr">
        <is>
          <t>srijeda</t>
        </is>
      </c>
      <c r="C57" s="5" t="inlineStr">
        <is>
          <t>Miješani komunalni otpad</t>
        </is>
      </c>
      <c r="D57" s="15" t="n"/>
    </row>
    <row r="58">
      <c r="A58" s="24" t="n">
        <v>46343</v>
      </c>
      <c r="B58" s="15" t="inlineStr">
        <is>
          <t>utorak</t>
        </is>
      </c>
      <c r="C58" s="5" t="inlineStr">
        <is>
          <t>Miješani komunalni otpad</t>
        </is>
      </c>
      <c r="D58" s="15" t="inlineStr">
        <is>
          <t>Pomaknuto zbog neradnog dana u tjednu</t>
        </is>
      </c>
    </row>
    <row r="59">
      <c r="A59" s="24" t="n">
        <v>46351</v>
      </c>
      <c r="B59" s="15" t="inlineStr">
        <is>
          <t>srijeda</t>
        </is>
      </c>
      <c r="C59" s="9" t="inlineStr">
        <is>
          <t>Plastika i metal</t>
        </is>
      </c>
      <c r="D59" s="15" t="n"/>
    </row>
    <row r="60">
      <c r="A60" s="24" t="n">
        <v>46351</v>
      </c>
      <c r="B60" s="15" t="inlineStr">
        <is>
          <t>srijeda</t>
        </is>
      </c>
      <c r="C60" s="10" t="inlineStr">
        <is>
          <t>Papir i karton</t>
        </is>
      </c>
      <c r="D60" s="15" t="n"/>
    </row>
    <row r="61">
      <c r="A61" s="24" t="n">
        <v>46358</v>
      </c>
      <c r="B61" s="15" t="inlineStr">
        <is>
          <t>srijeda</t>
        </is>
      </c>
      <c r="C61" s="5" t="inlineStr">
        <is>
          <t>Miješani komunalni otpad</t>
        </is>
      </c>
      <c r="D61" s="15" t="n"/>
    </row>
    <row r="62">
      <c r="A62" s="24" t="n">
        <v>46365</v>
      </c>
      <c r="B62" s="15" t="inlineStr">
        <is>
          <t>srijeda</t>
        </is>
      </c>
      <c r="C62" s="5" t="inlineStr">
        <is>
          <t>Miješani komunalni otpad</t>
        </is>
      </c>
      <c r="D62" s="15" t="n"/>
    </row>
    <row r="63">
      <c r="A63" s="24" t="n">
        <v>46372</v>
      </c>
      <c r="B63" s="15" t="inlineStr">
        <is>
          <t>srijeda</t>
        </is>
      </c>
      <c r="C63" s="5" t="inlineStr">
        <is>
          <t>Miješani komunalni otpad</t>
        </is>
      </c>
      <c r="D63" s="15" t="n"/>
    </row>
    <row r="64">
      <c r="A64" s="24" t="n">
        <v>46378</v>
      </c>
      <c r="B64" s="15" t="inlineStr">
        <is>
          <t>utorak</t>
        </is>
      </c>
      <c r="C64" s="9" t="inlineStr">
        <is>
          <t>Plastika i metal</t>
        </is>
      </c>
      <c r="D64" s="15" t="inlineStr">
        <is>
          <t>Pomaknuto zbog neradnog dana u tjednu</t>
        </is>
      </c>
    </row>
    <row r="65">
      <c r="A65" s="24" t="n">
        <v>46378</v>
      </c>
      <c r="B65" s="15" t="inlineStr">
        <is>
          <t>utorak</t>
        </is>
      </c>
      <c r="C65" s="10" t="inlineStr">
        <is>
          <t>Papir i karton</t>
        </is>
      </c>
      <c r="D65" s="15" t="inlineStr">
        <is>
          <t>Pomaknuto zbog neradnog dana u tjednu</t>
        </is>
      </c>
    </row>
    <row r="66">
      <c r="A66" s="24" t="n">
        <v>46385</v>
      </c>
      <c r="B66" s="15" t="inlineStr">
        <is>
          <t>utorak</t>
        </is>
      </c>
      <c r="C66" s="5" t="inlineStr">
        <is>
          <t>Miješani komunalni otpad</t>
        </is>
      </c>
      <c r="D66" s="15" t="inlineStr">
        <is>
          <t>Pomaknuto zbog neradnog dana u tjednu</t>
        </is>
      </c>
    </row>
  </sheetData>
  <autoFilter ref="A1:D6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6"/>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2 (Duga Resa): ulice i naselja</t>
        </is>
      </c>
    </row>
    <row r="2">
      <c r="A2" s="20" t="inlineStr">
        <is>
          <t>RASPORED SE ODNOSI NA SLIJEDEĆE ULICE: ANDRIJE PALMOVIĆA, ANTUNA MIHANOVIĆA, BRAJSKA, DOBRIŠE CESARIĆA, DR. IVANA BANJAVČIĆA, INZL, JURANOVO BRDO, MATE KULUNDŽĆA, MATIJE GUPCA, NASELJE CURAK, NASELJE TUŠMER, NIKOLE TESLE, RADOSLAVA LOPAŠIĆA, STARA CESTA OD KBR. 94 DO KBR 112; SUNČANO NASELJE, ŠEKETINO BRDO DONJE OD ZAOBILAZNICE DO KBR. 58; ŠETALIŠTE TUŠMER, VARNICA, VINIČKA, VLADIMIRA NAZORA, ZAGREBAČKA, DOMOBRANSKA 43, 45, 47, 47A, 49, 53, 53A, 55, 57</t>
        </is>
      </c>
    </row>
    <row r="4">
      <c r="A4" s="4" t="inlineStr">
        <is>
          <t>Ulica / naselje</t>
        </is>
      </c>
    </row>
    <row r="5">
      <c r="A5" s="15" t="inlineStr">
        <is>
          <t>Andrije Palmovića</t>
        </is>
      </c>
    </row>
    <row r="6">
      <c r="A6" s="15" t="inlineStr">
        <is>
          <t>Antuna Mihanovića</t>
        </is>
      </c>
    </row>
    <row r="7">
      <c r="A7" s="15" t="inlineStr">
        <is>
          <t>Brajska</t>
        </is>
      </c>
    </row>
    <row r="8">
      <c r="A8" s="15" t="inlineStr">
        <is>
          <t>Dobriše Cesarića</t>
        </is>
      </c>
    </row>
    <row r="9">
      <c r="A9" s="15" t="inlineStr">
        <is>
          <t>Dr. Ivana Banjavčića</t>
        </is>
      </c>
    </row>
    <row r="10">
      <c r="A10" s="15" t="inlineStr">
        <is>
          <t>Inzl</t>
        </is>
      </c>
    </row>
    <row r="11">
      <c r="A11" s="15" t="inlineStr">
        <is>
          <t>Juranovo Brdo</t>
        </is>
      </c>
    </row>
    <row r="12">
      <c r="A12" s="15" t="inlineStr">
        <is>
          <t>Mate Kulundžća</t>
        </is>
      </c>
    </row>
    <row r="13">
      <c r="A13" s="15" t="inlineStr">
        <is>
          <t>Matije Gupca</t>
        </is>
      </c>
    </row>
    <row r="14">
      <c r="A14" s="15" t="inlineStr">
        <is>
          <t>Naselje Curak</t>
        </is>
      </c>
    </row>
    <row r="15">
      <c r="A15" s="15" t="inlineStr">
        <is>
          <t>Naselje Tušmer</t>
        </is>
      </c>
    </row>
    <row r="16">
      <c r="A16" s="15" t="inlineStr">
        <is>
          <t>Nikole Tesle</t>
        </is>
      </c>
    </row>
    <row r="17">
      <c r="A17" s="15" t="inlineStr">
        <is>
          <t>Radoslava Lopašića</t>
        </is>
      </c>
    </row>
    <row r="18">
      <c r="A18" s="15" t="inlineStr">
        <is>
          <t>Stara cesta od kbr. 94 do kbr 112</t>
        </is>
      </c>
    </row>
    <row r="19">
      <c r="A19" s="15" t="inlineStr">
        <is>
          <t>Sunčano naselje</t>
        </is>
      </c>
    </row>
    <row r="20">
      <c r="A20" s="15" t="inlineStr">
        <is>
          <t>Šeketino Brdo Donje od Zaobilaznice do kbr. 58</t>
        </is>
      </c>
    </row>
    <row r="21">
      <c r="A21" s="15" t="inlineStr">
        <is>
          <t>Šetalište Tušmer</t>
        </is>
      </c>
    </row>
    <row r="22">
      <c r="A22" s="15" t="inlineStr">
        <is>
          <t>Varnica</t>
        </is>
      </c>
    </row>
    <row r="23">
      <c r="A23" s="15" t="inlineStr">
        <is>
          <t>Vinička</t>
        </is>
      </c>
    </row>
    <row r="24">
      <c r="A24" s="15" t="inlineStr">
        <is>
          <t>Vladimira Nazora</t>
        </is>
      </c>
    </row>
    <row r="25">
      <c r="A25" s="15" t="inlineStr">
        <is>
          <t>Zagrebačka</t>
        </is>
      </c>
    </row>
    <row r="26">
      <c r="A26" s="15" t="inlineStr">
        <is>
          <t>Domobranska 43, 45, 47, 47a, 49, 53, 53a, 55, 57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2026-10-07T18:31:32Z</dcterms:created>
  <dcterms:modified xmlns:dcterms="http://purl.org/dc/terms/" xmlns:xsi="http://www.w3.org/2001/XMLSchema-instance" xsi:type="dcterms:W3CDTF">2026-10-07T18:31:32Z</dcterms:modified>
</cp:coreProperties>
</file>
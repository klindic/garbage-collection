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regled" sheetId="1" state="visible" r:id="rId1"/>
    <sheet xmlns:r="http://schemas.openxmlformats.org/officeDocument/2006/relationships" name="Raspored" sheetId="2" state="visible" r:id="rId2"/>
    <sheet xmlns:r="http://schemas.openxmlformats.org/officeDocument/2006/relationships" name="Po vrsti" sheetId="3" state="visible" r:id="rId3"/>
    <sheet xmlns:r="http://schemas.openxmlformats.org/officeDocument/2006/relationships" name="Ulice i naselja" sheetId="4" state="visible" r:id="rId4"/>
  </sheets>
  <definedNames>
    <definedName name="_xlnm._FilterDatabase" localSheetId="1" hidden="1">'Raspored'!$A$4:$H$93</definedName>
    <definedName name="_xlnm._FilterDatabase" localSheetId="2" hidden="1">'Po vrsti'!$A$1:$D$105</definedName>
  </definedNames>
  <calcPr calcId="124519" fullCalcOnLoad="1"/>
</workbook>
</file>

<file path=xl/styles.xml><?xml version="1.0" encoding="utf-8"?>
<styleSheet xmlns="http://schemas.openxmlformats.org/spreadsheetml/2006/main">
  <numFmts count="2">
    <numFmt numFmtId="164" formatCode="yyyy-mm-dd h:mm:ss"/>
    <numFmt numFmtId="165" formatCode="DD.MM.YYYY."/>
  </numFmts>
  <fonts count="11">
    <font>
      <name val="Calibri"/>
      <family val="2"/>
      <color theme="1"/>
      <sz val="11"/>
      <scheme val="minor"/>
    </font>
    <font>
      <name val="Arial"/>
      <b val="1"/>
      <sz val="14"/>
    </font>
    <font>
      <name val="Arial"/>
      <i val="1"/>
      <color rgb="00595959"/>
      <sz val="9"/>
    </font>
    <font>
      <name val="Arial"/>
      <b val="1"/>
      <color rgb="00FFFFFF"/>
    </font>
    <font>
      <name val="Arial"/>
      <b val="1"/>
      <color rgb="00000000"/>
    </font>
    <font>
      <name val="Arial"/>
      <b val="1"/>
      <color rgb="00C00000"/>
    </font>
    <font>
      <name val="Arial"/>
    </font>
    <font>
      <name val="Arial"/>
      <b val="1"/>
    </font>
    <font>
      <name val="Arial"/>
      <b val="1"/>
      <sz val="12"/>
    </font>
    <font>
      <name val="Arial"/>
      <b val="1"/>
      <sz val="10"/>
    </font>
    <font>
      <name val="Arial"/>
      <sz val="10"/>
    </font>
  </fonts>
  <fills count="7">
    <fill>
      <patternFill/>
    </fill>
    <fill>
      <patternFill patternType="gray125"/>
    </fill>
    <fill>
      <patternFill patternType="solid">
        <fgColor rgb="00375623"/>
      </patternFill>
    </fill>
    <fill>
      <patternFill patternType="solid">
        <fgColor rgb="00262626"/>
      </patternFill>
    </fill>
    <fill>
      <patternFill patternType="solid">
        <fgColor rgb="007B4A2D"/>
      </patternFill>
    </fill>
    <fill>
      <patternFill patternType="solid">
        <fgColor rgb="00FFE600"/>
      </patternFill>
    </fill>
    <fill>
      <patternFill patternType="solid">
        <fgColor rgb="003B6EF5"/>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27">
    <xf numFmtId="0" fontId="0" fillId="0" borderId="0" pivotButton="0" quotePrefix="0" xfId="0"/>
    <xf numFmtId="0" fontId="1" fillId="0" borderId="0" pivotButton="0" quotePrefix="0" xfId="0"/>
    <xf numFmtId="0" fontId="7" fillId="0" borderId="0" pivotButton="0" quotePrefix="0" xfId="0"/>
    <xf numFmtId="165" fontId="6" fillId="0" borderId="0" pivotButton="0" quotePrefix="0" xfId="0"/>
    <xf numFmtId="0" fontId="3" fillId="2" borderId="1" applyAlignment="1" pivotButton="0" quotePrefix="0" xfId="0">
      <alignment horizontal="center" vertical="center" wrapText="1"/>
    </xf>
    <xf numFmtId="0" fontId="3" fillId="3" borderId="1" pivotButton="0" quotePrefix="0" xfId="0"/>
    <xf numFmtId="165" fontId="6" fillId="0" borderId="1" applyAlignment="1" pivotButton="0" quotePrefix="0" xfId="0">
      <alignment horizontal="center" vertical="center" wrapText="1"/>
    </xf>
    <xf numFmtId="0" fontId="6" fillId="0" borderId="1" applyAlignment="1" pivotButton="0" quotePrefix="0" xfId="0">
      <alignment horizontal="center" vertical="center" wrapText="1"/>
    </xf>
    <xf numFmtId="1" fontId="6" fillId="0" borderId="1" applyAlignment="1" pivotButton="0" quotePrefix="0" xfId="0">
      <alignment horizontal="center" vertical="center" wrapText="1"/>
    </xf>
    <xf numFmtId="0" fontId="3" fillId="4" borderId="1" pivotButton="0" quotePrefix="0" xfId="0"/>
    <xf numFmtId="0" fontId="4" fillId="5" borderId="1" pivotButton="0" quotePrefix="0" xfId="0"/>
    <xf numFmtId="0" fontId="3" fillId="6" borderId="1" pivotButton="0" quotePrefix="0" xfId="0"/>
    <xf numFmtId="0" fontId="8" fillId="0" borderId="0" pivotButton="0" quotePrefix="0" xfId="0"/>
    <xf numFmtId="0" fontId="3" fillId="3" borderId="1" applyAlignment="1" pivotButton="0" quotePrefix="0" xfId="0">
      <alignment horizontal="center" vertical="center" wrapText="1"/>
    </xf>
    <xf numFmtId="0" fontId="3"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3" fillId="6" borderId="1" applyAlignment="1" pivotButton="0" quotePrefix="0" xfId="0">
      <alignment horizontal="center" vertical="center" wrapText="1"/>
    </xf>
    <xf numFmtId="0" fontId="6" fillId="0" borderId="1" pivotButton="0" quotePrefix="0" xfId="0"/>
    <xf numFmtId="0" fontId="7" fillId="0" borderId="1" pivotButton="0" quotePrefix="0" xfId="0"/>
    <xf numFmtId="0" fontId="7" fillId="0" borderId="1" applyAlignment="1" pivotButton="0" quotePrefix="0" xfId="0">
      <alignment horizontal="center" vertical="center" wrapText="1"/>
    </xf>
    <xf numFmtId="0" fontId="9" fillId="0" borderId="0" pivotButton="0" quotePrefix="0" xfId="0"/>
    <xf numFmtId="0" fontId="10" fillId="0" borderId="0" pivotButton="0" quotePrefix="0" xfId="0"/>
    <xf numFmtId="0" fontId="2" fillId="0" borderId="0" pivotButton="0" quotePrefix="0" xfId="0"/>
    <xf numFmtId="165" fontId="5" fillId="0" borderId="1" applyAlignment="1" pivotButton="0" quotePrefix="0" xfId="0">
      <alignment horizontal="center" vertical="center" wrapText="1"/>
    </xf>
    <xf numFmtId="0" fontId="5" fillId="0" borderId="1" applyAlignment="1" pivotButton="0" quotePrefix="0" xfId="0">
      <alignment horizontal="center" vertical="center" wrapText="1"/>
    </xf>
    <xf numFmtId="0" fontId="6" fillId="0" borderId="1" applyAlignment="1" pivotButton="0" quotePrefix="0" xfId="0">
      <alignment vertical="center"/>
    </xf>
    <xf numFmtId="165" fontId="6" fillId="0" borderId="1" pivotButton="0" quotePrefix="0" xfId="0"/>
  </cellXfs>
  <cellStyles count="1">
    <cellStyle name="Normal" xfId="0" builtinId="0" hidden="0"/>
  </cellStyles>
  <dxfs count="5">
    <dxf>
      <font>
        <b val="1"/>
        <color rgb="00FFFFFF"/>
      </font>
      <fill>
        <patternFill patternType="solid">
          <fgColor rgb="00262626"/>
          <bgColor rgb="00262626"/>
        </patternFill>
      </fill>
    </dxf>
    <dxf>
      <font>
        <b val="1"/>
        <color rgb="00FFFFFF"/>
      </font>
      <fill>
        <patternFill patternType="solid">
          <fgColor rgb="007B4A2D"/>
          <bgColor rgb="007B4A2D"/>
        </patternFill>
      </fill>
    </dxf>
    <dxf>
      <font>
        <b val="1"/>
        <color rgb="00000000"/>
      </font>
      <fill>
        <patternFill patternType="solid">
          <fgColor rgb="00FFE600"/>
          <bgColor rgb="00FFE600"/>
        </patternFill>
      </fill>
    </dxf>
    <dxf>
      <font>
        <b val="1"/>
        <color rgb="00FFFFFF"/>
      </font>
      <fill>
        <patternFill patternType="solid">
          <fgColor rgb="003B6EF5"/>
          <bgColor rgb="003B6EF5"/>
        </patternFill>
      </fill>
    </dxf>
    <dxf>
      <font>
        <color rgb="00A6A6A6"/>
      </font>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5"/>
  <sheetViews>
    <sheetView workbookViewId="0">
      <selection activeCell="A1" sqref="A1"/>
    </sheetView>
  </sheetViews>
  <sheetFormatPr baseColWidth="8" defaultRowHeight="15"/>
  <cols>
    <col width="26" customWidth="1" min="1" max="1"/>
    <col width="24" customWidth="1" min="2" max="2"/>
    <col width="24" customWidth="1" min="3" max="3"/>
    <col width="24" customWidth="1" min="4" max="4"/>
    <col width="20" customWidth="1" min="5" max="5"/>
  </cols>
  <sheetData>
    <row r="1">
      <c r="A1" s="1" t="inlineStr">
        <is>
          <t>Zona 3, 2026: pregled odvoza</t>
        </is>
      </c>
    </row>
    <row r="3">
      <c r="A3" s="2" t="inlineStr">
        <is>
          <t>Danas</t>
        </is>
      </c>
      <c r="B3" s="3">
        <f>TODAY()</f>
        <v/>
      </c>
    </row>
    <row r="5">
      <c r="A5" s="4" t="inlineStr">
        <is>
          <t>Vrsta otpada</t>
        </is>
      </c>
      <c r="B5" s="4" t="inlineStr">
        <is>
          <t>Sljedeći odvoz</t>
        </is>
      </c>
      <c r="C5" s="4" t="inlineStr">
        <is>
          <t>Dan</t>
        </is>
      </c>
      <c r="D5" s="4" t="inlineStr">
        <is>
          <t>Za dana</t>
        </is>
      </c>
      <c r="E5" s="4" t="inlineStr">
        <is>
          <t>Ukupno u 2026.</t>
        </is>
      </c>
    </row>
    <row r="6">
      <c r="A6" s="5" t="inlineStr">
        <is>
          <t>Miješani komunalni otpad</t>
        </is>
      </c>
      <c r="B6" s="6">
        <f>IFERROR(1/(1/_xlfn.MINIFS(Raspored!$A$5:$A$93,Raspored!$D$5:$D$93,"x",Raspored!$A$5:$A$93,"&gt;="&amp;$B$3)),"nema više u 2026.")</f>
        <v/>
      </c>
      <c r="C6" s="7">
        <f>IF(ISNUMBER(B6),INDEX({"nedjelja","ponedjeljak","utorak","srijeda","četvrtak","petak","subota"},WEEKDAY(B6)),"")</f>
        <v/>
      </c>
      <c r="D6" s="8">
        <f>IF(ISNUMBER(B6),B6-$B$3,"")</f>
        <v/>
      </c>
      <c r="E6" s="7">
        <f>COUNTIF(Raspored!$D$5:$D$93,"x")</f>
        <v/>
      </c>
    </row>
    <row r="7">
      <c r="A7" s="9" t="inlineStr">
        <is>
          <t>Biootpad</t>
        </is>
      </c>
      <c r="B7" s="6">
        <f>IFERROR(1/(1/_xlfn.MINIFS(Raspored!$A$5:$A$93,Raspored!$E$5:$E$93,"x",Raspored!$A$5:$A$93,"&gt;="&amp;$B$3)),"nema više u 2026.")</f>
        <v/>
      </c>
      <c r="C7" s="7">
        <f>IF(ISNUMBER(B7),INDEX({"nedjelja","ponedjeljak","utorak","srijeda","četvrtak","petak","subota"},WEEKDAY(B7)),"")</f>
        <v/>
      </c>
      <c r="D7" s="8">
        <f>IF(ISNUMBER(B7),B7-$B$3,"")</f>
        <v/>
      </c>
      <c r="E7" s="7">
        <f>COUNTIF(Raspored!$E$5:$E$93,"x")</f>
        <v/>
      </c>
    </row>
    <row r="8">
      <c r="A8" s="10" t="inlineStr">
        <is>
          <t>Plastika</t>
        </is>
      </c>
      <c r="B8" s="6">
        <f>IFERROR(1/(1/_xlfn.MINIFS(Raspored!$A$5:$A$93,Raspored!$F$5:$F$93,"x",Raspored!$A$5:$A$93,"&gt;="&amp;$B$3)),"nema više u 2026.")</f>
        <v/>
      </c>
      <c r="C8" s="7">
        <f>IF(ISNUMBER(B8),INDEX({"nedjelja","ponedjeljak","utorak","srijeda","četvrtak","petak","subota"},WEEKDAY(B8)),"")</f>
        <v/>
      </c>
      <c r="D8" s="8">
        <f>IF(ISNUMBER(B8),B8-$B$3,"")</f>
        <v/>
      </c>
      <c r="E8" s="7">
        <f>COUNTIF(Raspored!$F$5:$F$93,"x")</f>
        <v/>
      </c>
    </row>
    <row r="9">
      <c r="A9" s="11" t="inlineStr">
        <is>
          <t>Papir</t>
        </is>
      </c>
      <c r="B9" s="6">
        <f>IFERROR(1/(1/_xlfn.MINIFS(Raspored!$A$5:$A$93,Raspored!$G$5:$G$93,"x",Raspored!$A$5:$A$93,"&gt;="&amp;$B$3)),"nema više u 2026.")</f>
        <v/>
      </c>
      <c r="C9" s="7">
        <f>IF(ISNUMBER(B9),INDEX({"nedjelja","ponedjeljak","utorak","srijeda","četvrtak","petak","subota"},WEEKDAY(B9)),"")</f>
        <v/>
      </c>
      <c r="D9" s="8">
        <f>IF(ISNUMBER(B9),B9-$B$3,"")</f>
        <v/>
      </c>
      <c r="E9" s="7">
        <f>COUNTIF(Raspored!$G$5:$G$93,"x")</f>
        <v/>
      </c>
    </row>
    <row r="11">
      <c r="A11" s="12" t="inlineStr">
        <is>
          <t>Broj odvoza po mjesecu</t>
        </is>
      </c>
    </row>
    <row r="12" ht="30" customHeight="1">
      <c r="A12" s="4" t="inlineStr">
        <is>
          <t>Mjesec</t>
        </is>
      </c>
      <c r="B12" s="13" t="inlineStr">
        <is>
          <t>Miješani komunalni otpad</t>
        </is>
      </c>
      <c r="C12" s="14" t="inlineStr">
        <is>
          <t>Biootpad</t>
        </is>
      </c>
      <c r="D12" s="15" t="inlineStr">
        <is>
          <t>Plastika</t>
        </is>
      </c>
      <c r="E12" s="16" t="inlineStr">
        <is>
          <t>Papir</t>
        </is>
      </c>
    </row>
    <row r="13">
      <c r="A13" s="17" t="inlineStr">
        <is>
          <t>siječanj</t>
        </is>
      </c>
      <c r="B13" s="7">
        <f>COUNTIFS(Raspored!$C$5:$C$93,$A13,Raspored!$D$5:$D$93,"x")</f>
        <v/>
      </c>
      <c r="C13" s="7">
        <f>COUNTIFS(Raspored!$C$5:$C$93,$A13,Raspored!$E$5:$E$93,"x")</f>
        <v/>
      </c>
      <c r="D13" s="7">
        <f>COUNTIFS(Raspored!$C$5:$C$93,$A13,Raspored!$F$5:$F$93,"x")</f>
        <v/>
      </c>
      <c r="E13" s="7">
        <f>COUNTIFS(Raspored!$C$5:$C$93,$A13,Raspored!$G$5:$G$93,"x")</f>
        <v/>
      </c>
    </row>
    <row r="14">
      <c r="A14" s="17" t="inlineStr">
        <is>
          <t>veljača</t>
        </is>
      </c>
      <c r="B14" s="7">
        <f>COUNTIFS(Raspored!$C$5:$C$93,$A14,Raspored!$D$5:$D$93,"x")</f>
        <v/>
      </c>
      <c r="C14" s="7">
        <f>COUNTIFS(Raspored!$C$5:$C$93,$A14,Raspored!$E$5:$E$93,"x")</f>
        <v/>
      </c>
      <c r="D14" s="7">
        <f>COUNTIFS(Raspored!$C$5:$C$93,$A14,Raspored!$F$5:$F$93,"x")</f>
        <v/>
      </c>
      <c r="E14" s="7">
        <f>COUNTIFS(Raspored!$C$5:$C$93,$A14,Raspored!$G$5:$G$93,"x")</f>
        <v/>
      </c>
    </row>
    <row r="15">
      <c r="A15" s="17" t="inlineStr">
        <is>
          <t>ožujak</t>
        </is>
      </c>
      <c r="B15" s="7">
        <f>COUNTIFS(Raspored!$C$5:$C$93,$A15,Raspored!$D$5:$D$93,"x")</f>
        <v/>
      </c>
      <c r="C15" s="7">
        <f>COUNTIFS(Raspored!$C$5:$C$93,$A15,Raspored!$E$5:$E$93,"x")</f>
        <v/>
      </c>
      <c r="D15" s="7">
        <f>COUNTIFS(Raspored!$C$5:$C$93,$A15,Raspored!$F$5:$F$93,"x")</f>
        <v/>
      </c>
      <c r="E15" s="7">
        <f>COUNTIFS(Raspored!$C$5:$C$93,$A15,Raspored!$G$5:$G$93,"x")</f>
        <v/>
      </c>
    </row>
    <row r="16">
      <c r="A16" s="17" t="inlineStr">
        <is>
          <t>travanj</t>
        </is>
      </c>
      <c r="B16" s="7">
        <f>COUNTIFS(Raspored!$C$5:$C$93,$A16,Raspored!$D$5:$D$93,"x")</f>
        <v/>
      </c>
      <c r="C16" s="7">
        <f>COUNTIFS(Raspored!$C$5:$C$93,$A16,Raspored!$E$5:$E$93,"x")</f>
        <v/>
      </c>
      <c r="D16" s="7">
        <f>COUNTIFS(Raspored!$C$5:$C$93,$A16,Raspored!$F$5:$F$93,"x")</f>
        <v/>
      </c>
      <c r="E16" s="7">
        <f>COUNTIFS(Raspored!$C$5:$C$93,$A16,Raspored!$G$5:$G$93,"x")</f>
        <v/>
      </c>
    </row>
    <row r="17">
      <c r="A17" s="17" t="inlineStr">
        <is>
          <t>svibanj</t>
        </is>
      </c>
      <c r="B17" s="7">
        <f>COUNTIFS(Raspored!$C$5:$C$93,$A17,Raspored!$D$5:$D$93,"x")</f>
        <v/>
      </c>
      <c r="C17" s="7">
        <f>COUNTIFS(Raspored!$C$5:$C$93,$A17,Raspored!$E$5:$E$93,"x")</f>
        <v/>
      </c>
      <c r="D17" s="7">
        <f>COUNTIFS(Raspored!$C$5:$C$93,$A17,Raspored!$F$5:$F$93,"x")</f>
        <v/>
      </c>
      <c r="E17" s="7">
        <f>COUNTIFS(Raspored!$C$5:$C$93,$A17,Raspored!$G$5:$G$93,"x")</f>
        <v/>
      </c>
    </row>
    <row r="18">
      <c r="A18" s="17" t="inlineStr">
        <is>
          <t>lipanj</t>
        </is>
      </c>
      <c r="B18" s="7">
        <f>COUNTIFS(Raspored!$C$5:$C$93,$A18,Raspored!$D$5:$D$93,"x")</f>
        <v/>
      </c>
      <c r="C18" s="7">
        <f>COUNTIFS(Raspored!$C$5:$C$93,$A18,Raspored!$E$5:$E$93,"x")</f>
        <v/>
      </c>
      <c r="D18" s="7">
        <f>COUNTIFS(Raspored!$C$5:$C$93,$A18,Raspored!$F$5:$F$93,"x")</f>
        <v/>
      </c>
      <c r="E18" s="7">
        <f>COUNTIFS(Raspored!$C$5:$C$93,$A18,Raspored!$G$5:$G$93,"x")</f>
        <v/>
      </c>
    </row>
    <row r="19">
      <c r="A19" s="17" t="inlineStr">
        <is>
          <t>srpanj</t>
        </is>
      </c>
      <c r="B19" s="7">
        <f>COUNTIFS(Raspored!$C$5:$C$93,$A19,Raspored!$D$5:$D$93,"x")</f>
        <v/>
      </c>
      <c r="C19" s="7">
        <f>COUNTIFS(Raspored!$C$5:$C$93,$A19,Raspored!$E$5:$E$93,"x")</f>
        <v/>
      </c>
      <c r="D19" s="7">
        <f>COUNTIFS(Raspored!$C$5:$C$93,$A19,Raspored!$F$5:$F$93,"x")</f>
        <v/>
      </c>
      <c r="E19" s="7">
        <f>COUNTIFS(Raspored!$C$5:$C$93,$A19,Raspored!$G$5:$G$93,"x")</f>
        <v/>
      </c>
    </row>
    <row r="20">
      <c r="A20" s="17" t="inlineStr">
        <is>
          <t>kolovoz</t>
        </is>
      </c>
      <c r="B20" s="7">
        <f>COUNTIFS(Raspored!$C$5:$C$93,$A20,Raspored!$D$5:$D$93,"x")</f>
        <v/>
      </c>
      <c r="C20" s="7">
        <f>COUNTIFS(Raspored!$C$5:$C$93,$A20,Raspored!$E$5:$E$93,"x")</f>
        <v/>
      </c>
      <c r="D20" s="7">
        <f>COUNTIFS(Raspored!$C$5:$C$93,$A20,Raspored!$F$5:$F$93,"x")</f>
        <v/>
      </c>
      <c r="E20" s="7">
        <f>COUNTIFS(Raspored!$C$5:$C$93,$A20,Raspored!$G$5:$G$93,"x")</f>
        <v/>
      </c>
    </row>
    <row r="21">
      <c r="A21" s="17" t="inlineStr">
        <is>
          <t>rujan</t>
        </is>
      </c>
      <c r="B21" s="7">
        <f>COUNTIFS(Raspored!$C$5:$C$93,$A21,Raspored!$D$5:$D$93,"x")</f>
        <v/>
      </c>
      <c r="C21" s="7">
        <f>COUNTIFS(Raspored!$C$5:$C$93,$A21,Raspored!$E$5:$E$93,"x")</f>
        <v/>
      </c>
      <c r="D21" s="7">
        <f>COUNTIFS(Raspored!$C$5:$C$93,$A21,Raspored!$F$5:$F$93,"x")</f>
        <v/>
      </c>
      <c r="E21" s="7">
        <f>COUNTIFS(Raspored!$C$5:$C$93,$A21,Raspored!$G$5:$G$93,"x")</f>
        <v/>
      </c>
    </row>
    <row r="22">
      <c r="A22" s="17" t="inlineStr">
        <is>
          <t>listopad</t>
        </is>
      </c>
      <c r="B22" s="7">
        <f>COUNTIFS(Raspored!$C$5:$C$93,$A22,Raspored!$D$5:$D$93,"x")</f>
        <v/>
      </c>
      <c r="C22" s="7">
        <f>COUNTIFS(Raspored!$C$5:$C$93,$A22,Raspored!$E$5:$E$93,"x")</f>
        <v/>
      </c>
      <c r="D22" s="7">
        <f>COUNTIFS(Raspored!$C$5:$C$93,$A22,Raspored!$F$5:$F$93,"x")</f>
        <v/>
      </c>
      <c r="E22" s="7">
        <f>COUNTIFS(Raspored!$C$5:$C$93,$A22,Raspored!$G$5:$G$93,"x")</f>
        <v/>
      </c>
    </row>
    <row r="23">
      <c r="A23" s="17" t="inlineStr">
        <is>
          <t>studeni</t>
        </is>
      </c>
      <c r="B23" s="7">
        <f>COUNTIFS(Raspored!$C$5:$C$93,$A23,Raspored!$D$5:$D$93,"x")</f>
        <v/>
      </c>
      <c r="C23" s="7">
        <f>COUNTIFS(Raspored!$C$5:$C$93,$A23,Raspored!$E$5:$E$93,"x")</f>
        <v/>
      </c>
      <c r="D23" s="7">
        <f>COUNTIFS(Raspored!$C$5:$C$93,$A23,Raspored!$F$5:$F$93,"x")</f>
        <v/>
      </c>
      <c r="E23" s="7">
        <f>COUNTIFS(Raspored!$C$5:$C$93,$A23,Raspored!$G$5:$G$93,"x")</f>
        <v/>
      </c>
    </row>
    <row r="24">
      <c r="A24" s="17" t="inlineStr">
        <is>
          <t>prosinac</t>
        </is>
      </c>
      <c r="B24" s="7">
        <f>COUNTIFS(Raspored!$C$5:$C$93,$A24,Raspored!$D$5:$D$93,"x")</f>
        <v/>
      </c>
      <c r="C24" s="7">
        <f>COUNTIFS(Raspored!$C$5:$C$93,$A24,Raspored!$E$5:$E$93,"x")</f>
        <v/>
      </c>
      <c r="D24" s="7">
        <f>COUNTIFS(Raspored!$C$5:$C$93,$A24,Raspored!$F$5:$F$93,"x")</f>
        <v/>
      </c>
      <c r="E24" s="7">
        <f>COUNTIFS(Raspored!$C$5:$C$93,$A24,Raspored!$G$5:$G$93,"x")</f>
        <v/>
      </c>
    </row>
    <row r="25">
      <c r="A25" s="18" t="inlineStr">
        <is>
          <t>Ukupno</t>
        </is>
      </c>
      <c r="B25" s="19">
        <f>SUM(B13:B24)</f>
        <v/>
      </c>
      <c r="C25" s="19">
        <f>SUM(C13:C24)</f>
        <v/>
      </c>
      <c r="D25" s="19">
        <f>SUM(D13:D24)</f>
        <v/>
      </c>
      <c r="E25" s="19">
        <f>SUM(E13:E24)</f>
        <v/>
      </c>
    </row>
    <row r="27">
      <c r="A27" s="20" t="inlineStr">
        <is>
          <t>Napomene:</t>
        </is>
      </c>
    </row>
    <row r="28">
      <c r="A28" s="21" t="inlineStr">
        <is>
          <t>• Crveno označeni datumi u listu "Raspored" su pomaknuti zbog neradnog dana u tom tjednu (inače je odvoz ponedjeljkom).</t>
        </is>
      </c>
    </row>
    <row r="29">
      <c r="A29" s="21" t="inlineStr">
        <is>
          <t>• Miješani otpad svaki drugi tjedan srijedom. Plastika i papir svaka četiri tjedna (utorkom). Biootpad ponedjeljkom. Ulice Josipa Jelačića, Lj. Gaja (južno od Jelačićeve) su na popisu ulica za više dana (vjerojatno dio ulice), pa su i u zonama tih dana.</t>
        </is>
      </c>
    </row>
    <row r="30">
      <c r="A30" s="21" t="inlineStr">
        <is>
          <t>• Biootpad (smeđi spremnik) odvozi se samo u Gradu Daruvaru, jednom tjedno prema zoni.</t>
        </is>
      </c>
    </row>
    <row r="31">
      <c r="A31" s="21" t="inlineStr">
        <is>
          <t>• Miješani komunalni otpad (zeleni spremnik) odvozi se svaki drugi tjedan; u Daruvaru dan ovisi o ulici (popis ulica po danima: https://www.darkom-daruvar.hr/raspored-odvoza-otpada-na-podrucju-grada-daruvara/).</t>
        </is>
      </c>
    </row>
    <row r="32">
      <c r="A32" s="21" t="inlineStr">
        <is>
          <t>• Plastika (žuti) i papir (plavi spremnik) odvoze se isti dan, svaka četiri tjedna prema kalendaru zone.</t>
        </is>
      </c>
    </row>
    <row r="33">
      <c r="A33" s="21" t="inlineStr">
        <is>
          <t>• Blagdani: zamjenski dani prema napomenama u kalendarima („odrada”); inače se, prema kalendaru, odvoz u slučaju neradnog dana obavlja prvi idući radni dan (ponedjeljak–petak). Takvi dani označeni su kao pomaknuti.</t>
        </is>
      </c>
    </row>
    <row r="34">
      <c r="A34" s="21" t="inlineStr">
        <is>
          <t>• Ljeti (od 29.6. tijekom srpnja i kolovoza) otpad se sakuplja od 6:00 sati; spremnike iznijeti večer prije.</t>
        </is>
      </c>
    </row>
    <row r="35">
      <c r="A35" s="21" t="inlineStr">
        <is>
          <t>• Glomazni otpad jednom godišnje bez naknade (do 5 m³) uz zahtjev; kontakt: otpad@darkom-daruvar.hr, 043/440-750.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93"/>
  <sheetViews>
    <sheetView workbookViewId="0">
      <pane ySplit="4" topLeftCell="A5" activePane="bottomLeft" state="frozen"/>
      <selection pane="bottomLeft" activeCell="A1" sqref="A1"/>
    </sheetView>
  </sheetViews>
  <sheetFormatPr baseColWidth="8" defaultRowHeight="15"/>
  <cols>
    <col width="13" customWidth="1" min="1" max="1"/>
    <col width="12" customWidth="1" min="2" max="2"/>
    <col width="11" customWidth="1" min="3" max="3"/>
    <col width="16" customWidth="1" min="4" max="4"/>
    <col width="12" customWidth="1" min="5" max="5"/>
    <col width="16" customWidth="1" min="6" max="6"/>
    <col width="13" customWidth="1" min="7" max="7"/>
    <col width="44" customWidth="1" min="8" max="8"/>
  </cols>
  <sheetData>
    <row r="1">
      <c r="A1" s="1" t="inlineStr">
        <is>
          <t>Raspored odvoza otpada 2026., Zona 3 (Daruvar)</t>
        </is>
      </c>
    </row>
    <row r="2">
      <c r="A2" s="22" t="inlineStr">
        <is>
          <t>"x" = odvoz tog dana. Spremnike iznijeti do 07:00. Prošli datumi su posivljeni.</t>
        </is>
      </c>
    </row>
    <row r="4" ht="32" customHeight="1">
      <c r="A4" s="4" t="inlineStr">
        <is>
          <t>Datum</t>
        </is>
      </c>
      <c r="B4" s="4" t="inlineStr">
        <is>
          <t>Dan</t>
        </is>
      </c>
      <c r="C4" s="4" t="inlineStr">
        <is>
          <t>Mjesec</t>
        </is>
      </c>
      <c r="D4" s="13" t="inlineStr">
        <is>
          <t>Miješani komunalni otpad</t>
        </is>
      </c>
      <c r="E4" s="14" t="inlineStr">
        <is>
          <t>Biootpad</t>
        </is>
      </c>
      <c r="F4" s="15" t="inlineStr">
        <is>
          <t>Plastika</t>
        </is>
      </c>
      <c r="G4" s="16" t="inlineStr">
        <is>
          <t>Papir</t>
        </is>
      </c>
      <c r="H4" s="4" t="inlineStr">
        <is>
          <t>Napomena</t>
        </is>
      </c>
    </row>
    <row r="5">
      <c r="A5" s="23" t="n">
        <v>46027</v>
      </c>
      <c r="B5" s="24" t="inlineStr">
        <is>
          <t>ponedjeljak</t>
        </is>
      </c>
      <c r="C5" s="7" t="inlineStr">
        <is>
          <t>siječanj</t>
        </is>
      </c>
      <c r="D5" s="7" t="n"/>
      <c r="E5" s="7" t="inlineStr">
        <is>
          <t>x</t>
        </is>
      </c>
      <c r="F5" s="7" t="inlineStr">
        <is>
          <t>x</t>
        </is>
      </c>
      <c r="G5" s="7" t="inlineStr">
        <is>
          <t>x</t>
        </is>
      </c>
      <c r="H5" s="25" t="inlineStr">
        <is>
          <t>Pomaknuto zbog neradnog dana u tjednu</t>
        </is>
      </c>
    </row>
    <row r="6">
      <c r="A6" s="6" t="n">
        <v>46034</v>
      </c>
      <c r="B6" s="7" t="inlineStr">
        <is>
          <t>ponedjeljak</t>
        </is>
      </c>
      <c r="C6" s="7" t="inlineStr">
        <is>
          <t>siječanj</t>
        </is>
      </c>
      <c r="D6" s="7" t="n"/>
      <c r="E6" s="7" t="inlineStr">
        <is>
          <t>x</t>
        </is>
      </c>
      <c r="F6" s="7" t="n"/>
      <c r="G6" s="7" t="n"/>
      <c r="H6" s="25" t="n"/>
    </row>
    <row r="7">
      <c r="A7" s="6" t="n">
        <v>46036</v>
      </c>
      <c r="B7" s="7" t="inlineStr">
        <is>
          <t>srijeda</t>
        </is>
      </c>
      <c r="C7" s="7" t="inlineStr">
        <is>
          <t>siječanj</t>
        </is>
      </c>
      <c r="D7" s="7" t="inlineStr">
        <is>
          <t>x</t>
        </is>
      </c>
      <c r="E7" s="7" t="n"/>
      <c r="F7" s="7" t="n"/>
      <c r="G7" s="7" t="n"/>
      <c r="H7" s="25" t="n"/>
    </row>
    <row r="8">
      <c r="A8" s="6" t="n">
        <v>46041</v>
      </c>
      <c r="B8" s="7" t="inlineStr">
        <is>
          <t>ponedjeljak</t>
        </is>
      </c>
      <c r="C8" s="7" t="inlineStr">
        <is>
          <t>siječanj</t>
        </is>
      </c>
      <c r="D8" s="7" t="n"/>
      <c r="E8" s="7" t="inlineStr">
        <is>
          <t>x</t>
        </is>
      </c>
      <c r="F8" s="7" t="n"/>
      <c r="G8" s="7" t="n"/>
      <c r="H8" s="25" t="n"/>
    </row>
    <row r="9">
      <c r="A9" s="6" t="n">
        <v>46048</v>
      </c>
      <c r="B9" s="7" t="inlineStr">
        <is>
          <t>ponedjeljak</t>
        </is>
      </c>
      <c r="C9" s="7" t="inlineStr">
        <is>
          <t>siječanj</t>
        </is>
      </c>
      <c r="D9" s="7" t="n"/>
      <c r="E9" s="7" t="inlineStr">
        <is>
          <t>x</t>
        </is>
      </c>
      <c r="F9" s="7" t="n"/>
      <c r="G9" s="7" t="n"/>
      <c r="H9" s="25" t="n"/>
    </row>
    <row r="10">
      <c r="A10" s="6" t="n">
        <v>46050</v>
      </c>
      <c r="B10" s="7" t="inlineStr">
        <is>
          <t>srijeda</t>
        </is>
      </c>
      <c r="C10" s="7" t="inlineStr">
        <is>
          <t>siječanj</t>
        </is>
      </c>
      <c r="D10" s="7" t="inlineStr">
        <is>
          <t>x</t>
        </is>
      </c>
      <c r="E10" s="7" t="n"/>
      <c r="F10" s="7" t="n"/>
      <c r="G10" s="7" t="n"/>
      <c r="H10" s="25" t="n"/>
    </row>
    <row r="11">
      <c r="A11" s="6" t="n">
        <v>46055</v>
      </c>
      <c r="B11" s="7" t="inlineStr">
        <is>
          <t>ponedjeljak</t>
        </is>
      </c>
      <c r="C11" s="7" t="inlineStr">
        <is>
          <t>veljača</t>
        </is>
      </c>
      <c r="D11" s="7" t="n"/>
      <c r="E11" s="7" t="inlineStr">
        <is>
          <t>x</t>
        </is>
      </c>
      <c r="F11" s="7" t="n"/>
      <c r="G11" s="7" t="n"/>
      <c r="H11" s="25" t="n"/>
    </row>
    <row r="12">
      <c r="A12" s="6" t="n">
        <v>46056</v>
      </c>
      <c r="B12" s="7" t="inlineStr">
        <is>
          <t>utorak</t>
        </is>
      </c>
      <c r="C12" s="7" t="inlineStr">
        <is>
          <t>veljača</t>
        </is>
      </c>
      <c r="D12" s="7" t="n"/>
      <c r="E12" s="7" t="n"/>
      <c r="F12" s="7" t="inlineStr">
        <is>
          <t>x</t>
        </is>
      </c>
      <c r="G12" s="7" t="inlineStr">
        <is>
          <t>x</t>
        </is>
      </c>
      <c r="H12" s="25" t="n"/>
    </row>
    <row r="13">
      <c r="A13" s="6" t="n">
        <v>46062</v>
      </c>
      <c r="B13" s="7" t="inlineStr">
        <is>
          <t>ponedjeljak</t>
        </is>
      </c>
      <c r="C13" s="7" t="inlineStr">
        <is>
          <t>veljača</t>
        </is>
      </c>
      <c r="D13" s="7" t="n"/>
      <c r="E13" s="7" t="inlineStr">
        <is>
          <t>x</t>
        </is>
      </c>
      <c r="F13" s="7" t="n"/>
      <c r="G13" s="7" t="n"/>
      <c r="H13" s="25" t="n"/>
    </row>
    <row r="14">
      <c r="A14" s="6" t="n">
        <v>46064</v>
      </c>
      <c r="B14" s="7" t="inlineStr">
        <is>
          <t>srijeda</t>
        </is>
      </c>
      <c r="C14" s="7" t="inlineStr">
        <is>
          <t>veljača</t>
        </is>
      </c>
      <c r="D14" s="7" t="inlineStr">
        <is>
          <t>x</t>
        </is>
      </c>
      <c r="E14" s="7" t="n"/>
      <c r="F14" s="7" t="n"/>
      <c r="G14" s="7" t="n"/>
      <c r="H14" s="25" t="n"/>
    </row>
    <row r="15">
      <c r="A15" s="6" t="n">
        <v>46069</v>
      </c>
      <c r="B15" s="7" t="inlineStr">
        <is>
          <t>ponedjeljak</t>
        </is>
      </c>
      <c r="C15" s="7" t="inlineStr">
        <is>
          <t>veljača</t>
        </is>
      </c>
      <c r="D15" s="7" t="n"/>
      <c r="E15" s="7" t="inlineStr">
        <is>
          <t>x</t>
        </is>
      </c>
      <c r="F15" s="7" t="n"/>
      <c r="G15" s="7" t="n"/>
      <c r="H15" s="25" t="n"/>
    </row>
    <row r="16">
      <c r="A16" s="6" t="n">
        <v>46076</v>
      </c>
      <c r="B16" s="7" t="inlineStr">
        <is>
          <t>ponedjeljak</t>
        </is>
      </c>
      <c r="C16" s="7" t="inlineStr">
        <is>
          <t>veljača</t>
        </is>
      </c>
      <c r="D16" s="7" t="n"/>
      <c r="E16" s="7" t="inlineStr">
        <is>
          <t>x</t>
        </is>
      </c>
      <c r="F16" s="7" t="n"/>
      <c r="G16" s="7" t="n"/>
      <c r="H16" s="25" t="n"/>
    </row>
    <row r="17">
      <c r="A17" s="6" t="n">
        <v>46078</v>
      </c>
      <c r="B17" s="7" t="inlineStr">
        <is>
          <t>srijeda</t>
        </is>
      </c>
      <c r="C17" s="7" t="inlineStr">
        <is>
          <t>veljača</t>
        </is>
      </c>
      <c r="D17" s="7" t="inlineStr">
        <is>
          <t>x</t>
        </is>
      </c>
      <c r="E17" s="7" t="n"/>
      <c r="F17" s="7" t="n"/>
      <c r="G17" s="7" t="n"/>
      <c r="H17" s="25" t="n"/>
    </row>
    <row r="18">
      <c r="A18" s="6" t="n">
        <v>46083</v>
      </c>
      <c r="B18" s="7" t="inlineStr">
        <is>
          <t>ponedjeljak</t>
        </is>
      </c>
      <c r="C18" s="7" t="inlineStr">
        <is>
          <t>ožujak</t>
        </is>
      </c>
      <c r="D18" s="7" t="n"/>
      <c r="E18" s="7" t="inlineStr">
        <is>
          <t>x</t>
        </is>
      </c>
      <c r="F18" s="7" t="n"/>
      <c r="G18" s="7" t="n"/>
      <c r="H18" s="25" t="n"/>
    </row>
    <row r="19">
      <c r="A19" s="6" t="n">
        <v>46084</v>
      </c>
      <c r="B19" s="7" t="inlineStr">
        <is>
          <t>utorak</t>
        </is>
      </c>
      <c r="C19" s="7" t="inlineStr">
        <is>
          <t>ožujak</t>
        </is>
      </c>
      <c r="D19" s="7" t="n"/>
      <c r="E19" s="7" t="n"/>
      <c r="F19" s="7" t="inlineStr">
        <is>
          <t>x</t>
        </is>
      </c>
      <c r="G19" s="7" t="inlineStr">
        <is>
          <t>x</t>
        </is>
      </c>
      <c r="H19" s="25" t="n"/>
    </row>
    <row r="20">
      <c r="A20" s="6" t="n">
        <v>46090</v>
      </c>
      <c r="B20" s="7" t="inlineStr">
        <is>
          <t>ponedjeljak</t>
        </is>
      </c>
      <c r="C20" s="7" t="inlineStr">
        <is>
          <t>ožujak</t>
        </is>
      </c>
      <c r="D20" s="7" t="n"/>
      <c r="E20" s="7" t="inlineStr">
        <is>
          <t>x</t>
        </is>
      </c>
      <c r="F20" s="7" t="n"/>
      <c r="G20" s="7" t="n"/>
      <c r="H20" s="25" t="n"/>
    </row>
    <row r="21">
      <c r="A21" s="6" t="n">
        <v>46092</v>
      </c>
      <c r="B21" s="7" t="inlineStr">
        <is>
          <t>srijeda</t>
        </is>
      </c>
      <c r="C21" s="7" t="inlineStr">
        <is>
          <t>ožujak</t>
        </is>
      </c>
      <c r="D21" s="7" t="inlineStr">
        <is>
          <t>x</t>
        </is>
      </c>
      <c r="E21" s="7" t="n"/>
      <c r="F21" s="7" t="n"/>
      <c r="G21" s="7" t="n"/>
      <c r="H21" s="25" t="n"/>
    </row>
    <row r="22">
      <c r="A22" s="6" t="n">
        <v>46097</v>
      </c>
      <c r="B22" s="7" t="inlineStr">
        <is>
          <t>ponedjeljak</t>
        </is>
      </c>
      <c r="C22" s="7" t="inlineStr">
        <is>
          <t>ožujak</t>
        </is>
      </c>
      <c r="D22" s="7" t="n"/>
      <c r="E22" s="7" t="inlineStr">
        <is>
          <t>x</t>
        </is>
      </c>
      <c r="F22" s="7" t="n"/>
      <c r="G22" s="7" t="n"/>
      <c r="H22" s="25" t="n"/>
    </row>
    <row r="23">
      <c r="A23" s="6" t="n">
        <v>46104</v>
      </c>
      <c r="B23" s="7" t="inlineStr">
        <is>
          <t>ponedjeljak</t>
        </is>
      </c>
      <c r="C23" s="7" t="inlineStr">
        <is>
          <t>ožujak</t>
        </is>
      </c>
      <c r="D23" s="7" t="n"/>
      <c r="E23" s="7" t="inlineStr">
        <is>
          <t>x</t>
        </is>
      </c>
      <c r="F23" s="7" t="n"/>
      <c r="G23" s="7" t="n"/>
      <c r="H23" s="25" t="n"/>
    </row>
    <row r="24">
      <c r="A24" s="6" t="n">
        <v>46106</v>
      </c>
      <c r="B24" s="7" t="inlineStr">
        <is>
          <t>srijeda</t>
        </is>
      </c>
      <c r="C24" s="7" t="inlineStr">
        <is>
          <t>ožujak</t>
        </is>
      </c>
      <c r="D24" s="7" t="inlineStr">
        <is>
          <t>x</t>
        </is>
      </c>
      <c r="E24" s="7" t="n"/>
      <c r="F24" s="7" t="n"/>
      <c r="G24" s="7" t="n"/>
      <c r="H24" s="25" t="n"/>
    </row>
    <row r="25">
      <c r="A25" s="6" t="n">
        <v>46111</v>
      </c>
      <c r="B25" s="7" t="inlineStr">
        <is>
          <t>ponedjeljak</t>
        </is>
      </c>
      <c r="C25" s="7" t="inlineStr">
        <is>
          <t>ožujak</t>
        </is>
      </c>
      <c r="D25" s="7" t="n"/>
      <c r="E25" s="7" t="inlineStr">
        <is>
          <t>x</t>
        </is>
      </c>
      <c r="F25" s="7" t="n"/>
      <c r="G25" s="7" t="n"/>
      <c r="H25" s="25" t="n"/>
    </row>
    <row r="26">
      <c r="A26" s="6" t="n">
        <v>46112</v>
      </c>
      <c r="B26" s="7" t="inlineStr">
        <is>
          <t>utorak</t>
        </is>
      </c>
      <c r="C26" s="7" t="inlineStr">
        <is>
          <t>ožujak</t>
        </is>
      </c>
      <c r="D26" s="7" t="n"/>
      <c r="E26" s="7" t="n"/>
      <c r="F26" s="7" t="inlineStr">
        <is>
          <t>x</t>
        </is>
      </c>
      <c r="G26" s="7" t="inlineStr">
        <is>
          <t>x</t>
        </is>
      </c>
      <c r="H26" s="25" t="n"/>
    </row>
    <row r="27">
      <c r="A27" s="23" t="n">
        <v>46119</v>
      </c>
      <c r="B27" s="24" t="inlineStr">
        <is>
          <t>utorak</t>
        </is>
      </c>
      <c r="C27" s="7" t="inlineStr">
        <is>
          <t>travanj</t>
        </is>
      </c>
      <c r="D27" s="7" t="n"/>
      <c r="E27" s="7" t="inlineStr">
        <is>
          <t>x</t>
        </is>
      </c>
      <c r="F27" s="7" t="n"/>
      <c r="G27" s="7" t="n"/>
      <c r="H27" s="25" t="inlineStr">
        <is>
          <t>Pomaknuto zbog neradnog dana u tjednu</t>
        </is>
      </c>
    </row>
    <row r="28">
      <c r="A28" s="6" t="n">
        <v>46120</v>
      </c>
      <c r="B28" s="7" t="inlineStr">
        <is>
          <t>srijeda</t>
        </is>
      </c>
      <c r="C28" s="7" t="inlineStr">
        <is>
          <t>travanj</t>
        </is>
      </c>
      <c r="D28" s="7" t="inlineStr">
        <is>
          <t>x</t>
        </is>
      </c>
      <c r="E28" s="7" t="n"/>
      <c r="F28" s="7" t="n"/>
      <c r="G28" s="7" t="n"/>
      <c r="H28" s="25" t="n"/>
    </row>
    <row r="29">
      <c r="A29" s="6" t="n">
        <v>46125</v>
      </c>
      <c r="B29" s="7" t="inlineStr">
        <is>
          <t>ponedjeljak</t>
        </is>
      </c>
      <c r="C29" s="7" t="inlineStr">
        <is>
          <t>travanj</t>
        </is>
      </c>
      <c r="D29" s="7" t="n"/>
      <c r="E29" s="7" t="inlineStr">
        <is>
          <t>x</t>
        </is>
      </c>
      <c r="F29" s="7" t="n"/>
      <c r="G29" s="7" t="n"/>
      <c r="H29" s="25" t="n"/>
    </row>
    <row r="30">
      <c r="A30" s="6" t="n">
        <v>46132</v>
      </c>
      <c r="B30" s="7" t="inlineStr">
        <is>
          <t>ponedjeljak</t>
        </is>
      </c>
      <c r="C30" s="7" t="inlineStr">
        <is>
          <t>travanj</t>
        </is>
      </c>
      <c r="D30" s="7" t="n"/>
      <c r="E30" s="7" t="inlineStr">
        <is>
          <t>x</t>
        </is>
      </c>
      <c r="F30" s="7" t="n"/>
      <c r="G30" s="7" t="n"/>
      <c r="H30" s="25" t="n"/>
    </row>
    <row r="31">
      <c r="A31" s="6" t="n">
        <v>46134</v>
      </c>
      <c r="B31" s="7" t="inlineStr">
        <is>
          <t>srijeda</t>
        </is>
      </c>
      <c r="C31" s="7" t="inlineStr">
        <is>
          <t>travanj</t>
        </is>
      </c>
      <c r="D31" s="7" t="inlineStr">
        <is>
          <t>x</t>
        </is>
      </c>
      <c r="E31" s="7" t="n"/>
      <c r="F31" s="7" t="n"/>
      <c r="G31" s="7" t="n"/>
      <c r="H31" s="25" t="n"/>
    </row>
    <row r="32">
      <c r="A32" s="6" t="n">
        <v>46139</v>
      </c>
      <c r="B32" s="7" t="inlineStr">
        <is>
          <t>ponedjeljak</t>
        </is>
      </c>
      <c r="C32" s="7" t="inlineStr">
        <is>
          <t>travanj</t>
        </is>
      </c>
      <c r="D32" s="7" t="n"/>
      <c r="E32" s="7" t="inlineStr">
        <is>
          <t>x</t>
        </is>
      </c>
      <c r="F32" s="7" t="n"/>
      <c r="G32" s="7" t="n"/>
      <c r="H32" s="25" t="n"/>
    </row>
    <row r="33">
      <c r="A33" s="6" t="n">
        <v>46140</v>
      </c>
      <c r="B33" s="7" t="inlineStr">
        <is>
          <t>utorak</t>
        </is>
      </c>
      <c r="C33" s="7" t="inlineStr">
        <is>
          <t>travanj</t>
        </is>
      </c>
      <c r="D33" s="7" t="n"/>
      <c r="E33" s="7" t="n"/>
      <c r="F33" s="7" t="inlineStr">
        <is>
          <t>x</t>
        </is>
      </c>
      <c r="G33" s="7" t="inlineStr">
        <is>
          <t>x</t>
        </is>
      </c>
      <c r="H33" s="25" t="n"/>
    </row>
    <row r="34">
      <c r="A34" s="6" t="n">
        <v>46146</v>
      </c>
      <c r="B34" s="7" t="inlineStr">
        <is>
          <t>ponedjeljak</t>
        </is>
      </c>
      <c r="C34" s="7" t="inlineStr">
        <is>
          <t>svibanj</t>
        </is>
      </c>
      <c r="D34" s="7" t="n"/>
      <c r="E34" s="7" t="inlineStr">
        <is>
          <t>x</t>
        </is>
      </c>
      <c r="F34" s="7" t="n"/>
      <c r="G34" s="7" t="n"/>
      <c r="H34" s="25" t="n"/>
    </row>
    <row r="35">
      <c r="A35" s="6" t="n">
        <v>46148</v>
      </c>
      <c r="B35" s="7" t="inlineStr">
        <is>
          <t>srijeda</t>
        </is>
      </c>
      <c r="C35" s="7" t="inlineStr">
        <is>
          <t>svibanj</t>
        </is>
      </c>
      <c r="D35" s="7" t="inlineStr">
        <is>
          <t>x</t>
        </is>
      </c>
      <c r="E35" s="7" t="n"/>
      <c r="F35" s="7" t="n"/>
      <c r="G35" s="7" t="n"/>
      <c r="H35" s="25" t="n"/>
    </row>
    <row r="36">
      <c r="A36" s="6" t="n">
        <v>46153</v>
      </c>
      <c r="B36" s="7" t="inlineStr">
        <is>
          <t>ponedjeljak</t>
        </is>
      </c>
      <c r="C36" s="7" t="inlineStr">
        <is>
          <t>svibanj</t>
        </is>
      </c>
      <c r="D36" s="7" t="n"/>
      <c r="E36" s="7" t="inlineStr">
        <is>
          <t>x</t>
        </is>
      </c>
      <c r="F36" s="7" t="n"/>
      <c r="G36" s="7" t="n"/>
      <c r="H36" s="25" t="n"/>
    </row>
    <row r="37">
      <c r="A37" s="6" t="n">
        <v>46160</v>
      </c>
      <c r="B37" s="7" t="inlineStr">
        <is>
          <t>ponedjeljak</t>
        </is>
      </c>
      <c r="C37" s="7" t="inlineStr">
        <is>
          <t>svibanj</t>
        </is>
      </c>
      <c r="D37" s="7" t="n"/>
      <c r="E37" s="7" t="inlineStr">
        <is>
          <t>x</t>
        </is>
      </c>
      <c r="F37" s="7" t="n"/>
      <c r="G37" s="7" t="n"/>
      <c r="H37" s="25" t="n"/>
    </row>
    <row r="38">
      <c r="A38" s="6" t="n">
        <v>46162</v>
      </c>
      <c r="B38" s="7" t="inlineStr">
        <is>
          <t>srijeda</t>
        </is>
      </c>
      <c r="C38" s="7" t="inlineStr">
        <is>
          <t>svibanj</t>
        </is>
      </c>
      <c r="D38" s="7" t="inlineStr">
        <is>
          <t>x</t>
        </is>
      </c>
      <c r="E38" s="7" t="n"/>
      <c r="F38" s="7" t="n"/>
      <c r="G38" s="7" t="n"/>
      <c r="H38" s="25" t="n"/>
    </row>
    <row r="39">
      <c r="A39" s="6" t="n">
        <v>46167</v>
      </c>
      <c r="B39" s="7" t="inlineStr">
        <is>
          <t>ponedjeljak</t>
        </is>
      </c>
      <c r="C39" s="7" t="inlineStr">
        <is>
          <t>svibanj</t>
        </is>
      </c>
      <c r="D39" s="7" t="n"/>
      <c r="E39" s="7" t="inlineStr">
        <is>
          <t>x</t>
        </is>
      </c>
      <c r="F39" s="7" t="n"/>
      <c r="G39" s="7" t="n"/>
      <c r="H39" s="25" t="n"/>
    </row>
    <row r="40">
      <c r="A40" s="6" t="n">
        <v>46168</v>
      </c>
      <c r="B40" s="7" t="inlineStr">
        <is>
          <t>utorak</t>
        </is>
      </c>
      <c r="C40" s="7" t="inlineStr">
        <is>
          <t>svibanj</t>
        </is>
      </c>
      <c r="D40" s="7" t="n"/>
      <c r="E40" s="7" t="n"/>
      <c r="F40" s="7" t="inlineStr">
        <is>
          <t>x</t>
        </is>
      </c>
      <c r="G40" s="7" t="inlineStr">
        <is>
          <t>x</t>
        </is>
      </c>
      <c r="H40" s="25" t="n"/>
    </row>
    <row r="41">
      <c r="A41" s="6" t="n">
        <v>46174</v>
      </c>
      <c r="B41" s="7" t="inlineStr">
        <is>
          <t>ponedjeljak</t>
        </is>
      </c>
      <c r="C41" s="7" t="inlineStr">
        <is>
          <t>lipanj</t>
        </is>
      </c>
      <c r="D41" s="7" t="n"/>
      <c r="E41" s="7" t="inlineStr">
        <is>
          <t>x</t>
        </is>
      </c>
      <c r="F41" s="7" t="n"/>
      <c r="G41" s="7" t="n"/>
      <c r="H41" s="25" t="n"/>
    </row>
    <row r="42">
      <c r="A42" s="6" t="n">
        <v>46176</v>
      </c>
      <c r="B42" s="7" t="inlineStr">
        <is>
          <t>srijeda</t>
        </is>
      </c>
      <c r="C42" s="7" t="inlineStr">
        <is>
          <t>lipanj</t>
        </is>
      </c>
      <c r="D42" s="7" t="inlineStr">
        <is>
          <t>x</t>
        </is>
      </c>
      <c r="E42" s="7" t="n"/>
      <c r="F42" s="7" t="n"/>
      <c r="G42" s="7" t="n"/>
      <c r="H42" s="25" t="n"/>
    </row>
    <row r="43">
      <c r="A43" s="6" t="n">
        <v>46181</v>
      </c>
      <c r="B43" s="7" t="inlineStr">
        <is>
          <t>ponedjeljak</t>
        </is>
      </c>
      <c r="C43" s="7" t="inlineStr">
        <is>
          <t>lipanj</t>
        </is>
      </c>
      <c r="D43" s="7" t="n"/>
      <c r="E43" s="7" t="inlineStr">
        <is>
          <t>x</t>
        </is>
      </c>
      <c r="F43" s="7" t="n"/>
      <c r="G43" s="7" t="n"/>
      <c r="H43" s="25" t="n"/>
    </row>
    <row r="44">
      <c r="A44" s="6" t="n">
        <v>46188</v>
      </c>
      <c r="B44" s="7" t="inlineStr">
        <is>
          <t>ponedjeljak</t>
        </is>
      </c>
      <c r="C44" s="7" t="inlineStr">
        <is>
          <t>lipanj</t>
        </is>
      </c>
      <c r="D44" s="7" t="n"/>
      <c r="E44" s="7" t="inlineStr">
        <is>
          <t>x</t>
        </is>
      </c>
      <c r="F44" s="7" t="n"/>
      <c r="G44" s="7" t="n"/>
      <c r="H44" s="25" t="n"/>
    </row>
    <row r="45">
      <c r="A45" s="6" t="n">
        <v>46190</v>
      </c>
      <c r="B45" s="7" t="inlineStr">
        <is>
          <t>srijeda</t>
        </is>
      </c>
      <c r="C45" s="7" t="inlineStr">
        <is>
          <t>lipanj</t>
        </is>
      </c>
      <c r="D45" s="7" t="inlineStr">
        <is>
          <t>x</t>
        </is>
      </c>
      <c r="E45" s="7" t="n"/>
      <c r="F45" s="7" t="n"/>
      <c r="G45" s="7" t="n"/>
      <c r="H45" s="25" t="n"/>
    </row>
    <row r="46">
      <c r="A46" s="23" t="n">
        <v>46196</v>
      </c>
      <c r="B46" s="24" t="inlineStr">
        <is>
          <t>utorak</t>
        </is>
      </c>
      <c r="C46" s="7" t="inlineStr">
        <is>
          <t>lipanj</t>
        </is>
      </c>
      <c r="D46" s="7" t="n"/>
      <c r="E46" s="7" t="inlineStr">
        <is>
          <t>x</t>
        </is>
      </c>
      <c r="F46" s="7" t="inlineStr">
        <is>
          <t>x</t>
        </is>
      </c>
      <c r="G46" s="7" t="inlineStr">
        <is>
          <t>x</t>
        </is>
      </c>
      <c r="H46" s="25" t="inlineStr">
        <is>
          <t>Pomaknuto zbog neradnog dana u tjednu</t>
        </is>
      </c>
    </row>
    <row r="47">
      <c r="A47" s="6" t="n">
        <v>46202</v>
      </c>
      <c r="B47" s="7" t="inlineStr">
        <is>
          <t>ponedjeljak</t>
        </is>
      </c>
      <c r="C47" s="7" t="inlineStr">
        <is>
          <t>lipanj</t>
        </is>
      </c>
      <c r="D47" s="7" t="n"/>
      <c r="E47" s="7" t="inlineStr">
        <is>
          <t>x</t>
        </is>
      </c>
      <c r="F47" s="7" t="n"/>
      <c r="G47" s="7" t="n"/>
      <c r="H47" s="25" t="n"/>
    </row>
    <row r="48">
      <c r="A48" s="6" t="n">
        <v>46204</v>
      </c>
      <c r="B48" s="7" t="inlineStr">
        <is>
          <t>srijeda</t>
        </is>
      </c>
      <c r="C48" s="7" t="inlineStr">
        <is>
          <t>srpanj</t>
        </is>
      </c>
      <c r="D48" s="7" t="inlineStr">
        <is>
          <t>x</t>
        </is>
      </c>
      <c r="E48" s="7" t="n"/>
      <c r="F48" s="7" t="n"/>
      <c r="G48" s="7" t="n"/>
      <c r="H48" s="25" t="n"/>
    </row>
    <row r="49">
      <c r="A49" s="6" t="n">
        <v>46209</v>
      </c>
      <c r="B49" s="7" t="inlineStr">
        <is>
          <t>ponedjeljak</t>
        </is>
      </c>
      <c r="C49" s="7" t="inlineStr">
        <is>
          <t>srpanj</t>
        </is>
      </c>
      <c r="D49" s="7" t="n"/>
      <c r="E49" s="7" t="inlineStr">
        <is>
          <t>x</t>
        </is>
      </c>
      <c r="F49" s="7" t="n"/>
      <c r="G49" s="7" t="n"/>
      <c r="H49" s="25" t="n"/>
    </row>
    <row r="50">
      <c r="A50" s="6" t="n">
        <v>46216</v>
      </c>
      <c r="B50" s="7" t="inlineStr">
        <is>
          <t>ponedjeljak</t>
        </is>
      </c>
      <c r="C50" s="7" t="inlineStr">
        <is>
          <t>srpanj</t>
        </is>
      </c>
      <c r="D50" s="7" t="n"/>
      <c r="E50" s="7" t="inlineStr">
        <is>
          <t>x</t>
        </is>
      </c>
      <c r="F50" s="7" t="n"/>
      <c r="G50" s="7" t="n"/>
      <c r="H50" s="25" t="n"/>
    </row>
    <row r="51">
      <c r="A51" s="6" t="n">
        <v>46218</v>
      </c>
      <c r="B51" s="7" t="inlineStr">
        <is>
          <t>srijeda</t>
        </is>
      </c>
      <c r="C51" s="7" t="inlineStr">
        <is>
          <t>srpanj</t>
        </is>
      </c>
      <c r="D51" s="7" t="inlineStr">
        <is>
          <t>x</t>
        </is>
      </c>
      <c r="E51" s="7" t="n"/>
      <c r="F51" s="7" t="n"/>
      <c r="G51" s="7" t="n"/>
      <c r="H51" s="25" t="n"/>
    </row>
    <row r="52">
      <c r="A52" s="6" t="n">
        <v>46223</v>
      </c>
      <c r="B52" s="7" t="inlineStr">
        <is>
          <t>ponedjeljak</t>
        </is>
      </c>
      <c r="C52" s="7" t="inlineStr">
        <is>
          <t>srpanj</t>
        </is>
      </c>
      <c r="D52" s="7" t="n"/>
      <c r="E52" s="7" t="inlineStr">
        <is>
          <t>x</t>
        </is>
      </c>
      <c r="F52" s="7" t="n"/>
      <c r="G52" s="7" t="n"/>
      <c r="H52" s="25" t="n"/>
    </row>
    <row r="53">
      <c r="A53" s="6" t="n">
        <v>46224</v>
      </c>
      <c r="B53" s="7" t="inlineStr">
        <is>
          <t>utorak</t>
        </is>
      </c>
      <c r="C53" s="7" t="inlineStr">
        <is>
          <t>srpanj</t>
        </is>
      </c>
      <c r="D53" s="7" t="n"/>
      <c r="E53" s="7" t="n"/>
      <c r="F53" s="7" t="inlineStr">
        <is>
          <t>x</t>
        </is>
      </c>
      <c r="G53" s="7" t="inlineStr">
        <is>
          <t>x</t>
        </is>
      </c>
      <c r="H53" s="25" t="n"/>
    </row>
    <row r="54">
      <c r="A54" s="6" t="n">
        <v>46230</v>
      </c>
      <c r="B54" s="7" t="inlineStr">
        <is>
          <t>ponedjeljak</t>
        </is>
      </c>
      <c r="C54" s="7" t="inlineStr">
        <is>
          <t>srpanj</t>
        </is>
      </c>
      <c r="D54" s="7" t="n"/>
      <c r="E54" s="7" t="inlineStr">
        <is>
          <t>x</t>
        </is>
      </c>
      <c r="F54" s="7" t="n"/>
      <c r="G54" s="7" t="n"/>
      <c r="H54" s="25" t="n"/>
    </row>
    <row r="55">
      <c r="A55" s="6" t="n">
        <v>46232</v>
      </c>
      <c r="B55" s="7" t="inlineStr">
        <is>
          <t>srijeda</t>
        </is>
      </c>
      <c r="C55" s="7" t="inlineStr">
        <is>
          <t>srpanj</t>
        </is>
      </c>
      <c r="D55" s="7" t="inlineStr">
        <is>
          <t>x</t>
        </is>
      </c>
      <c r="E55" s="7" t="n"/>
      <c r="F55" s="7" t="n"/>
      <c r="G55" s="7" t="n"/>
      <c r="H55" s="25" t="n"/>
    </row>
    <row r="56">
      <c r="A56" s="6" t="n">
        <v>46237</v>
      </c>
      <c r="B56" s="7" t="inlineStr">
        <is>
          <t>ponedjeljak</t>
        </is>
      </c>
      <c r="C56" s="7" t="inlineStr">
        <is>
          <t>kolovoz</t>
        </is>
      </c>
      <c r="D56" s="7" t="n"/>
      <c r="E56" s="7" t="inlineStr">
        <is>
          <t>x</t>
        </is>
      </c>
      <c r="F56" s="7" t="n"/>
      <c r="G56" s="7" t="n"/>
      <c r="H56" s="25" t="n"/>
    </row>
    <row r="57">
      <c r="A57" s="6" t="n">
        <v>46244</v>
      </c>
      <c r="B57" s="7" t="inlineStr">
        <is>
          <t>ponedjeljak</t>
        </is>
      </c>
      <c r="C57" s="7" t="inlineStr">
        <is>
          <t>kolovoz</t>
        </is>
      </c>
      <c r="D57" s="7" t="n"/>
      <c r="E57" s="7" t="inlineStr">
        <is>
          <t>x</t>
        </is>
      </c>
      <c r="F57" s="7" t="n"/>
      <c r="G57" s="7" t="n"/>
      <c r="H57" s="25" t="n"/>
    </row>
    <row r="58">
      <c r="A58" s="6" t="n">
        <v>46246</v>
      </c>
      <c r="B58" s="7" t="inlineStr">
        <is>
          <t>srijeda</t>
        </is>
      </c>
      <c r="C58" s="7" t="inlineStr">
        <is>
          <t>kolovoz</t>
        </is>
      </c>
      <c r="D58" s="7" t="inlineStr">
        <is>
          <t>x</t>
        </is>
      </c>
      <c r="E58" s="7" t="n"/>
      <c r="F58" s="7" t="n"/>
      <c r="G58" s="7" t="n"/>
      <c r="H58" s="25" t="n"/>
    </row>
    <row r="59">
      <c r="A59" s="6" t="n">
        <v>46251</v>
      </c>
      <c r="B59" s="7" t="inlineStr">
        <is>
          <t>ponedjeljak</t>
        </is>
      </c>
      <c r="C59" s="7" t="inlineStr">
        <is>
          <t>kolovoz</t>
        </is>
      </c>
      <c r="D59" s="7" t="n"/>
      <c r="E59" s="7" t="inlineStr">
        <is>
          <t>x</t>
        </is>
      </c>
      <c r="F59" s="7" t="n"/>
      <c r="G59" s="7" t="n"/>
      <c r="H59" s="25" t="n"/>
    </row>
    <row r="60">
      <c r="A60" s="6" t="n">
        <v>46252</v>
      </c>
      <c r="B60" s="7" t="inlineStr">
        <is>
          <t>utorak</t>
        </is>
      </c>
      <c r="C60" s="7" t="inlineStr">
        <is>
          <t>kolovoz</t>
        </is>
      </c>
      <c r="D60" s="7" t="n"/>
      <c r="E60" s="7" t="n"/>
      <c r="F60" s="7" t="inlineStr">
        <is>
          <t>x</t>
        </is>
      </c>
      <c r="G60" s="7" t="inlineStr">
        <is>
          <t>x</t>
        </is>
      </c>
      <c r="H60" s="25" t="n"/>
    </row>
    <row r="61">
      <c r="A61" s="6" t="n">
        <v>46258</v>
      </c>
      <c r="B61" s="7" t="inlineStr">
        <is>
          <t>ponedjeljak</t>
        </is>
      </c>
      <c r="C61" s="7" t="inlineStr">
        <is>
          <t>kolovoz</t>
        </is>
      </c>
      <c r="D61" s="7" t="n"/>
      <c r="E61" s="7" t="inlineStr">
        <is>
          <t>x</t>
        </is>
      </c>
      <c r="F61" s="7" t="n"/>
      <c r="G61" s="7" t="n"/>
      <c r="H61" s="25" t="n"/>
    </row>
    <row r="62">
      <c r="A62" s="6" t="n">
        <v>46260</v>
      </c>
      <c r="B62" s="7" t="inlineStr">
        <is>
          <t>srijeda</t>
        </is>
      </c>
      <c r="C62" s="7" t="inlineStr">
        <is>
          <t>kolovoz</t>
        </is>
      </c>
      <c r="D62" s="7" t="inlineStr">
        <is>
          <t>x</t>
        </is>
      </c>
      <c r="E62" s="7" t="n"/>
      <c r="F62" s="7" t="n"/>
      <c r="G62" s="7" t="n"/>
      <c r="H62" s="25" t="n"/>
    </row>
    <row r="63">
      <c r="A63" s="6" t="n">
        <v>46265</v>
      </c>
      <c r="B63" s="7" t="inlineStr">
        <is>
          <t>ponedjeljak</t>
        </is>
      </c>
      <c r="C63" s="7" t="inlineStr">
        <is>
          <t>kolovoz</t>
        </is>
      </c>
      <c r="D63" s="7" t="n"/>
      <c r="E63" s="7" t="inlineStr">
        <is>
          <t>x</t>
        </is>
      </c>
      <c r="F63" s="7" t="n"/>
      <c r="G63" s="7" t="n"/>
      <c r="H63" s="25" t="n"/>
    </row>
    <row r="64">
      <c r="A64" s="6" t="n">
        <v>46272</v>
      </c>
      <c r="B64" s="7" t="inlineStr">
        <is>
          <t>ponedjeljak</t>
        </is>
      </c>
      <c r="C64" s="7" t="inlineStr">
        <is>
          <t>rujan</t>
        </is>
      </c>
      <c r="D64" s="7" t="n"/>
      <c r="E64" s="7" t="inlineStr">
        <is>
          <t>x</t>
        </is>
      </c>
      <c r="F64" s="7" t="n"/>
      <c r="G64" s="7" t="n"/>
      <c r="H64" s="25" t="n"/>
    </row>
    <row r="65">
      <c r="A65" s="6" t="n">
        <v>46274</v>
      </c>
      <c r="B65" s="7" t="inlineStr">
        <is>
          <t>srijeda</t>
        </is>
      </c>
      <c r="C65" s="7" t="inlineStr">
        <is>
          <t>rujan</t>
        </is>
      </c>
      <c r="D65" s="7" t="inlineStr">
        <is>
          <t>x</t>
        </is>
      </c>
      <c r="E65" s="7" t="n"/>
      <c r="F65" s="7" t="n"/>
      <c r="G65" s="7" t="n"/>
      <c r="H65" s="25" t="n"/>
    </row>
    <row r="66">
      <c r="A66" s="6" t="n">
        <v>46279</v>
      </c>
      <c r="B66" s="7" t="inlineStr">
        <is>
          <t>ponedjeljak</t>
        </is>
      </c>
      <c r="C66" s="7" t="inlineStr">
        <is>
          <t>rujan</t>
        </is>
      </c>
      <c r="D66" s="7" t="n"/>
      <c r="E66" s="7" t="inlineStr">
        <is>
          <t>x</t>
        </is>
      </c>
      <c r="F66" s="7" t="n"/>
      <c r="G66" s="7" t="n"/>
      <c r="H66" s="25" t="n"/>
    </row>
    <row r="67">
      <c r="A67" s="6" t="n">
        <v>46280</v>
      </c>
      <c r="B67" s="7" t="inlineStr">
        <is>
          <t>utorak</t>
        </is>
      </c>
      <c r="C67" s="7" t="inlineStr">
        <is>
          <t>rujan</t>
        </is>
      </c>
      <c r="D67" s="7" t="n"/>
      <c r="E67" s="7" t="n"/>
      <c r="F67" s="7" t="inlineStr">
        <is>
          <t>x</t>
        </is>
      </c>
      <c r="G67" s="7" t="inlineStr">
        <is>
          <t>x</t>
        </is>
      </c>
      <c r="H67" s="25" t="n"/>
    </row>
    <row r="68">
      <c r="A68" s="6" t="n">
        <v>46286</v>
      </c>
      <c r="B68" s="7" t="inlineStr">
        <is>
          <t>ponedjeljak</t>
        </is>
      </c>
      <c r="C68" s="7" t="inlineStr">
        <is>
          <t>rujan</t>
        </is>
      </c>
      <c r="D68" s="7" t="n"/>
      <c r="E68" s="7" t="inlineStr">
        <is>
          <t>x</t>
        </is>
      </c>
      <c r="F68" s="7" t="n"/>
      <c r="G68" s="7" t="n"/>
      <c r="H68" s="25" t="n"/>
    </row>
    <row r="69">
      <c r="A69" s="6" t="n">
        <v>46288</v>
      </c>
      <c r="B69" s="7" t="inlineStr">
        <is>
          <t>srijeda</t>
        </is>
      </c>
      <c r="C69" s="7" t="inlineStr">
        <is>
          <t>rujan</t>
        </is>
      </c>
      <c r="D69" s="7" t="inlineStr">
        <is>
          <t>x</t>
        </is>
      </c>
      <c r="E69" s="7" t="n"/>
      <c r="F69" s="7" t="n"/>
      <c r="G69" s="7" t="n"/>
      <c r="H69" s="25" t="n"/>
    </row>
    <row r="70">
      <c r="A70" s="6" t="n">
        <v>46293</v>
      </c>
      <c r="B70" s="7" t="inlineStr">
        <is>
          <t>ponedjeljak</t>
        </is>
      </c>
      <c r="C70" s="7" t="inlineStr">
        <is>
          <t>rujan</t>
        </is>
      </c>
      <c r="D70" s="7" t="n"/>
      <c r="E70" s="7" t="inlineStr">
        <is>
          <t>x</t>
        </is>
      </c>
      <c r="F70" s="7" t="n"/>
      <c r="G70" s="7" t="n"/>
      <c r="H70" s="25" t="n"/>
    </row>
    <row r="71">
      <c r="A71" s="6" t="n">
        <v>46300</v>
      </c>
      <c r="B71" s="7" t="inlineStr">
        <is>
          <t>ponedjeljak</t>
        </is>
      </c>
      <c r="C71" s="7" t="inlineStr">
        <is>
          <t>listopad</t>
        </is>
      </c>
      <c r="D71" s="7" t="n"/>
      <c r="E71" s="7" t="inlineStr">
        <is>
          <t>x</t>
        </is>
      </c>
      <c r="F71" s="7" t="n"/>
      <c r="G71" s="7" t="n"/>
      <c r="H71" s="25" t="n"/>
    </row>
    <row r="72">
      <c r="A72" s="6" t="n">
        <v>46302</v>
      </c>
      <c r="B72" s="7" t="inlineStr">
        <is>
          <t>srijeda</t>
        </is>
      </c>
      <c r="C72" s="7" t="inlineStr">
        <is>
          <t>listopad</t>
        </is>
      </c>
      <c r="D72" s="7" t="inlineStr">
        <is>
          <t>x</t>
        </is>
      </c>
      <c r="E72" s="7" t="n"/>
      <c r="F72" s="7" t="n"/>
      <c r="G72" s="7" t="n"/>
      <c r="H72" s="25" t="n"/>
    </row>
    <row r="73">
      <c r="A73" s="6" t="n">
        <v>46307</v>
      </c>
      <c r="B73" s="7" t="inlineStr">
        <is>
          <t>ponedjeljak</t>
        </is>
      </c>
      <c r="C73" s="7" t="inlineStr">
        <is>
          <t>listopad</t>
        </is>
      </c>
      <c r="D73" s="7" t="n"/>
      <c r="E73" s="7" t="inlineStr">
        <is>
          <t>x</t>
        </is>
      </c>
      <c r="F73" s="7" t="n"/>
      <c r="G73" s="7" t="n"/>
      <c r="H73" s="25" t="n"/>
    </row>
    <row r="74">
      <c r="A74" s="6" t="n">
        <v>46308</v>
      </c>
      <c r="B74" s="7" t="inlineStr">
        <is>
          <t>utorak</t>
        </is>
      </c>
      <c r="C74" s="7" t="inlineStr">
        <is>
          <t>listopad</t>
        </is>
      </c>
      <c r="D74" s="7" t="n"/>
      <c r="E74" s="7" t="n"/>
      <c r="F74" s="7" t="inlineStr">
        <is>
          <t>x</t>
        </is>
      </c>
      <c r="G74" s="7" t="inlineStr">
        <is>
          <t>x</t>
        </is>
      </c>
      <c r="H74" s="25" t="n"/>
    </row>
    <row r="75">
      <c r="A75" s="6" t="n">
        <v>46314</v>
      </c>
      <c r="B75" s="7" t="inlineStr">
        <is>
          <t>ponedjeljak</t>
        </is>
      </c>
      <c r="C75" s="7" t="inlineStr">
        <is>
          <t>listopad</t>
        </is>
      </c>
      <c r="D75" s="7" t="n"/>
      <c r="E75" s="7" t="inlineStr">
        <is>
          <t>x</t>
        </is>
      </c>
      <c r="F75" s="7" t="n"/>
      <c r="G75" s="7" t="n"/>
      <c r="H75" s="25" t="n"/>
    </row>
    <row r="76">
      <c r="A76" s="6" t="n">
        <v>46316</v>
      </c>
      <c r="B76" s="7" t="inlineStr">
        <is>
          <t>srijeda</t>
        </is>
      </c>
      <c r="C76" s="7" t="inlineStr">
        <is>
          <t>listopad</t>
        </is>
      </c>
      <c r="D76" s="7" t="inlineStr">
        <is>
          <t>x</t>
        </is>
      </c>
      <c r="E76" s="7" t="n"/>
      <c r="F76" s="7" t="n"/>
      <c r="G76" s="7" t="n"/>
      <c r="H76" s="25" t="n"/>
    </row>
    <row r="77">
      <c r="A77" s="6" t="n">
        <v>46321</v>
      </c>
      <c r="B77" s="7" t="inlineStr">
        <is>
          <t>ponedjeljak</t>
        </is>
      </c>
      <c r="C77" s="7" t="inlineStr">
        <is>
          <t>listopad</t>
        </is>
      </c>
      <c r="D77" s="7" t="n"/>
      <c r="E77" s="7" t="inlineStr">
        <is>
          <t>x</t>
        </is>
      </c>
      <c r="F77" s="7" t="n"/>
      <c r="G77" s="7" t="n"/>
      <c r="H77" s="25" t="n"/>
    </row>
    <row r="78">
      <c r="A78" s="6" t="n">
        <v>46328</v>
      </c>
      <c r="B78" s="7" t="inlineStr">
        <is>
          <t>ponedjeljak</t>
        </is>
      </c>
      <c r="C78" s="7" t="inlineStr">
        <is>
          <t>studeni</t>
        </is>
      </c>
      <c r="D78" s="7" t="n"/>
      <c r="E78" s="7" t="inlineStr">
        <is>
          <t>x</t>
        </is>
      </c>
      <c r="F78" s="7" t="n"/>
      <c r="G78" s="7" t="n"/>
      <c r="H78" s="25" t="n"/>
    </row>
    <row r="79">
      <c r="A79" s="6" t="n">
        <v>46330</v>
      </c>
      <c r="B79" s="7" t="inlineStr">
        <is>
          <t>srijeda</t>
        </is>
      </c>
      <c r="C79" s="7" t="inlineStr">
        <is>
          <t>studeni</t>
        </is>
      </c>
      <c r="D79" s="7" t="inlineStr">
        <is>
          <t>x</t>
        </is>
      </c>
      <c r="E79" s="7" t="n"/>
      <c r="F79" s="7" t="n"/>
      <c r="G79" s="7" t="n"/>
      <c r="H79" s="25" t="n"/>
    </row>
    <row r="80">
      <c r="A80" s="6" t="n">
        <v>46335</v>
      </c>
      <c r="B80" s="7" t="inlineStr">
        <is>
          <t>ponedjeljak</t>
        </is>
      </c>
      <c r="C80" s="7" t="inlineStr">
        <is>
          <t>studeni</t>
        </is>
      </c>
      <c r="D80" s="7" t="n"/>
      <c r="E80" s="7" t="inlineStr">
        <is>
          <t>x</t>
        </is>
      </c>
      <c r="F80" s="7" t="n"/>
      <c r="G80" s="7" t="n"/>
      <c r="H80" s="25" t="n"/>
    </row>
    <row r="81">
      <c r="A81" s="6" t="n">
        <v>46336</v>
      </c>
      <c r="B81" s="7" t="inlineStr">
        <is>
          <t>utorak</t>
        </is>
      </c>
      <c r="C81" s="7" t="inlineStr">
        <is>
          <t>studeni</t>
        </is>
      </c>
      <c r="D81" s="7" t="n"/>
      <c r="E81" s="7" t="n"/>
      <c r="F81" s="7" t="inlineStr">
        <is>
          <t>x</t>
        </is>
      </c>
      <c r="G81" s="7" t="inlineStr">
        <is>
          <t>x</t>
        </is>
      </c>
      <c r="H81" s="25" t="n"/>
    </row>
    <row r="82">
      <c r="A82" s="6" t="n">
        <v>46342</v>
      </c>
      <c r="B82" s="7" t="inlineStr">
        <is>
          <t>ponedjeljak</t>
        </is>
      </c>
      <c r="C82" s="7" t="inlineStr">
        <is>
          <t>studeni</t>
        </is>
      </c>
      <c r="D82" s="7" t="n"/>
      <c r="E82" s="7" t="inlineStr">
        <is>
          <t>x</t>
        </is>
      </c>
      <c r="F82" s="7" t="n"/>
      <c r="G82" s="7" t="n"/>
      <c r="H82" s="25" t="n"/>
    </row>
    <row r="83">
      <c r="A83" s="23" t="n">
        <v>46345</v>
      </c>
      <c r="B83" s="24" t="inlineStr">
        <is>
          <t>četvrtak</t>
        </is>
      </c>
      <c r="C83" s="7" t="inlineStr">
        <is>
          <t>studeni</t>
        </is>
      </c>
      <c r="D83" s="7" t="inlineStr">
        <is>
          <t>x</t>
        </is>
      </c>
      <c r="E83" s="7" t="n"/>
      <c r="F83" s="7" t="n"/>
      <c r="G83" s="7" t="n"/>
      <c r="H83" s="25" t="inlineStr">
        <is>
          <t>Pomaknuto zbog neradnog dana u tjednu</t>
        </is>
      </c>
    </row>
    <row r="84">
      <c r="A84" s="6" t="n">
        <v>46349</v>
      </c>
      <c r="B84" s="7" t="inlineStr">
        <is>
          <t>ponedjeljak</t>
        </is>
      </c>
      <c r="C84" s="7" t="inlineStr">
        <is>
          <t>studeni</t>
        </is>
      </c>
      <c r="D84" s="7" t="n"/>
      <c r="E84" s="7" t="inlineStr">
        <is>
          <t>x</t>
        </is>
      </c>
      <c r="F84" s="7" t="n"/>
      <c r="G84" s="7" t="n"/>
      <c r="H84" s="25" t="n"/>
    </row>
    <row r="85">
      <c r="A85" s="6" t="n">
        <v>46356</v>
      </c>
      <c r="B85" s="7" t="inlineStr">
        <is>
          <t>ponedjeljak</t>
        </is>
      </c>
      <c r="C85" s="7" t="inlineStr">
        <is>
          <t>studeni</t>
        </is>
      </c>
      <c r="D85" s="7" t="n"/>
      <c r="E85" s="7" t="inlineStr">
        <is>
          <t>x</t>
        </is>
      </c>
      <c r="F85" s="7" t="n"/>
      <c r="G85" s="7" t="n"/>
      <c r="H85" s="25" t="n"/>
    </row>
    <row r="86">
      <c r="A86" s="6" t="n">
        <v>46358</v>
      </c>
      <c r="B86" s="7" t="inlineStr">
        <is>
          <t>srijeda</t>
        </is>
      </c>
      <c r="C86" s="7" t="inlineStr">
        <is>
          <t>prosinac</t>
        </is>
      </c>
      <c r="D86" s="7" t="inlineStr">
        <is>
          <t>x</t>
        </is>
      </c>
      <c r="E86" s="7" t="n"/>
      <c r="F86" s="7" t="n"/>
      <c r="G86" s="7" t="n"/>
      <c r="H86" s="25" t="n"/>
    </row>
    <row r="87">
      <c r="A87" s="6" t="n">
        <v>46363</v>
      </c>
      <c r="B87" s="7" t="inlineStr">
        <is>
          <t>ponedjeljak</t>
        </is>
      </c>
      <c r="C87" s="7" t="inlineStr">
        <is>
          <t>prosinac</t>
        </is>
      </c>
      <c r="D87" s="7" t="n"/>
      <c r="E87" s="7" t="inlineStr">
        <is>
          <t>x</t>
        </is>
      </c>
      <c r="F87" s="7" t="n"/>
      <c r="G87" s="7" t="n"/>
      <c r="H87" s="25" t="n"/>
    </row>
    <row r="88">
      <c r="A88" s="6" t="n">
        <v>46364</v>
      </c>
      <c r="B88" s="7" t="inlineStr">
        <is>
          <t>utorak</t>
        </is>
      </c>
      <c r="C88" s="7" t="inlineStr">
        <is>
          <t>prosinac</t>
        </is>
      </c>
      <c r="D88" s="7" t="n"/>
      <c r="E88" s="7" t="n"/>
      <c r="F88" s="7" t="inlineStr">
        <is>
          <t>x</t>
        </is>
      </c>
      <c r="G88" s="7" t="inlineStr">
        <is>
          <t>x</t>
        </is>
      </c>
      <c r="H88" s="25" t="n"/>
    </row>
    <row r="89">
      <c r="A89" s="6" t="n">
        <v>46370</v>
      </c>
      <c r="B89" s="7" t="inlineStr">
        <is>
          <t>ponedjeljak</t>
        </is>
      </c>
      <c r="C89" s="7" t="inlineStr">
        <is>
          <t>prosinac</t>
        </is>
      </c>
      <c r="D89" s="7" t="n"/>
      <c r="E89" s="7" t="inlineStr">
        <is>
          <t>x</t>
        </is>
      </c>
      <c r="F89" s="7" t="n"/>
      <c r="G89" s="7" t="n"/>
      <c r="H89" s="25" t="n"/>
    </row>
    <row r="90">
      <c r="A90" s="6" t="n">
        <v>46372</v>
      </c>
      <c r="B90" s="7" t="inlineStr">
        <is>
          <t>srijeda</t>
        </is>
      </c>
      <c r="C90" s="7" t="inlineStr">
        <is>
          <t>prosinac</t>
        </is>
      </c>
      <c r="D90" s="7" t="inlineStr">
        <is>
          <t>x</t>
        </is>
      </c>
      <c r="E90" s="7" t="n"/>
      <c r="F90" s="7" t="n"/>
      <c r="G90" s="7" t="n"/>
      <c r="H90" s="25" t="n"/>
    </row>
    <row r="91">
      <c r="A91" s="6" t="n">
        <v>46377</v>
      </c>
      <c r="B91" s="7" t="inlineStr">
        <is>
          <t>ponedjeljak</t>
        </is>
      </c>
      <c r="C91" s="7" t="inlineStr">
        <is>
          <t>prosinac</t>
        </is>
      </c>
      <c r="D91" s="7" t="n"/>
      <c r="E91" s="7" t="inlineStr">
        <is>
          <t>x</t>
        </is>
      </c>
      <c r="F91" s="7" t="n"/>
      <c r="G91" s="7" t="n"/>
      <c r="H91" s="25" t="n"/>
    </row>
    <row r="92">
      <c r="A92" s="6" t="n">
        <v>46384</v>
      </c>
      <c r="B92" s="7" t="inlineStr">
        <is>
          <t>ponedjeljak</t>
        </is>
      </c>
      <c r="C92" s="7" t="inlineStr">
        <is>
          <t>prosinac</t>
        </is>
      </c>
      <c r="D92" s="7" t="n"/>
      <c r="E92" s="7" t="inlineStr">
        <is>
          <t>x</t>
        </is>
      </c>
      <c r="F92" s="7" t="n"/>
      <c r="G92" s="7" t="n"/>
      <c r="H92" s="25" t="n"/>
    </row>
    <row r="93">
      <c r="A93" s="6" t="n">
        <v>46386</v>
      </c>
      <c r="B93" s="7" t="inlineStr">
        <is>
          <t>srijeda</t>
        </is>
      </c>
      <c r="C93" s="7" t="inlineStr">
        <is>
          <t>prosinac</t>
        </is>
      </c>
      <c r="D93" s="7" t="inlineStr">
        <is>
          <t>x</t>
        </is>
      </c>
      <c r="E93" s="7" t="n"/>
      <c r="F93" s="7" t="n"/>
      <c r="G93" s="7" t="n"/>
      <c r="H93" s="25" t="n"/>
    </row>
  </sheetData>
  <autoFilter ref="A4:H93"/>
  <conditionalFormatting sqref="D5:D93">
    <cfRule type="expression" priority="1" dxfId="0">
      <formula>D5="x"</formula>
    </cfRule>
  </conditionalFormatting>
  <conditionalFormatting sqref="E5:E93">
    <cfRule type="expression" priority="2" dxfId="1">
      <formula>E5="x"</formula>
    </cfRule>
  </conditionalFormatting>
  <conditionalFormatting sqref="F5:F93">
    <cfRule type="expression" priority="3" dxfId="2">
      <formula>F5="x"</formula>
    </cfRule>
  </conditionalFormatting>
  <conditionalFormatting sqref="G5:G93">
    <cfRule type="expression" priority="4" dxfId="3">
      <formula>G5="x"</formula>
    </cfRule>
  </conditionalFormatting>
  <conditionalFormatting sqref="A5:H93">
    <cfRule type="expression" priority="5" dxfId="4" stopIfTrue="0">
      <formula>$A5&lt;TODAY()</formula>
    </cfRule>
  </conditionalFormatting>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105"/>
  <sheetViews>
    <sheetView workbookViewId="0">
      <pane ySplit="1" topLeftCell="A2" activePane="bottomLeft" state="frozen"/>
      <selection pane="bottomLeft" activeCell="A1" sqref="A1"/>
    </sheetView>
  </sheetViews>
  <sheetFormatPr baseColWidth="8" defaultRowHeight="15"/>
  <cols>
    <col width="13" customWidth="1" min="1" max="1"/>
    <col width="12" customWidth="1" min="2" max="2"/>
    <col width="26" customWidth="1" min="3" max="3"/>
    <col width="40" customWidth="1" min="4" max="4"/>
  </cols>
  <sheetData>
    <row r="1">
      <c r="A1" s="4" t="inlineStr">
        <is>
          <t>Datum</t>
        </is>
      </c>
      <c r="B1" s="4" t="inlineStr">
        <is>
          <t>Dan</t>
        </is>
      </c>
      <c r="C1" s="4" t="inlineStr">
        <is>
          <t>Vrsta otpada</t>
        </is>
      </c>
      <c r="D1" s="4" t="inlineStr">
        <is>
          <t>Napomena</t>
        </is>
      </c>
    </row>
    <row r="2">
      <c r="A2" s="26" t="n">
        <v>46027</v>
      </c>
      <c r="B2" s="17" t="inlineStr">
        <is>
          <t>ponedjeljak</t>
        </is>
      </c>
      <c r="C2" s="9" t="inlineStr">
        <is>
          <t>Biootpad</t>
        </is>
      </c>
      <c r="D2" s="17" t="inlineStr">
        <is>
          <t>Pomaknuto zbog neradnog dana u tjednu</t>
        </is>
      </c>
    </row>
    <row r="3">
      <c r="A3" s="26" t="n">
        <v>46027</v>
      </c>
      <c r="B3" s="17" t="inlineStr">
        <is>
          <t>ponedjeljak</t>
        </is>
      </c>
      <c r="C3" s="10" t="inlineStr">
        <is>
          <t>Plastika</t>
        </is>
      </c>
      <c r="D3" s="17" t="inlineStr">
        <is>
          <t>Pomaknuto zbog neradnog dana u tjednu</t>
        </is>
      </c>
    </row>
    <row r="4">
      <c r="A4" s="26" t="n">
        <v>46027</v>
      </c>
      <c r="B4" s="17" t="inlineStr">
        <is>
          <t>ponedjeljak</t>
        </is>
      </c>
      <c r="C4" s="11" t="inlineStr">
        <is>
          <t>Papir</t>
        </is>
      </c>
      <c r="D4" s="17" t="inlineStr">
        <is>
          <t>Pomaknuto zbog neradnog dana u tjednu</t>
        </is>
      </c>
    </row>
    <row r="5">
      <c r="A5" s="26" t="n">
        <v>46034</v>
      </c>
      <c r="B5" s="17" t="inlineStr">
        <is>
          <t>ponedjeljak</t>
        </is>
      </c>
      <c r="C5" s="9" t="inlineStr">
        <is>
          <t>Biootpad</t>
        </is>
      </c>
      <c r="D5" s="17" t="n"/>
    </row>
    <row r="6">
      <c r="A6" s="26" t="n">
        <v>46036</v>
      </c>
      <c r="B6" s="17" t="inlineStr">
        <is>
          <t>srijeda</t>
        </is>
      </c>
      <c r="C6" s="5" t="inlineStr">
        <is>
          <t>Miješani komunalni otpad</t>
        </is>
      </c>
      <c r="D6" s="17" t="n"/>
    </row>
    <row r="7">
      <c r="A7" s="26" t="n">
        <v>46041</v>
      </c>
      <c r="B7" s="17" t="inlineStr">
        <is>
          <t>ponedjeljak</t>
        </is>
      </c>
      <c r="C7" s="9" t="inlineStr">
        <is>
          <t>Biootpad</t>
        </is>
      </c>
      <c r="D7" s="17" t="n"/>
    </row>
    <row r="8">
      <c r="A8" s="26" t="n">
        <v>46048</v>
      </c>
      <c r="B8" s="17" t="inlineStr">
        <is>
          <t>ponedjeljak</t>
        </is>
      </c>
      <c r="C8" s="9" t="inlineStr">
        <is>
          <t>Biootpad</t>
        </is>
      </c>
      <c r="D8" s="17" t="n"/>
    </row>
    <row r="9">
      <c r="A9" s="26" t="n">
        <v>46050</v>
      </c>
      <c r="B9" s="17" t="inlineStr">
        <is>
          <t>srijeda</t>
        </is>
      </c>
      <c r="C9" s="5" t="inlineStr">
        <is>
          <t>Miješani komunalni otpad</t>
        </is>
      </c>
      <c r="D9" s="17" t="n"/>
    </row>
    <row r="10">
      <c r="A10" s="26" t="n">
        <v>46055</v>
      </c>
      <c r="B10" s="17" t="inlineStr">
        <is>
          <t>ponedjeljak</t>
        </is>
      </c>
      <c r="C10" s="9" t="inlineStr">
        <is>
          <t>Biootpad</t>
        </is>
      </c>
      <c r="D10" s="17" t="n"/>
    </row>
    <row r="11">
      <c r="A11" s="26" t="n">
        <v>46056</v>
      </c>
      <c r="B11" s="17" t="inlineStr">
        <is>
          <t>utorak</t>
        </is>
      </c>
      <c r="C11" s="10" t="inlineStr">
        <is>
          <t>Plastika</t>
        </is>
      </c>
      <c r="D11" s="17" t="n"/>
    </row>
    <row r="12">
      <c r="A12" s="26" t="n">
        <v>46056</v>
      </c>
      <c r="B12" s="17" t="inlineStr">
        <is>
          <t>utorak</t>
        </is>
      </c>
      <c r="C12" s="11" t="inlineStr">
        <is>
          <t>Papir</t>
        </is>
      </c>
      <c r="D12" s="17" t="n"/>
    </row>
    <row r="13">
      <c r="A13" s="26" t="n">
        <v>46062</v>
      </c>
      <c r="B13" s="17" t="inlineStr">
        <is>
          <t>ponedjeljak</t>
        </is>
      </c>
      <c r="C13" s="9" t="inlineStr">
        <is>
          <t>Biootpad</t>
        </is>
      </c>
      <c r="D13" s="17" t="n"/>
    </row>
    <row r="14">
      <c r="A14" s="26" t="n">
        <v>46064</v>
      </c>
      <c r="B14" s="17" t="inlineStr">
        <is>
          <t>srijeda</t>
        </is>
      </c>
      <c r="C14" s="5" t="inlineStr">
        <is>
          <t>Miješani komunalni otpad</t>
        </is>
      </c>
      <c r="D14" s="17" t="n"/>
    </row>
    <row r="15">
      <c r="A15" s="26" t="n">
        <v>46069</v>
      </c>
      <c r="B15" s="17" t="inlineStr">
        <is>
          <t>ponedjeljak</t>
        </is>
      </c>
      <c r="C15" s="9" t="inlineStr">
        <is>
          <t>Biootpad</t>
        </is>
      </c>
      <c r="D15" s="17" t="n"/>
    </row>
    <row r="16">
      <c r="A16" s="26" t="n">
        <v>46076</v>
      </c>
      <c r="B16" s="17" t="inlineStr">
        <is>
          <t>ponedjeljak</t>
        </is>
      </c>
      <c r="C16" s="9" t="inlineStr">
        <is>
          <t>Biootpad</t>
        </is>
      </c>
      <c r="D16" s="17" t="n"/>
    </row>
    <row r="17">
      <c r="A17" s="26" t="n">
        <v>46078</v>
      </c>
      <c r="B17" s="17" t="inlineStr">
        <is>
          <t>srijeda</t>
        </is>
      </c>
      <c r="C17" s="5" t="inlineStr">
        <is>
          <t>Miješani komunalni otpad</t>
        </is>
      </c>
      <c r="D17" s="17" t="n"/>
    </row>
    <row r="18">
      <c r="A18" s="26" t="n">
        <v>46083</v>
      </c>
      <c r="B18" s="17" t="inlineStr">
        <is>
          <t>ponedjeljak</t>
        </is>
      </c>
      <c r="C18" s="9" t="inlineStr">
        <is>
          <t>Biootpad</t>
        </is>
      </c>
      <c r="D18" s="17" t="n"/>
    </row>
    <row r="19">
      <c r="A19" s="26" t="n">
        <v>46084</v>
      </c>
      <c r="B19" s="17" t="inlineStr">
        <is>
          <t>utorak</t>
        </is>
      </c>
      <c r="C19" s="10" t="inlineStr">
        <is>
          <t>Plastika</t>
        </is>
      </c>
      <c r="D19" s="17" t="n"/>
    </row>
    <row r="20">
      <c r="A20" s="26" t="n">
        <v>46084</v>
      </c>
      <c r="B20" s="17" t="inlineStr">
        <is>
          <t>utorak</t>
        </is>
      </c>
      <c r="C20" s="11" t="inlineStr">
        <is>
          <t>Papir</t>
        </is>
      </c>
      <c r="D20" s="17" t="n"/>
    </row>
    <row r="21">
      <c r="A21" s="26" t="n">
        <v>46090</v>
      </c>
      <c r="B21" s="17" t="inlineStr">
        <is>
          <t>ponedjeljak</t>
        </is>
      </c>
      <c r="C21" s="9" t="inlineStr">
        <is>
          <t>Biootpad</t>
        </is>
      </c>
      <c r="D21" s="17" t="n"/>
    </row>
    <row r="22">
      <c r="A22" s="26" t="n">
        <v>46092</v>
      </c>
      <c r="B22" s="17" t="inlineStr">
        <is>
          <t>srijeda</t>
        </is>
      </c>
      <c r="C22" s="5" t="inlineStr">
        <is>
          <t>Miješani komunalni otpad</t>
        </is>
      </c>
      <c r="D22" s="17" t="n"/>
    </row>
    <row r="23">
      <c r="A23" s="26" t="n">
        <v>46097</v>
      </c>
      <c r="B23" s="17" t="inlineStr">
        <is>
          <t>ponedjeljak</t>
        </is>
      </c>
      <c r="C23" s="9" t="inlineStr">
        <is>
          <t>Biootpad</t>
        </is>
      </c>
      <c r="D23" s="17" t="n"/>
    </row>
    <row r="24">
      <c r="A24" s="26" t="n">
        <v>46104</v>
      </c>
      <c r="B24" s="17" t="inlineStr">
        <is>
          <t>ponedjeljak</t>
        </is>
      </c>
      <c r="C24" s="9" t="inlineStr">
        <is>
          <t>Biootpad</t>
        </is>
      </c>
      <c r="D24" s="17" t="n"/>
    </row>
    <row r="25">
      <c r="A25" s="26" t="n">
        <v>46106</v>
      </c>
      <c r="B25" s="17" t="inlineStr">
        <is>
          <t>srijeda</t>
        </is>
      </c>
      <c r="C25" s="5" t="inlineStr">
        <is>
          <t>Miješani komunalni otpad</t>
        </is>
      </c>
      <c r="D25" s="17" t="n"/>
    </row>
    <row r="26">
      <c r="A26" s="26" t="n">
        <v>46111</v>
      </c>
      <c r="B26" s="17" t="inlineStr">
        <is>
          <t>ponedjeljak</t>
        </is>
      </c>
      <c r="C26" s="9" t="inlineStr">
        <is>
          <t>Biootpad</t>
        </is>
      </c>
      <c r="D26" s="17" t="n"/>
    </row>
    <row r="27">
      <c r="A27" s="26" t="n">
        <v>46112</v>
      </c>
      <c r="B27" s="17" t="inlineStr">
        <is>
          <t>utorak</t>
        </is>
      </c>
      <c r="C27" s="10" t="inlineStr">
        <is>
          <t>Plastika</t>
        </is>
      </c>
      <c r="D27" s="17" t="n"/>
    </row>
    <row r="28">
      <c r="A28" s="26" t="n">
        <v>46112</v>
      </c>
      <c r="B28" s="17" t="inlineStr">
        <is>
          <t>utorak</t>
        </is>
      </c>
      <c r="C28" s="11" t="inlineStr">
        <is>
          <t>Papir</t>
        </is>
      </c>
      <c r="D28" s="17" t="n"/>
    </row>
    <row r="29">
      <c r="A29" s="26" t="n">
        <v>46119</v>
      </c>
      <c r="B29" s="17" t="inlineStr">
        <is>
          <t>utorak</t>
        </is>
      </c>
      <c r="C29" s="9" t="inlineStr">
        <is>
          <t>Biootpad</t>
        </is>
      </c>
      <c r="D29" s="17" t="inlineStr">
        <is>
          <t>Pomaknuto zbog neradnog dana u tjednu</t>
        </is>
      </c>
    </row>
    <row r="30">
      <c r="A30" s="26" t="n">
        <v>46120</v>
      </c>
      <c r="B30" s="17" t="inlineStr">
        <is>
          <t>srijeda</t>
        </is>
      </c>
      <c r="C30" s="5" t="inlineStr">
        <is>
          <t>Miješani komunalni otpad</t>
        </is>
      </c>
      <c r="D30" s="17" t="n"/>
    </row>
    <row r="31">
      <c r="A31" s="26" t="n">
        <v>46125</v>
      </c>
      <c r="B31" s="17" t="inlineStr">
        <is>
          <t>ponedjeljak</t>
        </is>
      </c>
      <c r="C31" s="9" t="inlineStr">
        <is>
          <t>Biootpad</t>
        </is>
      </c>
      <c r="D31" s="17" t="n"/>
    </row>
    <row r="32">
      <c r="A32" s="26" t="n">
        <v>46132</v>
      </c>
      <c r="B32" s="17" t="inlineStr">
        <is>
          <t>ponedjeljak</t>
        </is>
      </c>
      <c r="C32" s="9" t="inlineStr">
        <is>
          <t>Biootpad</t>
        </is>
      </c>
      <c r="D32" s="17" t="n"/>
    </row>
    <row r="33">
      <c r="A33" s="26" t="n">
        <v>46134</v>
      </c>
      <c r="B33" s="17" t="inlineStr">
        <is>
          <t>srijeda</t>
        </is>
      </c>
      <c r="C33" s="5" t="inlineStr">
        <is>
          <t>Miješani komunalni otpad</t>
        </is>
      </c>
      <c r="D33" s="17" t="n"/>
    </row>
    <row r="34">
      <c r="A34" s="26" t="n">
        <v>46139</v>
      </c>
      <c r="B34" s="17" t="inlineStr">
        <is>
          <t>ponedjeljak</t>
        </is>
      </c>
      <c r="C34" s="9" t="inlineStr">
        <is>
          <t>Biootpad</t>
        </is>
      </c>
      <c r="D34" s="17" t="n"/>
    </row>
    <row r="35">
      <c r="A35" s="26" t="n">
        <v>46140</v>
      </c>
      <c r="B35" s="17" t="inlineStr">
        <is>
          <t>utorak</t>
        </is>
      </c>
      <c r="C35" s="10" t="inlineStr">
        <is>
          <t>Plastika</t>
        </is>
      </c>
      <c r="D35" s="17" t="n"/>
    </row>
    <row r="36">
      <c r="A36" s="26" t="n">
        <v>46140</v>
      </c>
      <c r="B36" s="17" t="inlineStr">
        <is>
          <t>utorak</t>
        </is>
      </c>
      <c r="C36" s="11" t="inlineStr">
        <is>
          <t>Papir</t>
        </is>
      </c>
      <c r="D36" s="17" t="n"/>
    </row>
    <row r="37">
      <c r="A37" s="26" t="n">
        <v>46146</v>
      </c>
      <c r="B37" s="17" t="inlineStr">
        <is>
          <t>ponedjeljak</t>
        </is>
      </c>
      <c r="C37" s="9" t="inlineStr">
        <is>
          <t>Biootpad</t>
        </is>
      </c>
      <c r="D37" s="17" t="n"/>
    </row>
    <row r="38">
      <c r="A38" s="26" t="n">
        <v>46148</v>
      </c>
      <c r="B38" s="17" t="inlineStr">
        <is>
          <t>srijeda</t>
        </is>
      </c>
      <c r="C38" s="5" t="inlineStr">
        <is>
          <t>Miješani komunalni otpad</t>
        </is>
      </c>
      <c r="D38" s="17" t="n"/>
    </row>
    <row r="39">
      <c r="A39" s="26" t="n">
        <v>46153</v>
      </c>
      <c r="B39" s="17" t="inlineStr">
        <is>
          <t>ponedjeljak</t>
        </is>
      </c>
      <c r="C39" s="9" t="inlineStr">
        <is>
          <t>Biootpad</t>
        </is>
      </c>
      <c r="D39" s="17" t="n"/>
    </row>
    <row r="40">
      <c r="A40" s="26" t="n">
        <v>46160</v>
      </c>
      <c r="B40" s="17" t="inlineStr">
        <is>
          <t>ponedjeljak</t>
        </is>
      </c>
      <c r="C40" s="9" t="inlineStr">
        <is>
          <t>Biootpad</t>
        </is>
      </c>
      <c r="D40" s="17" t="n"/>
    </row>
    <row r="41">
      <c r="A41" s="26" t="n">
        <v>46162</v>
      </c>
      <c r="B41" s="17" t="inlineStr">
        <is>
          <t>srijeda</t>
        </is>
      </c>
      <c r="C41" s="5" t="inlineStr">
        <is>
          <t>Miješani komunalni otpad</t>
        </is>
      </c>
      <c r="D41" s="17" t="n"/>
    </row>
    <row r="42">
      <c r="A42" s="26" t="n">
        <v>46167</v>
      </c>
      <c r="B42" s="17" t="inlineStr">
        <is>
          <t>ponedjeljak</t>
        </is>
      </c>
      <c r="C42" s="9" t="inlineStr">
        <is>
          <t>Biootpad</t>
        </is>
      </c>
      <c r="D42" s="17" t="n"/>
    </row>
    <row r="43">
      <c r="A43" s="26" t="n">
        <v>46168</v>
      </c>
      <c r="B43" s="17" t="inlineStr">
        <is>
          <t>utorak</t>
        </is>
      </c>
      <c r="C43" s="10" t="inlineStr">
        <is>
          <t>Plastika</t>
        </is>
      </c>
      <c r="D43" s="17" t="n"/>
    </row>
    <row r="44">
      <c r="A44" s="26" t="n">
        <v>46168</v>
      </c>
      <c r="B44" s="17" t="inlineStr">
        <is>
          <t>utorak</t>
        </is>
      </c>
      <c r="C44" s="11" t="inlineStr">
        <is>
          <t>Papir</t>
        </is>
      </c>
      <c r="D44" s="17" t="n"/>
    </row>
    <row r="45">
      <c r="A45" s="26" t="n">
        <v>46174</v>
      </c>
      <c r="B45" s="17" t="inlineStr">
        <is>
          <t>ponedjeljak</t>
        </is>
      </c>
      <c r="C45" s="9" t="inlineStr">
        <is>
          <t>Biootpad</t>
        </is>
      </c>
      <c r="D45" s="17" t="n"/>
    </row>
    <row r="46">
      <c r="A46" s="26" t="n">
        <v>46176</v>
      </c>
      <c r="B46" s="17" t="inlineStr">
        <is>
          <t>srijeda</t>
        </is>
      </c>
      <c r="C46" s="5" t="inlineStr">
        <is>
          <t>Miješani komunalni otpad</t>
        </is>
      </c>
      <c r="D46" s="17" t="n"/>
    </row>
    <row r="47">
      <c r="A47" s="26" t="n">
        <v>46181</v>
      </c>
      <c r="B47" s="17" t="inlineStr">
        <is>
          <t>ponedjeljak</t>
        </is>
      </c>
      <c r="C47" s="9" t="inlineStr">
        <is>
          <t>Biootpad</t>
        </is>
      </c>
      <c r="D47" s="17" t="n"/>
    </row>
    <row r="48">
      <c r="A48" s="26" t="n">
        <v>46188</v>
      </c>
      <c r="B48" s="17" t="inlineStr">
        <is>
          <t>ponedjeljak</t>
        </is>
      </c>
      <c r="C48" s="9" t="inlineStr">
        <is>
          <t>Biootpad</t>
        </is>
      </c>
      <c r="D48" s="17" t="n"/>
    </row>
    <row r="49">
      <c r="A49" s="26" t="n">
        <v>46190</v>
      </c>
      <c r="B49" s="17" t="inlineStr">
        <is>
          <t>srijeda</t>
        </is>
      </c>
      <c r="C49" s="5" t="inlineStr">
        <is>
          <t>Miješani komunalni otpad</t>
        </is>
      </c>
      <c r="D49" s="17" t="n"/>
    </row>
    <row r="50">
      <c r="A50" s="26" t="n">
        <v>46196</v>
      </c>
      <c r="B50" s="17" t="inlineStr">
        <is>
          <t>utorak</t>
        </is>
      </c>
      <c r="C50" s="9" t="inlineStr">
        <is>
          <t>Biootpad</t>
        </is>
      </c>
      <c r="D50" s="17" t="inlineStr">
        <is>
          <t>Pomaknuto zbog neradnog dana u tjednu</t>
        </is>
      </c>
    </row>
    <row r="51">
      <c r="A51" s="26" t="n">
        <v>46196</v>
      </c>
      <c r="B51" s="17" t="inlineStr">
        <is>
          <t>utorak</t>
        </is>
      </c>
      <c r="C51" s="10" t="inlineStr">
        <is>
          <t>Plastika</t>
        </is>
      </c>
      <c r="D51" s="17" t="inlineStr">
        <is>
          <t>Pomaknuto zbog neradnog dana u tjednu</t>
        </is>
      </c>
    </row>
    <row r="52">
      <c r="A52" s="26" t="n">
        <v>46196</v>
      </c>
      <c r="B52" s="17" t="inlineStr">
        <is>
          <t>utorak</t>
        </is>
      </c>
      <c r="C52" s="11" t="inlineStr">
        <is>
          <t>Papir</t>
        </is>
      </c>
      <c r="D52" s="17" t="inlineStr">
        <is>
          <t>Pomaknuto zbog neradnog dana u tjednu</t>
        </is>
      </c>
    </row>
    <row r="53">
      <c r="A53" s="26" t="n">
        <v>46202</v>
      </c>
      <c r="B53" s="17" t="inlineStr">
        <is>
          <t>ponedjeljak</t>
        </is>
      </c>
      <c r="C53" s="9" t="inlineStr">
        <is>
          <t>Biootpad</t>
        </is>
      </c>
      <c r="D53" s="17" t="n"/>
    </row>
    <row r="54">
      <c r="A54" s="26" t="n">
        <v>46204</v>
      </c>
      <c r="B54" s="17" t="inlineStr">
        <is>
          <t>srijeda</t>
        </is>
      </c>
      <c r="C54" s="5" t="inlineStr">
        <is>
          <t>Miješani komunalni otpad</t>
        </is>
      </c>
      <c r="D54" s="17" t="n"/>
    </row>
    <row r="55">
      <c r="A55" s="26" t="n">
        <v>46209</v>
      </c>
      <c r="B55" s="17" t="inlineStr">
        <is>
          <t>ponedjeljak</t>
        </is>
      </c>
      <c r="C55" s="9" t="inlineStr">
        <is>
          <t>Biootpad</t>
        </is>
      </c>
      <c r="D55" s="17" t="n"/>
    </row>
    <row r="56">
      <c r="A56" s="26" t="n">
        <v>46216</v>
      </c>
      <c r="B56" s="17" t="inlineStr">
        <is>
          <t>ponedjeljak</t>
        </is>
      </c>
      <c r="C56" s="9" t="inlineStr">
        <is>
          <t>Biootpad</t>
        </is>
      </c>
      <c r="D56" s="17" t="n"/>
    </row>
    <row r="57">
      <c r="A57" s="26" t="n">
        <v>46218</v>
      </c>
      <c r="B57" s="17" t="inlineStr">
        <is>
          <t>srijeda</t>
        </is>
      </c>
      <c r="C57" s="5" t="inlineStr">
        <is>
          <t>Miješani komunalni otpad</t>
        </is>
      </c>
      <c r="D57" s="17" t="n"/>
    </row>
    <row r="58">
      <c r="A58" s="26" t="n">
        <v>46223</v>
      </c>
      <c r="B58" s="17" t="inlineStr">
        <is>
          <t>ponedjeljak</t>
        </is>
      </c>
      <c r="C58" s="9" t="inlineStr">
        <is>
          <t>Biootpad</t>
        </is>
      </c>
      <c r="D58" s="17" t="n"/>
    </row>
    <row r="59">
      <c r="A59" s="26" t="n">
        <v>46224</v>
      </c>
      <c r="B59" s="17" t="inlineStr">
        <is>
          <t>utorak</t>
        </is>
      </c>
      <c r="C59" s="10" t="inlineStr">
        <is>
          <t>Plastika</t>
        </is>
      </c>
      <c r="D59" s="17" t="n"/>
    </row>
    <row r="60">
      <c r="A60" s="26" t="n">
        <v>46224</v>
      </c>
      <c r="B60" s="17" t="inlineStr">
        <is>
          <t>utorak</t>
        </is>
      </c>
      <c r="C60" s="11" t="inlineStr">
        <is>
          <t>Papir</t>
        </is>
      </c>
      <c r="D60" s="17" t="n"/>
    </row>
    <row r="61">
      <c r="A61" s="26" t="n">
        <v>46230</v>
      </c>
      <c r="B61" s="17" t="inlineStr">
        <is>
          <t>ponedjeljak</t>
        </is>
      </c>
      <c r="C61" s="9" t="inlineStr">
        <is>
          <t>Biootpad</t>
        </is>
      </c>
      <c r="D61" s="17" t="n"/>
    </row>
    <row r="62">
      <c r="A62" s="26" t="n">
        <v>46232</v>
      </c>
      <c r="B62" s="17" t="inlineStr">
        <is>
          <t>srijeda</t>
        </is>
      </c>
      <c r="C62" s="5" t="inlineStr">
        <is>
          <t>Miješani komunalni otpad</t>
        </is>
      </c>
      <c r="D62" s="17" t="n"/>
    </row>
    <row r="63">
      <c r="A63" s="26" t="n">
        <v>46237</v>
      </c>
      <c r="B63" s="17" t="inlineStr">
        <is>
          <t>ponedjeljak</t>
        </is>
      </c>
      <c r="C63" s="9" t="inlineStr">
        <is>
          <t>Biootpad</t>
        </is>
      </c>
      <c r="D63" s="17" t="n"/>
    </row>
    <row r="64">
      <c r="A64" s="26" t="n">
        <v>46244</v>
      </c>
      <c r="B64" s="17" t="inlineStr">
        <is>
          <t>ponedjeljak</t>
        </is>
      </c>
      <c r="C64" s="9" t="inlineStr">
        <is>
          <t>Biootpad</t>
        </is>
      </c>
      <c r="D64" s="17" t="n"/>
    </row>
    <row r="65">
      <c r="A65" s="26" t="n">
        <v>46246</v>
      </c>
      <c r="B65" s="17" t="inlineStr">
        <is>
          <t>srijeda</t>
        </is>
      </c>
      <c r="C65" s="5" t="inlineStr">
        <is>
          <t>Miješani komunalni otpad</t>
        </is>
      </c>
      <c r="D65" s="17" t="n"/>
    </row>
    <row r="66">
      <c r="A66" s="26" t="n">
        <v>46251</v>
      </c>
      <c r="B66" s="17" t="inlineStr">
        <is>
          <t>ponedjeljak</t>
        </is>
      </c>
      <c r="C66" s="9" t="inlineStr">
        <is>
          <t>Biootpad</t>
        </is>
      </c>
      <c r="D66" s="17" t="n"/>
    </row>
    <row r="67">
      <c r="A67" s="26" t="n">
        <v>46252</v>
      </c>
      <c r="B67" s="17" t="inlineStr">
        <is>
          <t>utorak</t>
        </is>
      </c>
      <c r="C67" s="10" t="inlineStr">
        <is>
          <t>Plastika</t>
        </is>
      </c>
      <c r="D67" s="17" t="n"/>
    </row>
    <row r="68">
      <c r="A68" s="26" t="n">
        <v>46252</v>
      </c>
      <c r="B68" s="17" t="inlineStr">
        <is>
          <t>utorak</t>
        </is>
      </c>
      <c r="C68" s="11" t="inlineStr">
        <is>
          <t>Papir</t>
        </is>
      </c>
      <c r="D68" s="17" t="n"/>
    </row>
    <row r="69">
      <c r="A69" s="26" t="n">
        <v>46258</v>
      </c>
      <c r="B69" s="17" t="inlineStr">
        <is>
          <t>ponedjeljak</t>
        </is>
      </c>
      <c r="C69" s="9" t="inlineStr">
        <is>
          <t>Biootpad</t>
        </is>
      </c>
      <c r="D69" s="17" t="n"/>
    </row>
    <row r="70">
      <c r="A70" s="26" t="n">
        <v>46260</v>
      </c>
      <c r="B70" s="17" t="inlineStr">
        <is>
          <t>srijeda</t>
        </is>
      </c>
      <c r="C70" s="5" t="inlineStr">
        <is>
          <t>Miješani komunalni otpad</t>
        </is>
      </c>
      <c r="D70" s="17" t="n"/>
    </row>
    <row r="71">
      <c r="A71" s="26" t="n">
        <v>46265</v>
      </c>
      <c r="B71" s="17" t="inlineStr">
        <is>
          <t>ponedjeljak</t>
        </is>
      </c>
      <c r="C71" s="9" t="inlineStr">
        <is>
          <t>Biootpad</t>
        </is>
      </c>
      <c r="D71" s="17" t="n"/>
    </row>
    <row r="72">
      <c r="A72" s="26" t="n">
        <v>46272</v>
      </c>
      <c r="B72" s="17" t="inlineStr">
        <is>
          <t>ponedjeljak</t>
        </is>
      </c>
      <c r="C72" s="9" t="inlineStr">
        <is>
          <t>Biootpad</t>
        </is>
      </c>
      <c r="D72" s="17" t="n"/>
    </row>
    <row r="73">
      <c r="A73" s="26" t="n">
        <v>46274</v>
      </c>
      <c r="B73" s="17" t="inlineStr">
        <is>
          <t>srijeda</t>
        </is>
      </c>
      <c r="C73" s="5" t="inlineStr">
        <is>
          <t>Miješani komunalni otpad</t>
        </is>
      </c>
      <c r="D73" s="17" t="n"/>
    </row>
    <row r="74">
      <c r="A74" s="26" t="n">
        <v>46279</v>
      </c>
      <c r="B74" s="17" t="inlineStr">
        <is>
          <t>ponedjeljak</t>
        </is>
      </c>
      <c r="C74" s="9" t="inlineStr">
        <is>
          <t>Biootpad</t>
        </is>
      </c>
      <c r="D74" s="17" t="n"/>
    </row>
    <row r="75">
      <c r="A75" s="26" t="n">
        <v>46280</v>
      </c>
      <c r="B75" s="17" t="inlineStr">
        <is>
          <t>utorak</t>
        </is>
      </c>
      <c r="C75" s="10" t="inlineStr">
        <is>
          <t>Plastika</t>
        </is>
      </c>
      <c r="D75" s="17" t="n"/>
    </row>
    <row r="76">
      <c r="A76" s="26" t="n">
        <v>46280</v>
      </c>
      <c r="B76" s="17" t="inlineStr">
        <is>
          <t>utorak</t>
        </is>
      </c>
      <c r="C76" s="11" t="inlineStr">
        <is>
          <t>Papir</t>
        </is>
      </c>
      <c r="D76" s="17" t="n"/>
    </row>
    <row r="77">
      <c r="A77" s="26" t="n">
        <v>46286</v>
      </c>
      <c r="B77" s="17" t="inlineStr">
        <is>
          <t>ponedjeljak</t>
        </is>
      </c>
      <c r="C77" s="9" t="inlineStr">
        <is>
          <t>Biootpad</t>
        </is>
      </c>
      <c r="D77" s="17" t="n"/>
    </row>
    <row r="78">
      <c r="A78" s="26" t="n">
        <v>46288</v>
      </c>
      <c r="B78" s="17" t="inlineStr">
        <is>
          <t>srijeda</t>
        </is>
      </c>
      <c r="C78" s="5" t="inlineStr">
        <is>
          <t>Miješani komunalni otpad</t>
        </is>
      </c>
      <c r="D78" s="17" t="n"/>
    </row>
    <row r="79">
      <c r="A79" s="26" t="n">
        <v>46293</v>
      </c>
      <c r="B79" s="17" t="inlineStr">
        <is>
          <t>ponedjeljak</t>
        </is>
      </c>
      <c r="C79" s="9" t="inlineStr">
        <is>
          <t>Biootpad</t>
        </is>
      </c>
      <c r="D79" s="17" t="n"/>
    </row>
    <row r="80">
      <c r="A80" s="26" t="n">
        <v>46300</v>
      </c>
      <c r="B80" s="17" t="inlineStr">
        <is>
          <t>ponedjeljak</t>
        </is>
      </c>
      <c r="C80" s="9" t="inlineStr">
        <is>
          <t>Biootpad</t>
        </is>
      </c>
      <c r="D80" s="17" t="n"/>
    </row>
    <row r="81">
      <c r="A81" s="26" t="n">
        <v>46302</v>
      </c>
      <c r="B81" s="17" t="inlineStr">
        <is>
          <t>srijeda</t>
        </is>
      </c>
      <c r="C81" s="5" t="inlineStr">
        <is>
          <t>Miješani komunalni otpad</t>
        </is>
      </c>
      <c r="D81" s="17" t="n"/>
    </row>
    <row r="82">
      <c r="A82" s="26" t="n">
        <v>46307</v>
      </c>
      <c r="B82" s="17" t="inlineStr">
        <is>
          <t>ponedjeljak</t>
        </is>
      </c>
      <c r="C82" s="9" t="inlineStr">
        <is>
          <t>Biootpad</t>
        </is>
      </c>
      <c r="D82" s="17" t="n"/>
    </row>
    <row r="83">
      <c r="A83" s="26" t="n">
        <v>46308</v>
      </c>
      <c r="B83" s="17" t="inlineStr">
        <is>
          <t>utorak</t>
        </is>
      </c>
      <c r="C83" s="10" t="inlineStr">
        <is>
          <t>Plastika</t>
        </is>
      </c>
      <c r="D83" s="17" t="n"/>
    </row>
    <row r="84">
      <c r="A84" s="26" t="n">
        <v>46308</v>
      </c>
      <c r="B84" s="17" t="inlineStr">
        <is>
          <t>utorak</t>
        </is>
      </c>
      <c r="C84" s="11" t="inlineStr">
        <is>
          <t>Papir</t>
        </is>
      </c>
      <c r="D84" s="17" t="n"/>
    </row>
    <row r="85">
      <c r="A85" s="26" t="n">
        <v>46314</v>
      </c>
      <c r="B85" s="17" t="inlineStr">
        <is>
          <t>ponedjeljak</t>
        </is>
      </c>
      <c r="C85" s="9" t="inlineStr">
        <is>
          <t>Biootpad</t>
        </is>
      </c>
      <c r="D85" s="17" t="n"/>
    </row>
    <row r="86">
      <c r="A86" s="26" t="n">
        <v>46316</v>
      </c>
      <c r="B86" s="17" t="inlineStr">
        <is>
          <t>srijeda</t>
        </is>
      </c>
      <c r="C86" s="5" t="inlineStr">
        <is>
          <t>Miješani komunalni otpad</t>
        </is>
      </c>
      <c r="D86" s="17" t="n"/>
    </row>
    <row r="87">
      <c r="A87" s="26" t="n">
        <v>46321</v>
      </c>
      <c r="B87" s="17" t="inlineStr">
        <is>
          <t>ponedjeljak</t>
        </is>
      </c>
      <c r="C87" s="9" t="inlineStr">
        <is>
          <t>Biootpad</t>
        </is>
      </c>
      <c r="D87" s="17" t="n"/>
    </row>
    <row r="88">
      <c r="A88" s="26" t="n">
        <v>46328</v>
      </c>
      <c r="B88" s="17" t="inlineStr">
        <is>
          <t>ponedjeljak</t>
        </is>
      </c>
      <c r="C88" s="9" t="inlineStr">
        <is>
          <t>Biootpad</t>
        </is>
      </c>
      <c r="D88" s="17" t="n"/>
    </row>
    <row r="89">
      <c r="A89" s="26" t="n">
        <v>46330</v>
      </c>
      <c r="B89" s="17" t="inlineStr">
        <is>
          <t>srijeda</t>
        </is>
      </c>
      <c r="C89" s="5" t="inlineStr">
        <is>
          <t>Miješani komunalni otpad</t>
        </is>
      </c>
      <c r="D89" s="17" t="n"/>
    </row>
    <row r="90">
      <c r="A90" s="26" t="n">
        <v>46335</v>
      </c>
      <c r="B90" s="17" t="inlineStr">
        <is>
          <t>ponedjeljak</t>
        </is>
      </c>
      <c r="C90" s="9" t="inlineStr">
        <is>
          <t>Biootpad</t>
        </is>
      </c>
      <c r="D90" s="17" t="n"/>
    </row>
    <row r="91">
      <c r="A91" s="26" t="n">
        <v>46336</v>
      </c>
      <c r="B91" s="17" t="inlineStr">
        <is>
          <t>utorak</t>
        </is>
      </c>
      <c r="C91" s="10" t="inlineStr">
        <is>
          <t>Plastika</t>
        </is>
      </c>
      <c r="D91" s="17" t="n"/>
    </row>
    <row r="92">
      <c r="A92" s="26" t="n">
        <v>46336</v>
      </c>
      <c r="B92" s="17" t="inlineStr">
        <is>
          <t>utorak</t>
        </is>
      </c>
      <c r="C92" s="11" t="inlineStr">
        <is>
          <t>Papir</t>
        </is>
      </c>
      <c r="D92" s="17" t="n"/>
    </row>
    <row r="93">
      <c r="A93" s="26" t="n">
        <v>46342</v>
      </c>
      <c r="B93" s="17" t="inlineStr">
        <is>
          <t>ponedjeljak</t>
        </is>
      </c>
      <c r="C93" s="9" t="inlineStr">
        <is>
          <t>Biootpad</t>
        </is>
      </c>
      <c r="D93" s="17" t="n"/>
    </row>
    <row r="94">
      <c r="A94" s="26" t="n">
        <v>46345</v>
      </c>
      <c r="B94" s="17" t="inlineStr">
        <is>
          <t>četvrtak</t>
        </is>
      </c>
      <c r="C94" s="5" t="inlineStr">
        <is>
          <t>Miješani komunalni otpad</t>
        </is>
      </c>
      <c r="D94" s="17" t="inlineStr">
        <is>
          <t>Pomaknuto zbog neradnog dana u tjednu</t>
        </is>
      </c>
    </row>
    <row r="95">
      <c r="A95" s="26" t="n">
        <v>46349</v>
      </c>
      <c r="B95" s="17" t="inlineStr">
        <is>
          <t>ponedjeljak</t>
        </is>
      </c>
      <c r="C95" s="9" t="inlineStr">
        <is>
          <t>Biootpad</t>
        </is>
      </c>
      <c r="D95" s="17" t="n"/>
    </row>
    <row r="96">
      <c r="A96" s="26" t="n">
        <v>46356</v>
      </c>
      <c r="B96" s="17" t="inlineStr">
        <is>
          <t>ponedjeljak</t>
        </is>
      </c>
      <c r="C96" s="9" t="inlineStr">
        <is>
          <t>Biootpad</t>
        </is>
      </c>
      <c r="D96" s="17" t="n"/>
    </row>
    <row r="97">
      <c r="A97" s="26" t="n">
        <v>46358</v>
      </c>
      <c r="B97" s="17" t="inlineStr">
        <is>
          <t>srijeda</t>
        </is>
      </c>
      <c r="C97" s="5" t="inlineStr">
        <is>
          <t>Miješani komunalni otpad</t>
        </is>
      </c>
      <c r="D97" s="17" t="n"/>
    </row>
    <row r="98">
      <c r="A98" s="26" t="n">
        <v>46363</v>
      </c>
      <c r="B98" s="17" t="inlineStr">
        <is>
          <t>ponedjeljak</t>
        </is>
      </c>
      <c r="C98" s="9" t="inlineStr">
        <is>
          <t>Biootpad</t>
        </is>
      </c>
      <c r="D98" s="17" t="n"/>
    </row>
    <row r="99">
      <c r="A99" s="26" t="n">
        <v>46364</v>
      </c>
      <c r="B99" s="17" t="inlineStr">
        <is>
          <t>utorak</t>
        </is>
      </c>
      <c r="C99" s="10" t="inlineStr">
        <is>
          <t>Plastika</t>
        </is>
      </c>
      <c r="D99" s="17" t="n"/>
    </row>
    <row r="100">
      <c r="A100" s="26" t="n">
        <v>46364</v>
      </c>
      <c r="B100" s="17" t="inlineStr">
        <is>
          <t>utorak</t>
        </is>
      </c>
      <c r="C100" s="11" t="inlineStr">
        <is>
          <t>Papir</t>
        </is>
      </c>
      <c r="D100" s="17" t="n"/>
    </row>
    <row r="101">
      <c r="A101" s="26" t="n">
        <v>46370</v>
      </c>
      <c r="B101" s="17" t="inlineStr">
        <is>
          <t>ponedjeljak</t>
        </is>
      </c>
      <c r="C101" s="9" t="inlineStr">
        <is>
          <t>Biootpad</t>
        </is>
      </c>
      <c r="D101" s="17" t="n"/>
    </row>
    <row r="102">
      <c r="A102" s="26" t="n">
        <v>46372</v>
      </c>
      <c r="B102" s="17" t="inlineStr">
        <is>
          <t>srijeda</t>
        </is>
      </c>
      <c r="C102" s="5" t="inlineStr">
        <is>
          <t>Miješani komunalni otpad</t>
        </is>
      </c>
      <c r="D102" s="17" t="n"/>
    </row>
    <row r="103">
      <c r="A103" s="26" t="n">
        <v>46377</v>
      </c>
      <c r="B103" s="17" t="inlineStr">
        <is>
          <t>ponedjeljak</t>
        </is>
      </c>
      <c r="C103" s="9" t="inlineStr">
        <is>
          <t>Biootpad</t>
        </is>
      </c>
      <c r="D103" s="17" t="n"/>
    </row>
    <row r="104">
      <c r="A104" s="26" t="n">
        <v>46384</v>
      </c>
      <c r="B104" s="17" t="inlineStr">
        <is>
          <t>ponedjeljak</t>
        </is>
      </c>
      <c r="C104" s="9" t="inlineStr">
        <is>
          <t>Biootpad</t>
        </is>
      </c>
      <c r="D104" s="17" t="n"/>
    </row>
    <row r="105">
      <c r="A105" s="26" t="n">
        <v>46386</v>
      </c>
      <c r="B105" s="17" t="inlineStr">
        <is>
          <t>srijeda</t>
        </is>
      </c>
      <c r="C105" s="5" t="inlineStr">
        <is>
          <t>Miješani komunalni otpad</t>
        </is>
      </c>
      <c r="D105" s="17" t="n"/>
    </row>
  </sheetData>
  <autoFilter ref="A1:D105"/>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11"/>
  <sheetViews>
    <sheetView workbookViewId="0">
      <pane ySplit="4" topLeftCell="A5" activePane="bottomLeft" state="frozen"/>
      <selection pane="bottomLeft" activeCell="A1" sqref="A1"/>
    </sheetView>
  </sheetViews>
  <sheetFormatPr baseColWidth="8" defaultRowHeight="15"/>
  <cols>
    <col width="44" customWidth="1" min="1" max="1"/>
  </cols>
  <sheetData>
    <row r="1">
      <c r="A1" s="1" t="inlineStr">
        <is>
          <t>Zona 3 (Daruvar): ulice i naselja</t>
        </is>
      </c>
    </row>
    <row r="2">
      <c r="A2" s="22" t="inlineStr">
        <is>
          <t>Daruvar 1: Josipa Jelačića, Zagrebačka ulica, A. Šenoe, Ljudevit Selo, Lipovac Majur, P. Preradovića, I. Mažuranića (južno od Jelačićeve), Lj. Gaja (južno od Jelačićeve), J. Knytla, J. Račića, A. Starčevića, P. Zrinskog, P. Svačića (južno od Jelačićeve), Trg K. P. Krešimira IV, Gornji Daruvar</t>
        </is>
      </c>
    </row>
    <row r="4">
      <c r="A4" s="4" t="inlineStr">
        <is>
          <t>Ulica / naselje</t>
        </is>
      </c>
    </row>
    <row r="5">
      <c r="A5" s="17" t="inlineStr">
        <is>
          <t>Josipa Jelačića</t>
        </is>
      </c>
    </row>
    <row r="6">
      <c r="A6" s="17" t="inlineStr">
        <is>
          <t>P. Preradovića</t>
        </is>
      </c>
    </row>
    <row r="7">
      <c r="A7" s="17" t="inlineStr">
        <is>
          <t>I. Mažuranića (južno od Jelačićeve)</t>
        </is>
      </c>
    </row>
    <row r="8">
      <c r="A8" s="17" t="inlineStr">
        <is>
          <t>Lj. Gaja (južno od Jelačićeve)</t>
        </is>
      </c>
    </row>
    <row r="9">
      <c r="A9" s="17" t="inlineStr">
        <is>
          <t>J. Račića</t>
        </is>
      </c>
    </row>
    <row r="10">
      <c r="A10" s="17" t="inlineStr">
        <is>
          <t>A. Starčevića</t>
        </is>
      </c>
    </row>
    <row r="11">
      <c r="A11" s="17" t="inlineStr">
        <is>
          <t>P. Svačića (južno od Jelačićeve)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2026-10-07T18:39:34Z</dcterms:created>
  <dcterms:modified xmlns:dcterms="http://purl.org/dc/terms/" xmlns:xsi="http://www.w3.org/2001/XMLSchema-instance" xsi:type="dcterms:W3CDTF">2026-10-07T18:39:34Z</dcterms:modified>
</cp:coreProperties>
</file>
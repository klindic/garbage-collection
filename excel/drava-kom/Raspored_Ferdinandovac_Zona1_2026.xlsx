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Biorazgradivi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Plastika i metal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9">
      <c r="A9" s="11" t="inlineStr">
        <is>
          <t>Papir i karton</t>
        </is>
      </c>
      <c r="B9" s="6">
        <f>IFERROR(1/(1/_xlfn.MINIFS(Raspored!$A$5:$A$17,Raspored!$G$5:$G$17,"x",Raspored!$A$5:$A$17,"&gt;="&amp;$B$3)),"nema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COUNTIF(Raspored!$G$5:$G$17,"x")</f>
        <v/>
      </c>
    </row>
    <row r="10">
      <c r="A10" s="12" t="inlineStr">
        <is>
          <t>Glomazni otpad</t>
        </is>
      </c>
      <c r="B10" s="6">
        <f>IFERROR(1/(1/_xlfn.MINIFS(Raspored!$A$5:$A$17,Raspored!$H$5:$H$17,"x",Raspored!$A$5:$A$17,"&gt;="&amp;$B$3)),"nema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  <c r="E14" s="7">
        <f>COUNTIFS(Raspored!$C$5:$C$17,$A14,Raspored!$G$5:$G$17,"x")</f>
        <v/>
      </c>
      <c r="F14" s="7">
        <f>COUNTIFS(Raspored!$C$5:$C$17,$A14,Raspored!$H$5:$H$17,"x")</f>
        <v/>
      </c>
    </row>
    <row r="15">
      <c r="A15" s="19" t="inlineStr">
        <is>
          <t>veljača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  <c r="E15" s="7">
        <f>COUNTIFS(Raspored!$C$5:$C$17,$A15,Raspored!$G$5:$G$17,"x")</f>
        <v/>
      </c>
      <c r="F15" s="7">
        <f>COUNTIFS(Raspored!$C$5:$C$17,$A15,Raspored!$H$5:$H$17,"x")</f>
        <v/>
      </c>
    </row>
    <row r="16">
      <c r="A16" s="19" t="inlineStr">
        <is>
          <t>ožujak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  <c r="E16" s="7">
        <f>COUNTIFS(Raspored!$C$5:$C$17,$A16,Raspored!$G$5:$G$17,"x")</f>
        <v/>
      </c>
      <c r="F16" s="7">
        <f>COUNTIFS(Raspored!$C$5:$C$17,$A16,Raspored!$H$5:$H$17,"x")</f>
        <v/>
      </c>
    </row>
    <row r="17">
      <c r="A17" s="19" t="inlineStr">
        <is>
          <t>travanj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  <c r="E17" s="7">
        <f>COUNTIFS(Raspored!$C$5:$C$17,$A17,Raspored!$G$5:$G$17,"x")</f>
        <v/>
      </c>
      <c r="F17" s="7">
        <f>COUNTIFS(Raspored!$C$5:$C$17,$A17,Raspored!$H$5:$H$17,"x")</f>
        <v/>
      </c>
    </row>
    <row r="18">
      <c r="A18" s="19" t="inlineStr">
        <is>
          <t>svibanj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  <c r="E18" s="7">
        <f>COUNTIFS(Raspored!$C$5:$C$17,$A18,Raspored!$G$5:$G$17,"x")</f>
        <v/>
      </c>
      <c r="F18" s="7">
        <f>COUNTIFS(Raspored!$C$5:$C$17,$A18,Raspored!$H$5:$H$17,"x")</f>
        <v/>
      </c>
    </row>
    <row r="19">
      <c r="A19" s="19" t="inlineStr">
        <is>
          <t>lipanj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  <c r="E19" s="7">
        <f>COUNTIFS(Raspored!$C$5:$C$17,$A19,Raspored!$G$5:$G$17,"x")</f>
        <v/>
      </c>
      <c r="F19" s="7">
        <f>COUNTIFS(Raspored!$C$5:$C$17,$A19,Raspored!$H$5:$H$17,"x")</f>
        <v/>
      </c>
    </row>
    <row r="20">
      <c r="A20" s="19" t="inlineStr">
        <is>
          <t>srpanj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  <c r="E20" s="7">
        <f>COUNTIFS(Raspored!$C$5:$C$17,$A20,Raspored!$G$5:$G$17,"x")</f>
        <v/>
      </c>
      <c r="F20" s="7">
        <f>COUNTIFS(Raspored!$C$5:$C$17,$A20,Raspored!$H$5:$H$17,"x")</f>
        <v/>
      </c>
    </row>
    <row r="21">
      <c r="A21" s="19" t="inlineStr">
        <is>
          <t>kolovoz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  <c r="E21" s="7">
        <f>COUNTIFS(Raspored!$C$5:$C$17,$A21,Raspored!$G$5:$G$17,"x")</f>
        <v/>
      </c>
      <c r="F21" s="7">
        <f>COUNTIFS(Raspored!$C$5:$C$17,$A21,Raspored!$H$5:$H$17,"x")</f>
        <v/>
      </c>
    </row>
    <row r="22">
      <c r="A22" s="19" t="inlineStr">
        <is>
          <t>rujan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  <c r="E22" s="7">
        <f>COUNTIFS(Raspored!$C$5:$C$17,$A22,Raspored!$G$5:$G$17,"x")</f>
        <v/>
      </c>
      <c r="F22" s="7">
        <f>COUNTIFS(Raspored!$C$5:$C$17,$A22,Raspored!$H$5:$H$17,"x")</f>
        <v/>
      </c>
    </row>
    <row r="23">
      <c r="A23" s="19" t="inlineStr">
        <is>
          <t>listopad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  <c r="E23" s="7">
        <f>COUNTIFS(Raspored!$C$5:$C$17,$A23,Raspored!$G$5:$G$17,"x")</f>
        <v/>
      </c>
      <c r="F23" s="7">
        <f>COUNTIFS(Raspored!$C$5:$C$17,$A23,Raspored!$H$5:$H$17,"x")</f>
        <v/>
      </c>
    </row>
    <row r="24">
      <c r="A24" s="19" t="inlineStr">
        <is>
          <t>studeni</t>
        </is>
      </c>
      <c r="B24" s="7">
        <f>COUNTIFS(Raspored!$C$5:$C$17,$A24,Raspored!$D$5:$D$17,"x")</f>
        <v/>
      </c>
      <c r="C24" s="7">
        <f>COUNTIFS(Raspored!$C$5:$C$17,$A24,Raspored!$E$5:$E$17,"x")</f>
        <v/>
      </c>
      <c r="D24" s="7">
        <f>COUNTIFS(Raspored!$C$5:$C$17,$A24,Raspored!$F$5:$F$17,"x")</f>
        <v/>
      </c>
      <c r="E24" s="7">
        <f>COUNTIFS(Raspored!$C$5:$C$17,$A24,Raspored!$G$5:$G$17,"x")</f>
        <v/>
      </c>
      <c r="F24" s="7">
        <f>COUNTIFS(Raspored!$C$5:$C$17,$A24,Raspored!$H$5:$H$17,"x")</f>
        <v/>
      </c>
    </row>
    <row r="25">
      <c r="A25" s="19" t="inlineStr">
        <is>
          <t>prosinac</t>
        </is>
      </c>
      <c r="B25" s="7">
        <f>COUNTIFS(Raspored!$C$5:$C$17,$A25,Raspored!$D$5:$D$17,"x")</f>
        <v/>
      </c>
      <c r="C25" s="7">
        <f>COUNTIFS(Raspored!$C$5:$C$17,$A25,Raspored!$E$5:$E$17,"x")</f>
        <v/>
      </c>
      <c r="D25" s="7">
        <f>COUNTIFS(Raspored!$C$5:$C$17,$A25,Raspored!$F$5:$F$17,"x")</f>
        <v/>
      </c>
      <c r="E25" s="7">
        <f>COUNTIFS(Raspored!$C$5:$C$17,$A25,Raspored!$G$5:$G$17,"x")</f>
        <v/>
      </c>
      <c r="F25" s="7">
        <f>COUNTIFS(Raspored!$C$5:$C$17,$A25,Raspored!$H$5:$H$17,"x")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Agro-folije (treba najaviti): 28.8., 26.11.; Mobilno reciklažno dvorište: 27.8. (13-16 h), 22.10. (13-16 h).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 (Ferdinandovac)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46206</v>
      </c>
      <c r="B5" s="7" t="inlineStr">
        <is>
          <t>petak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46220</v>
      </c>
      <c r="B6" s="7" t="inlineStr">
        <is>
          <t>petak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25" t="n"/>
    </row>
    <row r="7">
      <c r="A7" s="6" t="n">
        <v>46234</v>
      </c>
      <c r="B7" s="7" t="inlineStr">
        <is>
          <t>petak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46248</v>
      </c>
      <c r="B8" s="7" t="inlineStr">
        <is>
          <t>petak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25" t="n"/>
    </row>
    <row r="9">
      <c r="A9" s="6" t="n">
        <v>46262</v>
      </c>
      <c r="B9" s="7" t="inlineStr">
        <is>
          <t>petak</t>
        </is>
      </c>
      <c r="C9" s="7" t="inlineStr">
        <is>
          <t>kolovoz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46276</v>
      </c>
      <c r="B10" s="7" t="inlineStr">
        <is>
          <t>petak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46290</v>
      </c>
      <c r="B11" s="7" t="inlineStr">
        <is>
          <t>petak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46304</v>
      </c>
      <c r="B12" s="7" t="inlineStr">
        <is>
          <t>petak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46318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46332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46346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inlineStr">
        <is>
          <t>x</t>
        </is>
      </c>
      <c r="I16" s="25" t="n"/>
    </row>
    <row r="17">
      <c r="A17" s="6" t="n">
        <v>46374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</sheetData>
  <autoFilter ref="A4:I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G5:G17">
    <cfRule type="expression" priority="4" dxfId="3">
      <formula>G5="x"</formula>
    </cfRule>
  </conditionalFormatting>
  <conditionalFormatting sqref="H5:H17">
    <cfRule type="expression" priority="5" dxfId="4">
      <formula>H5="x"</formula>
    </cfRule>
  </conditionalFormatting>
  <conditionalFormatting sqref="A5:I1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46206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46206</v>
      </c>
      <c r="B3" s="19" t="inlineStr">
        <is>
          <t>petak</t>
        </is>
      </c>
      <c r="C3" s="9" t="inlineStr">
        <is>
          <t>Biorazgradivi otpad</t>
        </is>
      </c>
      <c r="D3" s="19" t="n"/>
    </row>
    <row r="4">
      <c r="A4" s="26" t="n">
        <v>46220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46220</v>
      </c>
      <c r="B5" s="19" t="inlineStr">
        <is>
          <t>petak</t>
        </is>
      </c>
      <c r="C5" s="9" t="inlineStr">
        <is>
          <t>Biorazgradivi otpad</t>
        </is>
      </c>
      <c r="D5" s="19" t="n"/>
    </row>
    <row r="6">
      <c r="A6" s="26" t="n">
        <v>46220</v>
      </c>
      <c r="B6" s="19" t="inlineStr">
        <is>
          <t>petak</t>
        </is>
      </c>
      <c r="C6" s="11" t="inlineStr">
        <is>
          <t>Papir i karton</t>
        </is>
      </c>
      <c r="D6" s="19" t="n"/>
    </row>
    <row r="7">
      <c r="A7" s="26" t="n">
        <v>46234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6" t="n">
        <v>46234</v>
      </c>
      <c r="B8" s="19" t="inlineStr">
        <is>
          <t>petak</t>
        </is>
      </c>
      <c r="C8" s="9" t="inlineStr">
        <is>
          <t>Biorazgradivi otpad</t>
        </is>
      </c>
      <c r="D8" s="19" t="n"/>
    </row>
    <row r="9">
      <c r="A9" s="26" t="n">
        <v>46234</v>
      </c>
      <c r="B9" s="19" t="inlineStr">
        <is>
          <t>petak</t>
        </is>
      </c>
      <c r="C9" s="10" t="inlineStr">
        <is>
          <t>Plastika i metal</t>
        </is>
      </c>
      <c r="D9" s="19" t="n"/>
    </row>
    <row r="10">
      <c r="A10" s="26" t="n">
        <v>46248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6" t="n">
        <v>46248</v>
      </c>
      <c r="B11" s="19" t="inlineStr">
        <is>
          <t>petak</t>
        </is>
      </c>
      <c r="C11" s="9" t="inlineStr">
        <is>
          <t>Biorazgradivi otpad</t>
        </is>
      </c>
      <c r="D11" s="19" t="n"/>
    </row>
    <row r="12">
      <c r="A12" s="26" t="n">
        <v>46248</v>
      </c>
      <c r="B12" s="19" t="inlineStr">
        <is>
          <t>petak</t>
        </is>
      </c>
      <c r="C12" s="11" t="inlineStr">
        <is>
          <t>Papir i karton</t>
        </is>
      </c>
      <c r="D12" s="19" t="n"/>
    </row>
    <row r="13">
      <c r="A13" s="26" t="n">
        <v>46262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46262</v>
      </c>
      <c r="B14" s="19" t="inlineStr">
        <is>
          <t>petak</t>
        </is>
      </c>
      <c r="C14" s="9" t="inlineStr">
        <is>
          <t>Biorazgradivi otpad</t>
        </is>
      </c>
      <c r="D14" s="19" t="n"/>
    </row>
    <row r="15">
      <c r="A15" s="26" t="n">
        <v>46262</v>
      </c>
      <c r="B15" s="19" t="inlineStr">
        <is>
          <t>petak</t>
        </is>
      </c>
      <c r="C15" s="10" t="inlineStr">
        <is>
          <t>Plastika i metal</t>
        </is>
      </c>
      <c r="D15" s="19" t="n"/>
    </row>
    <row r="16">
      <c r="A16" s="26" t="n">
        <v>46276</v>
      </c>
      <c r="B16" s="19" t="inlineStr">
        <is>
          <t>petak</t>
        </is>
      </c>
      <c r="C16" s="5" t="inlineStr">
        <is>
          <t>Miješani komunalni otpad</t>
        </is>
      </c>
      <c r="D16" s="19" t="n"/>
    </row>
    <row r="17">
      <c r="A17" s="26" t="n">
        <v>46276</v>
      </c>
      <c r="B17" s="19" t="inlineStr">
        <is>
          <t>petak</t>
        </is>
      </c>
      <c r="C17" s="9" t="inlineStr">
        <is>
          <t>Biorazgradivi otpad</t>
        </is>
      </c>
      <c r="D17" s="19" t="n"/>
    </row>
    <row r="18">
      <c r="A18" s="26" t="n">
        <v>46276</v>
      </c>
      <c r="B18" s="19" t="inlineStr">
        <is>
          <t>petak</t>
        </is>
      </c>
      <c r="C18" s="11" t="inlineStr">
        <is>
          <t>Papir i karton</t>
        </is>
      </c>
      <c r="D18" s="19" t="n"/>
    </row>
    <row r="19">
      <c r="A19" s="26" t="n">
        <v>46290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6" t="n">
        <v>46290</v>
      </c>
      <c r="B20" s="19" t="inlineStr">
        <is>
          <t>petak</t>
        </is>
      </c>
      <c r="C20" s="9" t="inlineStr">
        <is>
          <t>Biorazgradivi otpad</t>
        </is>
      </c>
      <c r="D20" s="19" t="n"/>
    </row>
    <row r="21">
      <c r="A21" s="26" t="n">
        <v>46290</v>
      </c>
      <c r="B21" s="19" t="inlineStr">
        <is>
          <t>petak</t>
        </is>
      </c>
      <c r="C21" s="10" t="inlineStr">
        <is>
          <t>Plastika i metal</t>
        </is>
      </c>
      <c r="D21" s="19" t="n"/>
    </row>
    <row r="22">
      <c r="A22" s="26" t="n">
        <v>46304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6" t="n">
        <v>46304</v>
      </c>
      <c r="B23" s="19" t="inlineStr">
        <is>
          <t>petak</t>
        </is>
      </c>
      <c r="C23" s="9" t="inlineStr">
        <is>
          <t>Biorazgradivi otpad</t>
        </is>
      </c>
      <c r="D23" s="19" t="n"/>
    </row>
    <row r="24">
      <c r="A24" s="26" t="n">
        <v>46304</v>
      </c>
      <c r="B24" s="19" t="inlineStr">
        <is>
          <t>petak</t>
        </is>
      </c>
      <c r="C24" s="11" t="inlineStr">
        <is>
          <t>Papir i karton</t>
        </is>
      </c>
      <c r="D24" s="19" t="n"/>
    </row>
    <row r="25">
      <c r="A25" s="26" t="n">
        <v>46318</v>
      </c>
      <c r="B25" s="19" t="inlineStr">
        <is>
          <t>petak</t>
        </is>
      </c>
      <c r="C25" s="5" t="inlineStr">
        <is>
          <t>Miješani komunalni otpad</t>
        </is>
      </c>
      <c r="D25" s="19" t="n"/>
    </row>
    <row r="26">
      <c r="A26" s="26" t="n">
        <v>46318</v>
      </c>
      <c r="B26" s="19" t="inlineStr">
        <is>
          <t>petak</t>
        </is>
      </c>
      <c r="C26" s="9" t="inlineStr">
        <is>
          <t>Biorazgradivi otpad</t>
        </is>
      </c>
      <c r="D26" s="19" t="n"/>
    </row>
    <row r="27">
      <c r="A27" s="26" t="n">
        <v>46318</v>
      </c>
      <c r="B27" s="19" t="inlineStr">
        <is>
          <t>petak</t>
        </is>
      </c>
      <c r="C27" s="10" t="inlineStr">
        <is>
          <t>Plastika i metal</t>
        </is>
      </c>
      <c r="D27" s="19" t="n"/>
    </row>
    <row r="28">
      <c r="A28" s="26" t="n">
        <v>46332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6" t="n">
        <v>46332</v>
      </c>
      <c r="B29" s="19" t="inlineStr">
        <is>
          <t>petak</t>
        </is>
      </c>
      <c r="C29" s="9" t="inlineStr">
        <is>
          <t>Biorazgradivi otpad</t>
        </is>
      </c>
      <c r="D29" s="19" t="n"/>
    </row>
    <row r="30">
      <c r="A30" s="26" t="n">
        <v>46332</v>
      </c>
      <c r="B30" s="19" t="inlineStr">
        <is>
          <t>petak</t>
        </is>
      </c>
      <c r="C30" s="11" t="inlineStr">
        <is>
          <t>Papir i karton</t>
        </is>
      </c>
      <c r="D30" s="19" t="n"/>
    </row>
    <row r="31">
      <c r="A31" s="26" t="n">
        <v>46346</v>
      </c>
      <c r="B31" s="19" t="inlineStr">
        <is>
          <t>petak</t>
        </is>
      </c>
      <c r="C31" s="5" t="inlineStr">
        <is>
          <t>Miješani komunalni otpad</t>
        </is>
      </c>
      <c r="D31" s="19" t="n"/>
    </row>
    <row r="32">
      <c r="A32" s="26" t="n">
        <v>46346</v>
      </c>
      <c r="B32" s="19" t="inlineStr">
        <is>
          <t>petak</t>
        </is>
      </c>
      <c r="C32" s="9" t="inlineStr">
        <is>
          <t>Biorazgradivi otpad</t>
        </is>
      </c>
      <c r="D32" s="19" t="n"/>
    </row>
    <row r="33">
      <c r="A33" s="26" t="n">
        <v>46346</v>
      </c>
      <c r="B33" s="19" t="inlineStr">
        <is>
          <t>petak</t>
        </is>
      </c>
      <c r="C33" s="10" t="inlineStr">
        <is>
          <t>Plastika i metal</t>
        </is>
      </c>
      <c r="D33" s="19" t="n"/>
    </row>
    <row r="34">
      <c r="A34" s="26" t="n">
        <v>46360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6" t="n">
        <v>46360</v>
      </c>
      <c r="B35" s="19" t="inlineStr">
        <is>
          <t>petak</t>
        </is>
      </c>
      <c r="C35" s="9" t="inlineStr">
        <is>
          <t>Biorazgradivi otpad</t>
        </is>
      </c>
      <c r="D35" s="19" t="n"/>
    </row>
    <row r="36">
      <c r="A36" s="26" t="n">
        <v>46360</v>
      </c>
      <c r="B36" s="19" t="inlineStr">
        <is>
          <t>petak</t>
        </is>
      </c>
      <c r="C36" s="11" t="inlineStr">
        <is>
          <t>Papir i karton</t>
        </is>
      </c>
      <c r="D36" s="19" t="n"/>
    </row>
    <row r="37">
      <c r="A37" s="26" t="n">
        <v>46360</v>
      </c>
      <c r="B37" s="19" t="inlineStr">
        <is>
          <t>petak</t>
        </is>
      </c>
      <c r="C37" s="12" t="inlineStr">
        <is>
          <t>Glomazni otpad</t>
        </is>
      </c>
      <c r="D37" s="19" t="n"/>
    </row>
    <row r="38">
      <c r="A38" s="26" t="n">
        <v>46374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6" t="n">
        <v>46374</v>
      </c>
      <c r="B39" s="19" t="inlineStr">
        <is>
          <t>petak</t>
        </is>
      </c>
      <c r="C39" s="9" t="inlineStr">
        <is>
          <t>Biorazgradivi otpad</t>
        </is>
      </c>
      <c r="D39" s="19" t="n"/>
    </row>
    <row r="40">
      <c r="A40" s="26" t="n">
        <v>46374</v>
      </c>
      <c r="B40" s="19" t="inlineStr">
        <is>
          <t>petak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(Ferdinandovac): ulice i naselja</t>
        </is>
      </c>
    </row>
    <row r="4">
      <c r="A4" s="4" t="inlineStr">
        <is>
          <t>Ulica / naselje</t>
        </is>
      </c>
    </row>
    <row r="5">
      <c r="A5" s="19" t="inlineStr">
        <is>
          <t>Ferdinandovac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
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Biorazgradivi 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Plastika i metal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9">
      <c r="A9" s="11" t="inlineStr">
        <is>
          <t>Papir i karton</t>
        </is>
      </c>
      <c r="B9" s="6">
        <f>IFERROR(1/(1/_xlfn.MINIFS(Raspored!$A$5:$A$17,Raspored!$G$5:$G$17,"x",Raspored!$A$5:$A$17,"&gt;="&amp;$B$3)),"nema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COUNTIF(Raspored!$G$5:$G$17,"x")</f>
        <v/>
      </c>
    </row>
    <row r="10">
      <c r="A10" s="12" t="inlineStr">
        <is>
          <t>Glomazni otpad</t>
        </is>
      </c>
      <c r="B10" s="6">
        <f>IFERROR(1/(1/_xlfn.MINIFS(Raspored!$A$5:$A$17,Raspored!$H$5:$H$17,"x",Raspored!$A$5:$A$17,"&gt;="&amp;$B$3)),"nema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  <c r="E14" s="7">
        <f>COUNTIFS(Raspored!$C$5:$C$17,$A14,Raspored!$G$5:$G$17,"x")</f>
        <v/>
      </c>
      <c r="F14" s="7">
        <f>COUNTIFS(Raspored!$C$5:$C$17,$A14,Raspored!$H$5:$H$17,"x")</f>
        <v/>
      </c>
    </row>
    <row r="15">
      <c r="A15" s="19" t="inlineStr">
        <is>
          <t>veljača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  <c r="E15" s="7">
        <f>COUNTIFS(Raspored!$C$5:$C$17,$A15,Raspored!$G$5:$G$17,"x")</f>
        <v/>
      </c>
      <c r="F15" s="7">
        <f>COUNTIFS(Raspored!$C$5:$C$17,$A15,Raspored!$H$5:$H$17,"x")</f>
        <v/>
      </c>
    </row>
    <row r="16">
      <c r="A16" s="19" t="inlineStr">
        <is>
          <t>ožujak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  <c r="E16" s="7">
        <f>COUNTIFS(Raspored!$C$5:$C$17,$A16,Raspored!$G$5:$G$17,"x")</f>
        <v/>
      </c>
      <c r="F16" s="7">
        <f>COUNTIFS(Raspored!$C$5:$C$17,$A16,Raspored!$H$5:$H$17,"x")</f>
        <v/>
      </c>
    </row>
    <row r="17">
      <c r="A17" s="19" t="inlineStr">
        <is>
          <t>travanj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  <c r="E17" s="7">
        <f>COUNTIFS(Raspored!$C$5:$C$17,$A17,Raspored!$G$5:$G$17,"x")</f>
        <v/>
      </c>
      <c r="F17" s="7">
        <f>COUNTIFS(Raspored!$C$5:$C$17,$A17,Raspored!$H$5:$H$17,"x")</f>
        <v/>
      </c>
    </row>
    <row r="18">
      <c r="A18" s="19" t="inlineStr">
        <is>
          <t>svibanj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  <c r="E18" s="7">
        <f>COUNTIFS(Raspored!$C$5:$C$17,$A18,Raspored!$G$5:$G$17,"x")</f>
        <v/>
      </c>
      <c r="F18" s="7">
        <f>COUNTIFS(Raspored!$C$5:$C$17,$A18,Raspored!$H$5:$H$17,"x")</f>
        <v/>
      </c>
    </row>
    <row r="19">
      <c r="A19" s="19" t="inlineStr">
        <is>
          <t>lipanj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  <c r="E19" s="7">
        <f>COUNTIFS(Raspored!$C$5:$C$17,$A19,Raspored!$G$5:$G$17,"x")</f>
        <v/>
      </c>
      <c r="F19" s="7">
        <f>COUNTIFS(Raspored!$C$5:$C$17,$A19,Raspored!$H$5:$H$17,"x")</f>
        <v/>
      </c>
    </row>
    <row r="20">
      <c r="A20" s="19" t="inlineStr">
        <is>
          <t>srpanj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  <c r="E20" s="7">
        <f>COUNTIFS(Raspored!$C$5:$C$17,$A20,Raspored!$G$5:$G$17,"x")</f>
        <v/>
      </c>
      <c r="F20" s="7">
        <f>COUNTIFS(Raspored!$C$5:$C$17,$A20,Raspored!$H$5:$H$17,"x")</f>
        <v/>
      </c>
    </row>
    <row r="21">
      <c r="A21" s="19" t="inlineStr">
        <is>
          <t>kolovoz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  <c r="E21" s="7">
        <f>COUNTIFS(Raspored!$C$5:$C$17,$A21,Raspored!$G$5:$G$17,"x")</f>
        <v/>
      </c>
      <c r="F21" s="7">
        <f>COUNTIFS(Raspored!$C$5:$C$17,$A21,Raspored!$H$5:$H$17,"x")</f>
        <v/>
      </c>
    </row>
    <row r="22">
      <c r="A22" s="19" t="inlineStr">
        <is>
          <t>rujan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  <c r="E22" s="7">
        <f>COUNTIFS(Raspored!$C$5:$C$17,$A22,Raspored!$G$5:$G$17,"x")</f>
        <v/>
      </c>
      <c r="F22" s="7">
        <f>COUNTIFS(Raspored!$C$5:$C$17,$A22,Raspored!$H$5:$H$17,"x")</f>
        <v/>
      </c>
    </row>
    <row r="23">
      <c r="A23" s="19" t="inlineStr">
        <is>
          <t>listopad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  <c r="E23" s="7">
        <f>COUNTIFS(Raspored!$C$5:$C$17,$A23,Raspored!$G$5:$G$17,"x")</f>
        <v/>
      </c>
      <c r="F23" s="7">
        <f>COUNTIFS(Raspored!$C$5:$C$17,$A23,Raspored!$H$5:$H$17,"x")</f>
        <v/>
      </c>
    </row>
    <row r="24">
      <c r="A24" s="19" t="inlineStr">
        <is>
          <t>studeni</t>
        </is>
      </c>
      <c r="B24" s="7">
        <f>COUNTIFS(Raspored!$C$5:$C$17,$A24,Raspored!$D$5:$D$17,"x")</f>
        <v/>
      </c>
      <c r="C24" s="7">
        <f>COUNTIFS(Raspored!$C$5:$C$17,$A24,Raspored!$E$5:$E$17,"x")</f>
        <v/>
      </c>
      <c r="D24" s="7">
        <f>COUNTIFS(Raspored!$C$5:$C$17,$A24,Raspored!$F$5:$F$17,"x")</f>
        <v/>
      </c>
      <c r="E24" s="7">
        <f>COUNTIFS(Raspored!$C$5:$C$17,$A24,Raspored!$G$5:$G$17,"x")</f>
        <v/>
      </c>
      <c r="F24" s="7">
        <f>COUNTIFS(Raspored!$C$5:$C$17,$A24,Raspored!$H$5:$H$17,"x")</f>
        <v/>
      </c>
    </row>
    <row r="25">
      <c r="A25" s="19" t="inlineStr">
        <is>
          <t>prosinac</t>
        </is>
      </c>
      <c r="B25" s="7">
        <f>COUNTIFS(Raspored!$C$5:$C$17,$A25,Raspored!$D$5:$D$17,"x")</f>
        <v/>
      </c>
      <c r="C25" s="7">
        <f>COUNTIFS(Raspored!$C$5:$C$17,$A25,Raspored!$E$5:$E$17,"x")</f>
        <v/>
      </c>
      <c r="D25" s="7">
        <f>COUNTIFS(Raspored!$C$5:$C$17,$A25,Raspored!$F$5:$F$17,"x")</f>
        <v/>
      </c>
      <c r="E25" s="7">
        <f>COUNTIFS(Raspored!$C$5:$C$17,$A25,Raspored!$G$5:$G$17,"x")</f>
        <v/>
      </c>
      <c r="F25" s="7">
        <f>COUNTIFS(Raspored!$C$5:$C$17,$A25,Raspored!$H$5:$H$17,"x")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11 (Rasinja)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46209</v>
      </c>
      <c r="B5" s="7" t="inlineStr">
        <is>
          <t>ponedjeljak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46223</v>
      </c>
      <c r="B6" s="7" t="inlineStr">
        <is>
          <t>ponedjeljak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46237</v>
      </c>
      <c r="B7" s="7" t="inlineStr">
        <is>
          <t>ponedjeljak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46251</v>
      </c>
      <c r="B8" s="7" t="inlineStr">
        <is>
          <t>ponedjeljak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7" t="n"/>
      <c r="I8" s="25" t="n"/>
    </row>
    <row r="9">
      <c r="A9" s="6" t="n">
        <v>46265</v>
      </c>
      <c r="B9" s="7" t="inlineStr">
        <is>
          <t>ponedjeljak</t>
        </is>
      </c>
      <c r="C9" s="7" t="inlineStr">
        <is>
          <t>kolovoz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46279</v>
      </c>
      <c r="B10" s="7" t="inlineStr">
        <is>
          <t>ponedjeljak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25" t="n"/>
    </row>
    <row r="11">
      <c r="A11" s="6" t="n">
        <v>46293</v>
      </c>
      <c r="B11" s="7" t="inlineStr">
        <is>
          <t>ponedjeljak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inlineStr">
        <is>
          <t>x</t>
        </is>
      </c>
      <c r="I11" s="25" t="n"/>
    </row>
    <row r="12">
      <c r="A12" s="6" t="n">
        <v>46307</v>
      </c>
      <c r="B12" s="7" t="inlineStr">
        <is>
          <t>ponedjeljak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46321</v>
      </c>
      <c r="B13" s="7" t="inlineStr">
        <is>
          <t>ponedjeljak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46335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46349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46363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25" t="n"/>
    </row>
    <row r="17">
      <c r="A17" s="6" t="n">
        <v>46377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</sheetData>
  <autoFilter ref="A4:I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G5:G17">
    <cfRule type="expression" priority="4" dxfId="3">
      <formula>G5="x"</formula>
    </cfRule>
  </conditionalFormatting>
  <conditionalFormatting sqref="H5:H17">
    <cfRule type="expression" priority="5" dxfId="4">
      <formula>H5="x"</formula>
    </cfRule>
  </conditionalFormatting>
  <conditionalFormatting sqref="A5:I1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46209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46209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46209</v>
      </c>
      <c r="B4" s="19" t="inlineStr">
        <is>
          <t>ponedjeljak</t>
        </is>
      </c>
      <c r="C4" s="11" t="inlineStr">
        <is>
          <t>Papir i karton</t>
        </is>
      </c>
      <c r="D4" s="19" t="n"/>
    </row>
    <row r="5">
      <c r="A5" s="26" t="n">
        <v>46223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6" t="n">
        <v>46223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46223</v>
      </c>
      <c r="B7" s="19" t="inlineStr">
        <is>
          <t>ponedjeljak</t>
        </is>
      </c>
      <c r="C7" s="10" t="inlineStr">
        <is>
          <t>Plastika i metal</t>
        </is>
      </c>
      <c r="D7" s="19" t="n"/>
    </row>
    <row r="8">
      <c r="A8" s="26" t="n">
        <v>46237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46237</v>
      </c>
      <c r="B9" s="19" t="inlineStr">
        <is>
          <t>ponedjeljak</t>
        </is>
      </c>
      <c r="C9" s="9" t="inlineStr">
        <is>
          <t>Biorazgradivi otpad</t>
        </is>
      </c>
      <c r="D9" s="19" t="n"/>
    </row>
    <row r="10">
      <c r="A10" s="26" t="n">
        <v>46251</v>
      </c>
      <c r="B10" s="19" t="inlineStr">
        <is>
          <t>ponedjeljak</t>
        </is>
      </c>
      <c r="C10" s="5" t="inlineStr">
        <is>
          <t>Miješani komunalni otpad</t>
        </is>
      </c>
      <c r="D10" s="19" t="n"/>
    </row>
    <row r="11">
      <c r="A11" s="26" t="n">
        <v>46251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46251</v>
      </c>
      <c r="B12" s="19" t="inlineStr">
        <is>
          <t>ponedjeljak</t>
        </is>
      </c>
      <c r="C12" s="11" t="inlineStr">
        <is>
          <t>Papir i karton</t>
        </is>
      </c>
      <c r="D12" s="19" t="n"/>
    </row>
    <row r="13">
      <c r="A13" s="26" t="n">
        <v>46265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46265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46265</v>
      </c>
      <c r="B15" s="19" t="inlineStr">
        <is>
          <t>ponedjeljak</t>
        </is>
      </c>
      <c r="C15" s="10" t="inlineStr">
        <is>
          <t>Plastika i metal</t>
        </is>
      </c>
      <c r="D15" s="19" t="n"/>
    </row>
    <row r="16">
      <c r="A16" s="26" t="n">
        <v>46279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6" t="n">
        <v>46279</v>
      </c>
      <c r="B17" s="19" t="inlineStr">
        <is>
          <t>ponedjeljak</t>
        </is>
      </c>
      <c r="C17" s="9" t="inlineStr">
        <is>
          <t>Biorazgradivi otpad</t>
        </is>
      </c>
      <c r="D17" s="19" t="n"/>
    </row>
    <row r="18">
      <c r="A18" s="26" t="n">
        <v>46279</v>
      </c>
      <c r="B18" s="19" t="inlineStr">
        <is>
          <t>ponedjeljak</t>
        </is>
      </c>
      <c r="C18" s="11" t="inlineStr">
        <is>
          <t>Papir i karton</t>
        </is>
      </c>
      <c r="D18" s="19" t="n"/>
    </row>
    <row r="19">
      <c r="A19" s="26" t="n">
        <v>46293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46293</v>
      </c>
      <c r="B20" s="19" t="inlineStr">
        <is>
          <t>ponedjeljak</t>
        </is>
      </c>
      <c r="C20" s="9" t="inlineStr">
        <is>
          <t>Biorazgradivi otpad</t>
        </is>
      </c>
      <c r="D20" s="19" t="n"/>
    </row>
    <row r="21">
      <c r="A21" s="26" t="n">
        <v>46293</v>
      </c>
      <c r="B21" s="19" t="inlineStr">
        <is>
          <t>ponedjeljak</t>
        </is>
      </c>
      <c r="C21" s="10" t="inlineStr">
        <is>
          <t>Plastika i metal</t>
        </is>
      </c>
      <c r="D21" s="19" t="n"/>
    </row>
    <row r="22">
      <c r="A22" s="26" t="n">
        <v>46293</v>
      </c>
      <c r="B22" s="19" t="inlineStr">
        <is>
          <t>ponedjeljak</t>
        </is>
      </c>
      <c r="C22" s="12" t="inlineStr">
        <is>
          <t>Glomazni otpad</t>
        </is>
      </c>
      <c r="D22" s="19" t="n"/>
    </row>
    <row r="23">
      <c r="A23" s="26" t="n">
        <v>46307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46307</v>
      </c>
      <c r="B24" s="19" t="inlineStr">
        <is>
          <t>ponedjeljak</t>
        </is>
      </c>
      <c r="C24" s="9" t="inlineStr">
        <is>
          <t>Biorazgradivi otpad</t>
        </is>
      </c>
      <c r="D24" s="19" t="n"/>
    </row>
    <row r="25">
      <c r="A25" s="26" t="n">
        <v>46307</v>
      </c>
      <c r="B25" s="19" t="inlineStr">
        <is>
          <t>ponedjeljak</t>
        </is>
      </c>
      <c r="C25" s="11" t="inlineStr">
        <is>
          <t>Papir i karton</t>
        </is>
      </c>
      <c r="D25" s="19" t="n"/>
    </row>
    <row r="26">
      <c r="A26" s="26" t="n">
        <v>46321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6" t="n">
        <v>46321</v>
      </c>
      <c r="B27" s="19" t="inlineStr">
        <is>
          <t>ponedjeljak</t>
        </is>
      </c>
      <c r="C27" s="9" t="inlineStr">
        <is>
          <t>Biorazgradivi otpad</t>
        </is>
      </c>
      <c r="D27" s="19" t="n"/>
    </row>
    <row r="28">
      <c r="A28" s="26" t="n">
        <v>46321</v>
      </c>
      <c r="B28" s="19" t="inlineStr">
        <is>
          <t>ponedjeljak</t>
        </is>
      </c>
      <c r="C28" s="10" t="inlineStr">
        <is>
          <t>Plastika i metal</t>
        </is>
      </c>
      <c r="D28" s="19" t="n"/>
    </row>
    <row r="29">
      <c r="A29" s="26" t="n">
        <v>46335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6" t="n">
        <v>46335</v>
      </c>
      <c r="B30" s="19" t="inlineStr">
        <is>
          <t>ponedjeljak</t>
        </is>
      </c>
      <c r="C30" s="9" t="inlineStr">
        <is>
          <t>Biorazgradivi otpad</t>
        </is>
      </c>
      <c r="D30" s="19" t="n"/>
    </row>
    <row r="31">
      <c r="A31" s="26" t="n">
        <v>46335</v>
      </c>
      <c r="B31" s="19" t="inlineStr">
        <is>
          <t>ponedjeljak</t>
        </is>
      </c>
      <c r="C31" s="11" t="inlineStr">
        <is>
          <t>Papir i karton</t>
        </is>
      </c>
      <c r="D31" s="19" t="n"/>
    </row>
    <row r="32">
      <c r="A32" s="26" t="n">
        <v>46349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6" t="n">
        <v>46349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46349</v>
      </c>
      <c r="B34" s="19" t="inlineStr">
        <is>
          <t>ponedjeljak</t>
        </is>
      </c>
      <c r="C34" s="10" t="inlineStr">
        <is>
          <t>Plastika i metal</t>
        </is>
      </c>
      <c r="D34" s="19" t="n"/>
    </row>
    <row r="35">
      <c r="A35" s="26" t="n">
        <v>46363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46363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46363</v>
      </c>
      <c r="B37" s="19" t="inlineStr">
        <is>
          <t>ponedjeljak</t>
        </is>
      </c>
      <c r="C37" s="11" t="inlineStr">
        <is>
          <t>Papir i karton</t>
        </is>
      </c>
      <c r="D37" s="19" t="n"/>
    </row>
    <row r="38">
      <c r="A38" s="26" t="n">
        <v>46377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6" t="n">
        <v>46377</v>
      </c>
      <c r="B39" s="19" t="inlineStr">
        <is>
          <t>ponedjeljak</t>
        </is>
      </c>
      <c r="C39" s="9" t="inlineStr">
        <is>
          <t>Biorazgradivi otpad</t>
        </is>
      </c>
      <c r="D39" s="19" t="n"/>
    </row>
    <row r="40">
      <c r="A40" s="26" t="n">
        <v>46377</v>
      </c>
      <c r="B40" s="19" t="inlineStr">
        <is>
          <t>ponedjeljak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(Rasinja): ulice i naselja</t>
        </is>
      </c>
    </row>
    <row r="2">
      <c r="A2" s="24" t="inlineStr">
        <is>
          <t>Naselja: Rasinja, Prkos, Veliki Grabičani, Veliki Poganac, Ludbreški Ivanac, Mala Rijeka, Duga Rijeka, Radeljevo Selo, Ribnjak, Velika Rasinjica, Mala Rasinjica, Ivančec, Belanovo Selo i Lukovec.</t>
        </is>
      </c>
    </row>
    <row r="4">
      <c r="A4" s="4" t="inlineStr">
        <is>
          <t>Ulica / naselje</t>
        </is>
      </c>
    </row>
    <row r="5">
      <c r="A5" s="19" t="inlineStr">
        <is>
          <t>Rasinja</t>
        </is>
      </c>
    </row>
    <row r="6">
      <c r="A6" s="19" t="inlineStr">
        <is>
          <t>Prkos</t>
        </is>
      </c>
    </row>
    <row r="7">
      <c r="A7" s="19" t="inlineStr">
        <is>
          <t>Veliki Grabičani</t>
        </is>
      </c>
    </row>
    <row r="8">
      <c r="A8" s="19" t="inlineStr">
        <is>
          <t>Veliki Poganac</t>
        </is>
      </c>
    </row>
    <row r="9">
      <c r="A9" s="19" t="inlineStr">
        <is>
          <t>Ludbreški Ivanac</t>
        </is>
      </c>
    </row>
    <row r="10">
      <c r="A10" s="19" t="inlineStr">
        <is>
          <t>Mala Rijeka</t>
        </is>
      </c>
    </row>
    <row r="11">
      <c r="A11" s="19" t="inlineStr">
        <is>
          <t>Duga Rijeka</t>
        </is>
      </c>
    </row>
    <row r="12">
      <c r="A12" s="19" t="inlineStr">
        <is>
          <t>Radeljevo Selo</t>
        </is>
      </c>
    </row>
    <row r="13">
      <c r="A13" s="19" t="inlineStr">
        <is>
          <t>Ribnjak</t>
        </is>
      </c>
    </row>
    <row r="14">
      <c r="A14" s="19" t="inlineStr">
        <is>
          <t>Velika Rasinjica</t>
        </is>
      </c>
    </row>
    <row r="15">
      <c r="A15" s="19" t="inlineStr">
        <is>
          <t>Mala Rasinjica</t>
        </is>
      </c>
    </row>
    <row r="16">
      <c r="A16" s="19" t="inlineStr">
        <is>
          <t>Ivančec</t>
        </is>
      </c>
    </row>
    <row r="17">
      <c r="A17" s="19" t="inlineStr">
        <is>
          <t>Belanovo Selo</t>
        </is>
      </c>
    </row>
    <row r="18">
      <c r="A18" s="19" t="inlineStr">
        <is>
          <t>Lukovec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
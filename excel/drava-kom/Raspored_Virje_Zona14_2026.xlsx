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'Raspored'!$A$4:$I$18</definedName>
    <definedName name="_xlnm._FilterDatabase" localSheetId="2" hidden="1">'Po vrsti'!$A$1:$D$42</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8">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
      <patternFill patternType="solid">
        <fgColor rgb="007F7F7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3" fillId="7" borderId="1" pivotButton="0" quotePrefix="0" xfId="0"/>
    <xf numFmtId="0" fontId="7"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6">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b val="1"/>
        <color rgb="00FFFFFF"/>
      </font>
      <fill>
        <patternFill patternType="solid">
          <fgColor rgb="007F7F7F"/>
          <bgColor rgb="007F7F7F"/>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14,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IFERROR(1/(1/_xlfn.MINIFS(Raspored!$A$5:$A$18,Raspored!$D$5:$D$18,"x",Raspored!$A$5:$A$18,"&gt;="&amp;$B$3)),"nema više u 2026.")</f>
        <v/>
      </c>
      <c r="C6" s="7">
        <f>IF(ISNUMBER(B6),INDEX({"nedjelja","ponedjeljak","utorak","srijeda","četvrtak","petak","subota"},WEEKDAY(B6)),"")</f>
        <v/>
      </c>
      <c r="D6" s="8">
        <f>IF(ISNUMBER(B6),B6-$B$3,"")</f>
        <v/>
      </c>
      <c r="E6" s="7">
        <f>COUNTIF(Raspored!$D$5:$D$18,"x")</f>
        <v/>
      </c>
    </row>
    <row r="7">
      <c r="A7" s="9" t="inlineStr">
        <is>
          <t>Biorazgradivi otpad</t>
        </is>
      </c>
      <c r="B7" s="6">
        <f>IFERROR(1/(1/_xlfn.MINIFS(Raspored!$A$5:$A$18,Raspored!$E$5:$E$18,"x",Raspored!$A$5:$A$18,"&gt;="&amp;$B$3)),"nema više u 2026.")</f>
        <v/>
      </c>
      <c r="C7" s="7">
        <f>IF(ISNUMBER(B7),INDEX({"nedjelja","ponedjeljak","utorak","srijeda","četvrtak","petak","subota"},WEEKDAY(B7)),"")</f>
        <v/>
      </c>
      <c r="D7" s="8">
        <f>IF(ISNUMBER(B7),B7-$B$3,"")</f>
        <v/>
      </c>
      <c r="E7" s="7">
        <f>COUNTIF(Raspored!$E$5:$E$18,"x")</f>
        <v/>
      </c>
    </row>
    <row r="8">
      <c r="A8" s="10" t="inlineStr">
        <is>
          <t>Plastika i metal</t>
        </is>
      </c>
      <c r="B8" s="6">
        <f>IFERROR(1/(1/_xlfn.MINIFS(Raspored!$A$5:$A$18,Raspored!$F$5:$F$18,"x",Raspored!$A$5:$A$18,"&gt;="&amp;$B$3)),"nema više u 2026.")</f>
        <v/>
      </c>
      <c r="C8" s="7">
        <f>IF(ISNUMBER(B8),INDEX({"nedjelja","ponedjeljak","utorak","srijeda","četvrtak","petak","subota"},WEEKDAY(B8)),"")</f>
        <v/>
      </c>
      <c r="D8" s="8">
        <f>IF(ISNUMBER(B8),B8-$B$3,"")</f>
        <v/>
      </c>
      <c r="E8" s="7">
        <f>COUNTIF(Raspored!$F$5:$F$18,"x")</f>
        <v/>
      </c>
    </row>
    <row r="9">
      <c r="A9" s="11" t="inlineStr">
        <is>
          <t>Papir i karton</t>
        </is>
      </c>
      <c r="B9" s="6">
        <f>IFERROR(1/(1/_xlfn.MINIFS(Raspored!$A$5:$A$18,Raspored!$G$5:$G$18,"x",Raspored!$A$5:$A$18,"&gt;="&amp;$B$3)),"nema više u 2026.")</f>
        <v/>
      </c>
      <c r="C9" s="7">
        <f>IF(ISNUMBER(B9),INDEX({"nedjelja","ponedjeljak","utorak","srijeda","četvrtak","petak","subota"},WEEKDAY(B9)),"")</f>
        <v/>
      </c>
      <c r="D9" s="8">
        <f>IF(ISNUMBER(B9),B9-$B$3,"")</f>
        <v/>
      </c>
      <c r="E9" s="7">
        <f>COUNTIF(Raspored!$G$5:$G$18,"x")</f>
        <v/>
      </c>
    </row>
    <row r="10">
      <c r="A10" s="12" t="inlineStr">
        <is>
          <t>Glomazni otpad</t>
        </is>
      </c>
      <c r="B10" s="6">
        <f>IFERROR(1/(1/_xlfn.MINIFS(Raspored!$A$5:$A$18,Raspored!$H$5:$H$18,"x",Raspored!$A$5:$A$18,"&gt;="&amp;$B$3)),"nema više u 2026.")</f>
        <v/>
      </c>
      <c r="C10" s="7">
        <f>IF(ISNUMBER(B10),INDEX({"nedjelja","ponedjeljak","utorak","srijeda","četvrtak","petak","subota"},WEEKDAY(B10)),"")</f>
        <v/>
      </c>
      <c r="D10" s="8">
        <f>IF(ISNUMBER(B10),B10-$B$3,"")</f>
        <v/>
      </c>
      <c r="E10" s="7">
        <f>COUNTIF(Raspored!$H$5:$H$18,"x")</f>
        <v/>
      </c>
    </row>
    <row r="12">
      <c r="A12" s="13" t="inlineStr">
        <is>
          <t>Broj odvoza po mjesecu</t>
        </is>
      </c>
    </row>
    <row r="13" ht="30" customHeight="1">
      <c r="A13" s="4" t="inlineStr">
        <is>
          <t>Mjesec</t>
        </is>
      </c>
      <c r="B13" s="14" t="inlineStr">
        <is>
          <t>Miješani komunalni otpad</t>
        </is>
      </c>
      <c r="C13" s="15" t="inlineStr">
        <is>
          <t>Biorazgradivi otpad</t>
        </is>
      </c>
      <c r="D13" s="16" t="inlineStr">
        <is>
          <t>Plastika i metal</t>
        </is>
      </c>
      <c r="E13" s="17" t="inlineStr">
        <is>
          <t>Papir i karton</t>
        </is>
      </c>
      <c r="F13" s="18" t="inlineStr">
        <is>
          <t>Glomazni otpad</t>
        </is>
      </c>
    </row>
    <row r="14">
      <c r="A14" s="19" t="inlineStr">
        <is>
          <t>siječanj</t>
        </is>
      </c>
      <c r="B14" s="7">
        <f>COUNTIFS(Raspored!$C$5:$C$18,$A14,Raspored!$D$5:$D$18,"x")</f>
        <v/>
      </c>
      <c r="C14" s="7">
        <f>COUNTIFS(Raspored!$C$5:$C$18,$A14,Raspored!$E$5:$E$18,"x")</f>
        <v/>
      </c>
      <c r="D14" s="7">
        <f>COUNTIFS(Raspored!$C$5:$C$18,$A14,Raspored!$F$5:$F$18,"x")</f>
        <v/>
      </c>
      <c r="E14" s="7">
        <f>COUNTIFS(Raspored!$C$5:$C$18,$A14,Raspored!$G$5:$G$18,"x")</f>
        <v/>
      </c>
      <c r="F14" s="7">
        <f>COUNTIFS(Raspored!$C$5:$C$18,$A14,Raspored!$H$5:$H$18,"x")</f>
        <v/>
      </c>
    </row>
    <row r="15">
      <c r="A15" s="19" t="inlineStr">
        <is>
          <t>veljača</t>
        </is>
      </c>
      <c r="B15" s="7">
        <f>COUNTIFS(Raspored!$C$5:$C$18,$A15,Raspored!$D$5:$D$18,"x")</f>
        <v/>
      </c>
      <c r="C15" s="7">
        <f>COUNTIFS(Raspored!$C$5:$C$18,$A15,Raspored!$E$5:$E$18,"x")</f>
        <v/>
      </c>
      <c r="D15" s="7">
        <f>COUNTIFS(Raspored!$C$5:$C$18,$A15,Raspored!$F$5:$F$18,"x")</f>
        <v/>
      </c>
      <c r="E15" s="7">
        <f>COUNTIFS(Raspored!$C$5:$C$18,$A15,Raspored!$G$5:$G$18,"x")</f>
        <v/>
      </c>
      <c r="F15" s="7">
        <f>COUNTIFS(Raspored!$C$5:$C$18,$A15,Raspored!$H$5:$H$18,"x")</f>
        <v/>
      </c>
    </row>
    <row r="16">
      <c r="A16" s="19" t="inlineStr">
        <is>
          <t>ožujak</t>
        </is>
      </c>
      <c r="B16" s="7">
        <f>COUNTIFS(Raspored!$C$5:$C$18,$A16,Raspored!$D$5:$D$18,"x")</f>
        <v/>
      </c>
      <c r="C16" s="7">
        <f>COUNTIFS(Raspored!$C$5:$C$18,$A16,Raspored!$E$5:$E$18,"x")</f>
        <v/>
      </c>
      <c r="D16" s="7">
        <f>COUNTIFS(Raspored!$C$5:$C$18,$A16,Raspored!$F$5:$F$18,"x")</f>
        <v/>
      </c>
      <c r="E16" s="7">
        <f>COUNTIFS(Raspored!$C$5:$C$18,$A16,Raspored!$G$5:$G$18,"x")</f>
        <v/>
      </c>
      <c r="F16" s="7">
        <f>COUNTIFS(Raspored!$C$5:$C$18,$A16,Raspored!$H$5:$H$18,"x")</f>
        <v/>
      </c>
    </row>
    <row r="17">
      <c r="A17" s="19" t="inlineStr">
        <is>
          <t>travanj</t>
        </is>
      </c>
      <c r="B17" s="7">
        <f>COUNTIFS(Raspored!$C$5:$C$18,$A17,Raspored!$D$5:$D$18,"x")</f>
        <v/>
      </c>
      <c r="C17" s="7">
        <f>COUNTIFS(Raspored!$C$5:$C$18,$A17,Raspored!$E$5:$E$18,"x")</f>
        <v/>
      </c>
      <c r="D17" s="7">
        <f>COUNTIFS(Raspored!$C$5:$C$18,$A17,Raspored!$F$5:$F$18,"x")</f>
        <v/>
      </c>
      <c r="E17" s="7">
        <f>COUNTIFS(Raspored!$C$5:$C$18,$A17,Raspored!$G$5:$G$18,"x")</f>
        <v/>
      </c>
      <c r="F17" s="7">
        <f>COUNTIFS(Raspored!$C$5:$C$18,$A17,Raspored!$H$5:$H$18,"x")</f>
        <v/>
      </c>
    </row>
    <row r="18">
      <c r="A18" s="19" t="inlineStr">
        <is>
          <t>svibanj</t>
        </is>
      </c>
      <c r="B18" s="7">
        <f>COUNTIFS(Raspored!$C$5:$C$18,$A18,Raspored!$D$5:$D$18,"x")</f>
        <v/>
      </c>
      <c r="C18" s="7">
        <f>COUNTIFS(Raspored!$C$5:$C$18,$A18,Raspored!$E$5:$E$18,"x")</f>
        <v/>
      </c>
      <c r="D18" s="7">
        <f>COUNTIFS(Raspored!$C$5:$C$18,$A18,Raspored!$F$5:$F$18,"x")</f>
        <v/>
      </c>
      <c r="E18" s="7">
        <f>COUNTIFS(Raspored!$C$5:$C$18,$A18,Raspored!$G$5:$G$18,"x")</f>
        <v/>
      </c>
      <c r="F18" s="7">
        <f>COUNTIFS(Raspored!$C$5:$C$18,$A18,Raspored!$H$5:$H$18,"x")</f>
        <v/>
      </c>
    </row>
    <row r="19">
      <c r="A19" s="19" t="inlineStr">
        <is>
          <t>lipanj</t>
        </is>
      </c>
      <c r="B19" s="7">
        <f>COUNTIFS(Raspored!$C$5:$C$18,$A19,Raspored!$D$5:$D$18,"x")</f>
        <v/>
      </c>
      <c r="C19" s="7">
        <f>COUNTIFS(Raspored!$C$5:$C$18,$A19,Raspored!$E$5:$E$18,"x")</f>
        <v/>
      </c>
      <c r="D19" s="7">
        <f>COUNTIFS(Raspored!$C$5:$C$18,$A19,Raspored!$F$5:$F$18,"x")</f>
        <v/>
      </c>
      <c r="E19" s="7">
        <f>COUNTIFS(Raspored!$C$5:$C$18,$A19,Raspored!$G$5:$G$18,"x")</f>
        <v/>
      </c>
      <c r="F19" s="7">
        <f>COUNTIFS(Raspored!$C$5:$C$18,$A19,Raspored!$H$5:$H$18,"x")</f>
        <v/>
      </c>
    </row>
    <row r="20">
      <c r="A20" s="19" t="inlineStr">
        <is>
          <t>srpanj</t>
        </is>
      </c>
      <c r="B20" s="7">
        <f>COUNTIFS(Raspored!$C$5:$C$18,$A20,Raspored!$D$5:$D$18,"x")</f>
        <v/>
      </c>
      <c r="C20" s="7">
        <f>COUNTIFS(Raspored!$C$5:$C$18,$A20,Raspored!$E$5:$E$18,"x")</f>
        <v/>
      </c>
      <c r="D20" s="7">
        <f>COUNTIFS(Raspored!$C$5:$C$18,$A20,Raspored!$F$5:$F$18,"x")</f>
        <v/>
      </c>
      <c r="E20" s="7">
        <f>COUNTIFS(Raspored!$C$5:$C$18,$A20,Raspored!$G$5:$G$18,"x")</f>
        <v/>
      </c>
      <c r="F20" s="7">
        <f>COUNTIFS(Raspored!$C$5:$C$18,$A20,Raspored!$H$5:$H$18,"x")</f>
        <v/>
      </c>
    </row>
    <row r="21">
      <c r="A21" s="19" t="inlineStr">
        <is>
          <t>kolovoz</t>
        </is>
      </c>
      <c r="B21" s="7">
        <f>COUNTIFS(Raspored!$C$5:$C$18,$A21,Raspored!$D$5:$D$18,"x")</f>
        <v/>
      </c>
      <c r="C21" s="7">
        <f>COUNTIFS(Raspored!$C$5:$C$18,$A21,Raspored!$E$5:$E$18,"x")</f>
        <v/>
      </c>
      <c r="D21" s="7">
        <f>COUNTIFS(Raspored!$C$5:$C$18,$A21,Raspored!$F$5:$F$18,"x")</f>
        <v/>
      </c>
      <c r="E21" s="7">
        <f>COUNTIFS(Raspored!$C$5:$C$18,$A21,Raspored!$G$5:$G$18,"x")</f>
        <v/>
      </c>
      <c r="F21" s="7">
        <f>COUNTIFS(Raspored!$C$5:$C$18,$A21,Raspored!$H$5:$H$18,"x")</f>
        <v/>
      </c>
    </row>
    <row r="22">
      <c r="A22" s="19" t="inlineStr">
        <is>
          <t>rujan</t>
        </is>
      </c>
      <c r="B22" s="7">
        <f>COUNTIFS(Raspored!$C$5:$C$18,$A22,Raspored!$D$5:$D$18,"x")</f>
        <v/>
      </c>
      <c r="C22" s="7">
        <f>COUNTIFS(Raspored!$C$5:$C$18,$A22,Raspored!$E$5:$E$18,"x")</f>
        <v/>
      </c>
      <c r="D22" s="7">
        <f>COUNTIFS(Raspored!$C$5:$C$18,$A22,Raspored!$F$5:$F$18,"x")</f>
        <v/>
      </c>
      <c r="E22" s="7">
        <f>COUNTIFS(Raspored!$C$5:$C$18,$A22,Raspored!$G$5:$G$18,"x")</f>
        <v/>
      </c>
      <c r="F22" s="7">
        <f>COUNTIFS(Raspored!$C$5:$C$18,$A22,Raspored!$H$5:$H$18,"x")</f>
        <v/>
      </c>
    </row>
    <row r="23">
      <c r="A23" s="19" t="inlineStr">
        <is>
          <t>listopad</t>
        </is>
      </c>
      <c r="B23" s="7">
        <f>COUNTIFS(Raspored!$C$5:$C$18,$A23,Raspored!$D$5:$D$18,"x")</f>
        <v/>
      </c>
      <c r="C23" s="7">
        <f>COUNTIFS(Raspored!$C$5:$C$18,$A23,Raspored!$E$5:$E$18,"x")</f>
        <v/>
      </c>
      <c r="D23" s="7">
        <f>COUNTIFS(Raspored!$C$5:$C$18,$A23,Raspored!$F$5:$F$18,"x")</f>
        <v/>
      </c>
      <c r="E23" s="7">
        <f>COUNTIFS(Raspored!$C$5:$C$18,$A23,Raspored!$G$5:$G$18,"x")</f>
        <v/>
      </c>
      <c r="F23" s="7">
        <f>COUNTIFS(Raspored!$C$5:$C$18,$A23,Raspored!$H$5:$H$18,"x")</f>
        <v/>
      </c>
    </row>
    <row r="24">
      <c r="A24" s="19" t="inlineStr">
        <is>
          <t>studeni</t>
        </is>
      </c>
      <c r="B24" s="7">
        <f>COUNTIFS(Raspored!$C$5:$C$18,$A24,Raspored!$D$5:$D$18,"x")</f>
        <v/>
      </c>
      <c r="C24" s="7">
        <f>COUNTIFS(Raspored!$C$5:$C$18,$A24,Raspored!$E$5:$E$18,"x")</f>
        <v/>
      </c>
      <c r="D24" s="7">
        <f>COUNTIFS(Raspored!$C$5:$C$18,$A24,Raspored!$F$5:$F$18,"x")</f>
        <v/>
      </c>
      <c r="E24" s="7">
        <f>COUNTIFS(Raspored!$C$5:$C$18,$A24,Raspored!$G$5:$G$18,"x")</f>
        <v/>
      </c>
      <c r="F24" s="7">
        <f>COUNTIFS(Raspored!$C$5:$C$18,$A24,Raspored!$H$5:$H$18,"x")</f>
        <v/>
      </c>
    </row>
    <row r="25">
      <c r="A25" s="19" t="inlineStr">
        <is>
          <t>prosinac</t>
        </is>
      </c>
      <c r="B25" s="7">
        <f>COUNTIFS(Raspored!$C$5:$C$18,$A25,Raspored!$D$5:$D$18,"x")</f>
        <v/>
      </c>
      <c r="C25" s="7">
        <f>COUNTIFS(Raspored!$C$5:$C$18,$A25,Raspored!$E$5:$E$18,"x")</f>
        <v/>
      </c>
      <c r="D25" s="7">
        <f>COUNTIFS(Raspored!$C$5:$C$18,$A25,Raspored!$F$5:$F$18,"x")</f>
        <v/>
      </c>
      <c r="E25" s="7">
        <f>COUNTIFS(Raspored!$C$5:$C$18,$A25,Raspored!$G$5:$G$18,"x")</f>
        <v/>
      </c>
      <c r="F25" s="7">
        <f>COUNTIFS(Raspored!$C$5:$C$18,$A25,Raspored!$H$5:$H$18,"x")</f>
        <v/>
      </c>
    </row>
    <row r="26">
      <c r="A26" s="20" t="inlineStr">
        <is>
          <t>Ukupno</t>
        </is>
      </c>
      <c r="B26" s="21">
        <f>SUM(B14:B25)</f>
        <v/>
      </c>
      <c r="C26" s="21">
        <f>SUM(C14:C25)</f>
        <v/>
      </c>
      <c r="D26" s="21">
        <f>SUM(D14:D25)</f>
        <v/>
      </c>
      <c r="E26" s="21">
        <f>SUM(E14:E25)</f>
        <v/>
      </c>
      <c r="F26" s="21">
        <f>SUM(F14:F25)</f>
        <v/>
      </c>
    </row>
    <row r="28">
      <c r="A28" s="22" t="inlineStr">
        <is>
          <t>Napomene:</t>
        </is>
      </c>
    </row>
    <row r="29">
      <c r="A29" s="23" t="inlineStr">
        <is>
          <t>• Objavljeni raspored: 1.7.2026. – 31.12.2026. Agro-folije (treba najaviti): 28.8., 26.11.</t>
        </is>
      </c>
    </row>
    <row r="30">
      <c r="A30" s="23" t="inlineStr">
        <is>
          <t>• Otpad treba staviti ispred kuće do 7 sati.</t>
        </is>
      </c>
    </row>
    <row r="31">
      <c r="A31" s="23" t="inlineStr">
        <is>
          <t>• Drava Kom objavljuje raspored po pola godine (isti nazivi datoteka); upisani su objavljeni mjeseci, a mjeseci iz ranijih objava zadržani su iz prijašnjih preuzimanja.</t>
        </is>
      </c>
    </row>
    <row r="32">
      <c r="A32" s="23" t="inlineStr">
        <is>
          <t>• Pomaknuti datumi su odvozi premješteni zbog blagdana, kako su upisani u rasporedu.</t>
        </is>
      </c>
    </row>
    <row r="33">
      <c r="A33" s="23" t="inlineStr">
        <is>
          <t>• Glomazni otpad upisan je za termine označene "ne treba najaviti"; agro-folije se odvoze samo uz najavu (datumi u napomeni zone), a mobilno reciklažno dvorište po datumima u napomeni zone.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13" customWidth="1" min="8" max="8"/>
    <col width="44" customWidth="1" min="9" max="9"/>
  </cols>
  <sheetData>
    <row r="1">
      <c r="A1" s="1" t="inlineStr">
        <is>
          <t>Raspored odvoza otpada 2026., Zona 14 (Virje)</t>
        </is>
      </c>
    </row>
    <row r="2">
      <c r="A2" s="24" t="inlineStr">
        <is>
          <t>"x" = odvoz tog dana. Spremnike iznijeti do 07:00. Prošli datumi su posivljeni.</t>
        </is>
      </c>
    </row>
    <row r="4" ht="32" customHeight="1">
      <c r="A4" s="4" t="inlineStr">
        <is>
          <t>Datum</t>
        </is>
      </c>
      <c r="B4" s="4" t="inlineStr">
        <is>
          <t>Dan</t>
        </is>
      </c>
      <c r="C4" s="4" t="inlineStr">
        <is>
          <t>Mjesec</t>
        </is>
      </c>
      <c r="D4" s="14" t="inlineStr">
        <is>
          <t>Miješani komunalni otpad</t>
        </is>
      </c>
      <c r="E4" s="15" t="inlineStr">
        <is>
          <t>Biorazgradivi otpad</t>
        </is>
      </c>
      <c r="F4" s="16" t="inlineStr">
        <is>
          <t>Plastika i metal</t>
        </is>
      </c>
      <c r="G4" s="17" t="inlineStr">
        <is>
          <t>Papir i karton</t>
        </is>
      </c>
      <c r="H4" s="18" t="inlineStr">
        <is>
          <t>Glomazni otpad</t>
        </is>
      </c>
      <c r="I4" s="4" t="inlineStr">
        <is>
          <t>Napomena</t>
        </is>
      </c>
    </row>
    <row r="5">
      <c r="A5" s="6" t="n">
        <v>46205</v>
      </c>
      <c r="B5" s="7" t="inlineStr">
        <is>
          <t>četvrtak</t>
        </is>
      </c>
      <c r="C5" s="7" t="inlineStr">
        <is>
          <t>srpanj</t>
        </is>
      </c>
      <c r="D5" s="7" t="inlineStr">
        <is>
          <t>x</t>
        </is>
      </c>
      <c r="E5" s="7" t="inlineStr">
        <is>
          <t>x</t>
        </is>
      </c>
      <c r="F5" s="7" t="n"/>
      <c r="G5" s="7" t="n"/>
      <c r="H5" s="7" t="n"/>
      <c r="I5" s="25" t="n"/>
    </row>
    <row r="6">
      <c r="A6" s="6" t="n">
        <v>46219</v>
      </c>
      <c r="B6" s="7" t="inlineStr">
        <is>
          <t>četvrtak</t>
        </is>
      </c>
      <c r="C6" s="7" t="inlineStr">
        <is>
          <t>srpanj</t>
        </is>
      </c>
      <c r="D6" s="7" t="inlineStr">
        <is>
          <t>x</t>
        </is>
      </c>
      <c r="E6" s="7" t="inlineStr">
        <is>
          <t>x</t>
        </is>
      </c>
      <c r="F6" s="7" t="n"/>
      <c r="G6" s="7" t="inlineStr">
        <is>
          <t>x</t>
        </is>
      </c>
      <c r="H6" s="7" t="n"/>
      <c r="I6" s="25" t="n"/>
    </row>
    <row r="7">
      <c r="A7" s="6" t="n">
        <v>46233</v>
      </c>
      <c r="B7" s="7" t="inlineStr">
        <is>
          <t>četvrtak</t>
        </is>
      </c>
      <c r="C7" s="7" t="inlineStr">
        <is>
          <t>srpanj</t>
        </is>
      </c>
      <c r="D7" s="7" t="inlineStr">
        <is>
          <t>x</t>
        </is>
      </c>
      <c r="E7" s="7" t="inlineStr">
        <is>
          <t>x</t>
        </is>
      </c>
      <c r="F7" s="7" t="inlineStr">
        <is>
          <t>x</t>
        </is>
      </c>
      <c r="G7" s="7" t="n"/>
      <c r="H7" s="7" t="n"/>
      <c r="I7" s="25" t="n"/>
    </row>
    <row r="8">
      <c r="A8" s="6" t="n">
        <v>46247</v>
      </c>
      <c r="B8" s="7" t="inlineStr">
        <is>
          <t>četvrtak</t>
        </is>
      </c>
      <c r="C8" s="7" t="inlineStr">
        <is>
          <t>kolovoz</t>
        </is>
      </c>
      <c r="D8" s="7" t="inlineStr">
        <is>
          <t>x</t>
        </is>
      </c>
      <c r="E8" s="7" t="inlineStr">
        <is>
          <t>x</t>
        </is>
      </c>
      <c r="F8" s="7" t="n"/>
      <c r="G8" s="7" t="inlineStr">
        <is>
          <t>x</t>
        </is>
      </c>
      <c r="H8" s="7" t="n"/>
      <c r="I8" s="25" t="n"/>
    </row>
    <row r="9">
      <c r="A9" s="6" t="n">
        <v>46261</v>
      </c>
      <c r="B9" s="7" t="inlineStr">
        <is>
          <t>četvrtak</t>
        </is>
      </c>
      <c r="C9" s="7" t="inlineStr">
        <is>
          <t>kolovoz</t>
        </is>
      </c>
      <c r="D9" s="7" t="inlineStr">
        <is>
          <t>x</t>
        </is>
      </c>
      <c r="E9" s="7" t="inlineStr">
        <is>
          <t>x</t>
        </is>
      </c>
      <c r="F9" s="7" t="inlineStr">
        <is>
          <t>x</t>
        </is>
      </c>
      <c r="G9" s="7" t="n"/>
      <c r="H9" s="7" t="n"/>
      <c r="I9" s="25" t="n"/>
    </row>
    <row r="10">
      <c r="A10" s="6" t="n">
        <v>46275</v>
      </c>
      <c r="B10" s="7" t="inlineStr">
        <is>
          <t>četvrtak</t>
        </is>
      </c>
      <c r="C10" s="7" t="inlineStr">
        <is>
          <t>rujan</t>
        </is>
      </c>
      <c r="D10" s="7" t="inlineStr">
        <is>
          <t>x</t>
        </is>
      </c>
      <c r="E10" s="7" t="inlineStr">
        <is>
          <t>x</t>
        </is>
      </c>
      <c r="F10" s="7" t="n"/>
      <c r="G10" s="7" t="inlineStr">
        <is>
          <t>x</t>
        </is>
      </c>
      <c r="H10" s="7" t="n"/>
      <c r="I10" s="25" t="n"/>
    </row>
    <row r="11">
      <c r="A11" s="6" t="n">
        <v>46289</v>
      </c>
      <c r="B11" s="7" t="inlineStr">
        <is>
          <t>četvrtak</t>
        </is>
      </c>
      <c r="C11" s="7" t="inlineStr">
        <is>
          <t>rujan</t>
        </is>
      </c>
      <c r="D11" s="7" t="inlineStr">
        <is>
          <t>x</t>
        </is>
      </c>
      <c r="E11" s="7" t="inlineStr">
        <is>
          <t>x</t>
        </is>
      </c>
      <c r="F11" s="7" t="inlineStr">
        <is>
          <t>x</t>
        </is>
      </c>
      <c r="G11" s="7" t="n"/>
      <c r="H11" s="7" t="n"/>
      <c r="I11" s="25" t="n"/>
    </row>
    <row r="12">
      <c r="A12" s="6" t="n">
        <v>46303</v>
      </c>
      <c r="B12" s="7" t="inlineStr">
        <is>
          <t>četvrtak</t>
        </is>
      </c>
      <c r="C12" s="7" t="inlineStr">
        <is>
          <t>listopad</t>
        </is>
      </c>
      <c r="D12" s="7" t="inlineStr">
        <is>
          <t>x</t>
        </is>
      </c>
      <c r="E12" s="7" t="inlineStr">
        <is>
          <t>x</t>
        </is>
      </c>
      <c r="F12" s="7" t="n"/>
      <c r="G12" s="7" t="inlineStr">
        <is>
          <t>x</t>
        </is>
      </c>
      <c r="H12" s="7" t="inlineStr">
        <is>
          <t>x</t>
        </is>
      </c>
      <c r="I12" s="25" t="n"/>
    </row>
    <row r="13">
      <c r="A13" s="6" t="n">
        <v>46317</v>
      </c>
      <c r="B13" s="7" t="inlineStr">
        <is>
          <t>četvrtak</t>
        </is>
      </c>
      <c r="C13" s="7" t="inlineStr">
        <is>
          <t>listopad</t>
        </is>
      </c>
      <c r="D13" s="7" t="inlineStr">
        <is>
          <t>x</t>
        </is>
      </c>
      <c r="E13" s="7" t="inlineStr">
        <is>
          <t>x</t>
        </is>
      </c>
      <c r="F13" s="7" t="inlineStr">
        <is>
          <t>x</t>
        </is>
      </c>
      <c r="G13" s="7" t="n"/>
      <c r="H13" s="7" t="n"/>
      <c r="I13" s="25" t="n"/>
    </row>
    <row r="14">
      <c r="A14" s="6" t="n">
        <v>46331</v>
      </c>
      <c r="B14" s="7" t="inlineStr">
        <is>
          <t>četvrtak</t>
        </is>
      </c>
      <c r="C14" s="7" t="inlineStr">
        <is>
          <t>studeni</t>
        </is>
      </c>
      <c r="D14" s="7" t="inlineStr">
        <is>
          <t>x</t>
        </is>
      </c>
      <c r="E14" s="7" t="inlineStr">
        <is>
          <t>x</t>
        </is>
      </c>
      <c r="F14" s="7" t="n"/>
      <c r="G14" s="7" t="inlineStr">
        <is>
          <t>x</t>
        </is>
      </c>
      <c r="H14" s="7" t="n"/>
      <c r="I14" s="25" t="n"/>
    </row>
    <row r="15">
      <c r="A15" s="6" t="n">
        <v>46345</v>
      </c>
      <c r="B15" s="7" t="inlineStr">
        <is>
          <t>četvrtak</t>
        </is>
      </c>
      <c r="C15" s="7" t="inlineStr">
        <is>
          <t>studeni</t>
        </is>
      </c>
      <c r="D15" s="7" t="inlineStr">
        <is>
          <t>x</t>
        </is>
      </c>
      <c r="E15" s="7" t="inlineStr">
        <is>
          <t>x</t>
        </is>
      </c>
      <c r="F15" s="7" t="inlineStr">
        <is>
          <t>x</t>
        </is>
      </c>
      <c r="G15" s="7" t="n"/>
      <c r="H15" s="7" t="n"/>
      <c r="I15" s="25" t="n"/>
    </row>
    <row r="16">
      <c r="A16" s="6" t="n">
        <v>46359</v>
      </c>
      <c r="B16" s="7" t="inlineStr">
        <is>
          <t>četvrtak</t>
        </is>
      </c>
      <c r="C16" s="7" t="inlineStr">
        <is>
          <t>prosinac</t>
        </is>
      </c>
      <c r="D16" s="7" t="inlineStr">
        <is>
          <t>x</t>
        </is>
      </c>
      <c r="E16" s="7" t="inlineStr">
        <is>
          <t>x</t>
        </is>
      </c>
      <c r="F16" s="7" t="n"/>
      <c r="G16" s="7" t="n"/>
      <c r="H16" s="7" t="n"/>
      <c r="I16" s="25" t="n"/>
    </row>
    <row r="17">
      <c r="A17" s="6" t="n">
        <v>46373</v>
      </c>
      <c r="B17" s="7" t="inlineStr">
        <is>
          <t>četvrtak</t>
        </is>
      </c>
      <c r="C17" s="7" t="inlineStr">
        <is>
          <t>prosinac</t>
        </is>
      </c>
      <c r="D17" s="7" t="inlineStr">
        <is>
          <t>x</t>
        </is>
      </c>
      <c r="E17" s="7" t="inlineStr">
        <is>
          <t>x</t>
        </is>
      </c>
      <c r="F17" s="7" t="n"/>
      <c r="G17" s="7" t="inlineStr">
        <is>
          <t>x</t>
        </is>
      </c>
      <c r="H17" s="7" t="n"/>
      <c r="I17" s="25" t="n"/>
    </row>
    <row r="18">
      <c r="A18" s="6" t="n">
        <v>46387</v>
      </c>
      <c r="B18" s="7" t="inlineStr">
        <is>
          <t>četvrtak</t>
        </is>
      </c>
      <c r="C18" s="7" t="inlineStr">
        <is>
          <t>prosinac</t>
        </is>
      </c>
      <c r="D18" s="7" t="inlineStr">
        <is>
          <t>x</t>
        </is>
      </c>
      <c r="E18" s="7" t="inlineStr">
        <is>
          <t>x</t>
        </is>
      </c>
      <c r="F18" s="7" t="inlineStr">
        <is>
          <t>x</t>
        </is>
      </c>
      <c r="G18" s="7" t="n"/>
      <c r="H18" s="7" t="n"/>
      <c r="I18" s="25" t="n"/>
    </row>
  </sheetData>
  <autoFilter ref="A4:I18"/>
  <conditionalFormatting sqref="D5:D18">
    <cfRule type="expression" priority="1" dxfId="0">
      <formula>D5="x"</formula>
    </cfRule>
  </conditionalFormatting>
  <conditionalFormatting sqref="E5:E18">
    <cfRule type="expression" priority="2" dxfId="1">
      <formula>E5="x"</formula>
    </cfRule>
  </conditionalFormatting>
  <conditionalFormatting sqref="F5:F18">
    <cfRule type="expression" priority="3" dxfId="2">
      <formula>F5="x"</formula>
    </cfRule>
  </conditionalFormatting>
  <conditionalFormatting sqref="G5:G18">
    <cfRule type="expression" priority="4" dxfId="3">
      <formula>G5="x"</formula>
    </cfRule>
  </conditionalFormatting>
  <conditionalFormatting sqref="H5:H18">
    <cfRule type="expression" priority="5" dxfId="4">
      <formula>H5="x"</formula>
    </cfRule>
  </conditionalFormatting>
  <conditionalFormatting sqref="A5:I18">
    <cfRule type="expression" priority="6" dxfId="5"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6" t="n">
        <v>46205</v>
      </c>
      <c r="B2" s="19" t="inlineStr">
        <is>
          <t>četvrtak</t>
        </is>
      </c>
      <c r="C2" s="5" t="inlineStr">
        <is>
          <t>Miješani komunalni otpad</t>
        </is>
      </c>
      <c r="D2" s="19" t="n"/>
    </row>
    <row r="3">
      <c r="A3" s="26" t="n">
        <v>46205</v>
      </c>
      <c r="B3" s="19" t="inlineStr">
        <is>
          <t>četvrtak</t>
        </is>
      </c>
      <c r="C3" s="9" t="inlineStr">
        <is>
          <t>Biorazgradivi otpad</t>
        </is>
      </c>
      <c r="D3" s="19" t="n"/>
    </row>
    <row r="4">
      <c r="A4" s="26" t="n">
        <v>46219</v>
      </c>
      <c r="B4" s="19" t="inlineStr">
        <is>
          <t>četvrtak</t>
        </is>
      </c>
      <c r="C4" s="5" t="inlineStr">
        <is>
          <t>Miješani komunalni otpad</t>
        </is>
      </c>
      <c r="D4" s="19" t="n"/>
    </row>
    <row r="5">
      <c r="A5" s="26" t="n">
        <v>46219</v>
      </c>
      <c r="B5" s="19" t="inlineStr">
        <is>
          <t>četvrtak</t>
        </is>
      </c>
      <c r="C5" s="9" t="inlineStr">
        <is>
          <t>Biorazgradivi otpad</t>
        </is>
      </c>
      <c r="D5" s="19" t="n"/>
    </row>
    <row r="6">
      <c r="A6" s="26" t="n">
        <v>46219</v>
      </c>
      <c r="B6" s="19" t="inlineStr">
        <is>
          <t>četvrtak</t>
        </is>
      </c>
      <c r="C6" s="11" t="inlineStr">
        <is>
          <t>Papir i karton</t>
        </is>
      </c>
      <c r="D6" s="19" t="n"/>
    </row>
    <row r="7">
      <c r="A7" s="26" t="n">
        <v>46233</v>
      </c>
      <c r="B7" s="19" t="inlineStr">
        <is>
          <t>četvrtak</t>
        </is>
      </c>
      <c r="C7" s="5" t="inlineStr">
        <is>
          <t>Miješani komunalni otpad</t>
        </is>
      </c>
      <c r="D7" s="19" t="n"/>
    </row>
    <row r="8">
      <c r="A8" s="26" t="n">
        <v>46233</v>
      </c>
      <c r="B8" s="19" t="inlineStr">
        <is>
          <t>četvrtak</t>
        </is>
      </c>
      <c r="C8" s="9" t="inlineStr">
        <is>
          <t>Biorazgradivi otpad</t>
        </is>
      </c>
      <c r="D8" s="19" t="n"/>
    </row>
    <row r="9">
      <c r="A9" s="26" t="n">
        <v>46233</v>
      </c>
      <c r="B9" s="19" t="inlineStr">
        <is>
          <t>četvrtak</t>
        </is>
      </c>
      <c r="C9" s="10" t="inlineStr">
        <is>
          <t>Plastika i metal</t>
        </is>
      </c>
      <c r="D9" s="19" t="n"/>
    </row>
    <row r="10">
      <c r="A10" s="26" t="n">
        <v>46247</v>
      </c>
      <c r="B10" s="19" t="inlineStr">
        <is>
          <t>četvrtak</t>
        </is>
      </c>
      <c r="C10" s="5" t="inlineStr">
        <is>
          <t>Miješani komunalni otpad</t>
        </is>
      </c>
      <c r="D10" s="19" t="n"/>
    </row>
    <row r="11">
      <c r="A11" s="26" t="n">
        <v>46247</v>
      </c>
      <c r="B11" s="19" t="inlineStr">
        <is>
          <t>četvrtak</t>
        </is>
      </c>
      <c r="C11" s="9" t="inlineStr">
        <is>
          <t>Biorazgradivi otpad</t>
        </is>
      </c>
      <c r="D11" s="19" t="n"/>
    </row>
    <row r="12">
      <c r="A12" s="26" t="n">
        <v>46247</v>
      </c>
      <c r="B12" s="19" t="inlineStr">
        <is>
          <t>četvrtak</t>
        </is>
      </c>
      <c r="C12" s="11" t="inlineStr">
        <is>
          <t>Papir i karton</t>
        </is>
      </c>
      <c r="D12" s="19" t="n"/>
    </row>
    <row r="13">
      <c r="A13" s="26" t="n">
        <v>46261</v>
      </c>
      <c r="B13" s="19" t="inlineStr">
        <is>
          <t>četvrtak</t>
        </is>
      </c>
      <c r="C13" s="5" t="inlineStr">
        <is>
          <t>Miješani komunalni otpad</t>
        </is>
      </c>
      <c r="D13" s="19" t="n"/>
    </row>
    <row r="14">
      <c r="A14" s="26" t="n">
        <v>46261</v>
      </c>
      <c r="B14" s="19" t="inlineStr">
        <is>
          <t>četvrtak</t>
        </is>
      </c>
      <c r="C14" s="9" t="inlineStr">
        <is>
          <t>Biorazgradivi otpad</t>
        </is>
      </c>
      <c r="D14" s="19" t="n"/>
    </row>
    <row r="15">
      <c r="A15" s="26" t="n">
        <v>46261</v>
      </c>
      <c r="B15" s="19" t="inlineStr">
        <is>
          <t>četvrtak</t>
        </is>
      </c>
      <c r="C15" s="10" t="inlineStr">
        <is>
          <t>Plastika i metal</t>
        </is>
      </c>
      <c r="D15" s="19" t="n"/>
    </row>
    <row r="16">
      <c r="A16" s="26" t="n">
        <v>46275</v>
      </c>
      <c r="B16" s="19" t="inlineStr">
        <is>
          <t>četvrtak</t>
        </is>
      </c>
      <c r="C16" s="5" t="inlineStr">
        <is>
          <t>Miješani komunalni otpad</t>
        </is>
      </c>
      <c r="D16" s="19" t="n"/>
    </row>
    <row r="17">
      <c r="A17" s="26" t="n">
        <v>46275</v>
      </c>
      <c r="B17" s="19" t="inlineStr">
        <is>
          <t>četvrtak</t>
        </is>
      </c>
      <c r="C17" s="9" t="inlineStr">
        <is>
          <t>Biorazgradivi otpad</t>
        </is>
      </c>
      <c r="D17" s="19" t="n"/>
    </row>
    <row r="18">
      <c r="A18" s="26" t="n">
        <v>46275</v>
      </c>
      <c r="B18" s="19" t="inlineStr">
        <is>
          <t>četvrtak</t>
        </is>
      </c>
      <c r="C18" s="11" t="inlineStr">
        <is>
          <t>Papir i karton</t>
        </is>
      </c>
      <c r="D18" s="19" t="n"/>
    </row>
    <row r="19">
      <c r="A19" s="26" t="n">
        <v>46289</v>
      </c>
      <c r="B19" s="19" t="inlineStr">
        <is>
          <t>četvrtak</t>
        </is>
      </c>
      <c r="C19" s="5" t="inlineStr">
        <is>
          <t>Miješani komunalni otpad</t>
        </is>
      </c>
      <c r="D19" s="19" t="n"/>
    </row>
    <row r="20">
      <c r="A20" s="26" t="n">
        <v>46289</v>
      </c>
      <c r="B20" s="19" t="inlineStr">
        <is>
          <t>četvrtak</t>
        </is>
      </c>
      <c r="C20" s="9" t="inlineStr">
        <is>
          <t>Biorazgradivi otpad</t>
        </is>
      </c>
      <c r="D20" s="19" t="n"/>
    </row>
    <row r="21">
      <c r="A21" s="26" t="n">
        <v>46289</v>
      </c>
      <c r="B21" s="19" t="inlineStr">
        <is>
          <t>četvrtak</t>
        </is>
      </c>
      <c r="C21" s="10" t="inlineStr">
        <is>
          <t>Plastika i metal</t>
        </is>
      </c>
      <c r="D21" s="19" t="n"/>
    </row>
    <row r="22">
      <c r="A22" s="26" t="n">
        <v>46303</v>
      </c>
      <c r="B22" s="19" t="inlineStr">
        <is>
          <t>četvrtak</t>
        </is>
      </c>
      <c r="C22" s="5" t="inlineStr">
        <is>
          <t>Miješani komunalni otpad</t>
        </is>
      </c>
      <c r="D22" s="19" t="n"/>
    </row>
    <row r="23">
      <c r="A23" s="26" t="n">
        <v>46303</v>
      </c>
      <c r="B23" s="19" t="inlineStr">
        <is>
          <t>četvrtak</t>
        </is>
      </c>
      <c r="C23" s="9" t="inlineStr">
        <is>
          <t>Biorazgradivi otpad</t>
        </is>
      </c>
      <c r="D23" s="19" t="n"/>
    </row>
    <row r="24">
      <c r="A24" s="26" t="n">
        <v>46303</v>
      </c>
      <c r="B24" s="19" t="inlineStr">
        <is>
          <t>četvrtak</t>
        </is>
      </c>
      <c r="C24" s="11" t="inlineStr">
        <is>
          <t>Papir i karton</t>
        </is>
      </c>
      <c r="D24" s="19" t="n"/>
    </row>
    <row r="25">
      <c r="A25" s="26" t="n">
        <v>46303</v>
      </c>
      <c r="B25" s="19" t="inlineStr">
        <is>
          <t>četvrtak</t>
        </is>
      </c>
      <c r="C25" s="12" t="inlineStr">
        <is>
          <t>Glomazni otpad</t>
        </is>
      </c>
      <c r="D25" s="19" t="n"/>
    </row>
    <row r="26">
      <c r="A26" s="26" t="n">
        <v>46317</v>
      </c>
      <c r="B26" s="19" t="inlineStr">
        <is>
          <t>četvrtak</t>
        </is>
      </c>
      <c r="C26" s="5" t="inlineStr">
        <is>
          <t>Miješani komunalni otpad</t>
        </is>
      </c>
      <c r="D26" s="19" t="n"/>
    </row>
    <row r="27">
      <c r="A27" s="26" t="n">
        <v>46317</v>
      </c>
      <c r="B27" s="19" t="inlineStr">
        <is>
          <t>četvrtak</t>
        </is>
      </c>
      <c r="C27" s="9" t="inlineStr">
        <is>
          <t>Biorazgradivi otpad</t>
        </is>
      </c>
      <c r="D27" s="19" t="n"/>
    </row>
    <row r="28">
      <c r="A28" s="26" t="n">
        <v>46317</v>
      </c>
      <c r="B28" s="19" t="inlineStr">
        <is>
          <t>četvrtak</t>
        </is>
      </c>
      <c r="C28" s="10" t="inlineStr">
        <is>
          <t>Plastika i metal</t>
        </is>
      </c>
      <c r="D28" s="19" t="n"/>
    </row>
    <row r="29">
      <c r="A29" s="26" t="n">
        <v>46331</v>
      </c>
      <c r="B29" s="19" t="inlineStr">
        <is>
          <t>četvrtak</t>
        </is>
      </c>
      <c r="C29" s="5" t="inlineStr">
        <is>
          <t>Miješani komunalni otpad</t>
        </is>
      </c>
      <c r="D29" s="19" t="n"/>
    </row>
    <row r="30">
      <c r="A30" s="26" t="n">
        <v>46331</v>
      </c>
      <c r="B30" s="19" t="inlineStr">
        <is>
          <t>četvrtak</t>
        </is>
      </c>
      <c r="C30" s="9" t="inlineStr">
        <is>
          <t>Biorazgradivi otpad</t>
        </is>
      </c>
      <c r="D30" s="19" t="n"/>
    </row>
    <row r="31">
      <c r="A31" s="26" t="n">
        <v>46331</v>
      </c>
      <c r="B31" s="19" t="inlineStr">
        <is>
          <t>četvrtak</t>
        </is>
      </c>
      <c r="C31" s="11" t="inlineStr">
        <is>
          <t>Papir i karton</t>
        </is>
      </c>
      <c r="D31" s="19" t="n"/>
    </row>
    <row r="32">
      <c r="A32" s="26" t="n">
        <v>46345</v>
      </c>
      <c r="B32" s="19" t="inlineStr">
        <is>
          <t>četvrtak</t>
        </is>
      </c>
      <c r="C32" s="5" t="inlineStr">
        <is>
          <t>Miješani komunalni otpad</t>
        </is>
      </c>
      <c r="D32" s="19" t="n"/>
    </row>
    <row r="33">
      <c r="A33" s="26" t="n">
        <v>46345</v>
      </c>
      <c r="B33" s="19" t="inlineStr">
        <is>
          <t>četvrtak</t>
        </is>
      </c>
      <c r="C33" s="9" t="inlineStr">
        <is>
          <t>Biorazgradivi otpad</t>
        </is>
      </c>
      <c r="D33" s="19" t="n"/>
    </row>
    <row r="34">
      <c r="A34" s="26" t="n">
        <v>46345</v>
      </c>
      <c r="B34" s="19" t="inlineStr">
        <is>
          <t>četvrtak</t>
        </is>
      </c>
      <c r="C34" s="10" t="inlineStr">
        <is>
          <t>Plastika i metal</t>
        </is>
      </c>
      <c r="D34" s="19" t="n"/>
    </row>
    <row r="35">
      <c r="A35" s="26" t="n">
        <v>46359</v>
      </c>
      <c r="B35" s="19" t="inlineStr">
        <is>
          <t>četvrtak</t>
        </is>
      </c>
      <c r="C35" s="5" t="inlineStr">
        <is>
          <t>Miješani komunalni otpad</t>
        </is>
      </c>
      <c r="D35" s="19" t="n"/>
    </row>
    <row r="36">
      <c r="A36" s="26" t="n">
        <v>46359</v>
      </c>
      <c r="B36" s="19" t="inlineStr">
        <is>
          <t>četvrtak</t>
        </is>
      </c>
      <c r="C36" s="9" t="inlineStr">
        <is>
          <t>Biorazgradivi otpad</t>
        </is>
      </c>
      <c r="D36" s="19" t="n"/>
    </row>
    <row r="37">
      <c r="A37" s="26" t="n">
        <v>46373</v>
      </c>
      <c r="B37" s="19" t="inlineStr">
        <is>
          <t>četvrtak</t>
        </is>
      </c>
      <c r="C37" s="5" t="inlineStr">
        <is>
          <t>Miješani komunalni otpad</t>
        </is>
      </c>
      <c r="D37" s="19" t="n"/>
    </row>
    <row r="38">
      <c r="A38" s="26" t="n">
        <v>46373</v>
      </c>
      <c r="B38" s="19" t="inlineStr">
        <is>
          <t>četvrtak</t>
        </is>
      </c>
      <c r="C38" s="9" t="inlineStr">
        <is>
          <t>Biorazgradivi otpad</t>
        </is>
      </c>
      <c r="D38" s="19" t="n"/>
    </row>
    <row r="39">
      <c r="A39" s="26" t="n">
        <v>46373</v>
      </c>
      <c r="B39" s="19" t="inlineStr">
        <is>
          <t>četvrtak</t>
        </is>
      </c>
      <c r="C39" s="11" t="inlineStr">
        <is>
          <t>Papir i karton</t>
        </is>
      </c>
      <c r="D39" s="19" t="n"/>
    </row>
    <row r="40">
      <c r="A40" s="26" t="n">
        <v>46387</v>
      </c>
      <c r="B40" s="19" t="inlineStr">
        <is>
          <t>četvrtak</t>
        </is>
      </c>
      <c r="C40" s="5" t="inlineStr">
        <is>
          <t>Miješani komunalni otpad</t>
        </is>
      </c>
      <c r="D40" s="19" t="n"/>
    </row>
    <row r="41">
      <c r="A41" s="26" t="n">
        <v>46387</v>
      </c>
      <c r="B41" s="19" t="inlineStr">
        <is>
          <t>četvrtak</t>
        </is>
      </c>
      <c r="C41" s="9" t="inlineStr">
        <is>
          <t>Biorazgradivi otpad</t>
        </is>
      </c>
      <c r="D41" s="19" t="n"/>
    </row>
    <row r="42">
      <c r="A42" s="26" t="n">
        <v>46387</v>
      </c>
      <c r="B42" s="19" t="inlineStr">
        <is>
          <t>četvrtak</t>
        </is>
      </c>
      <c r="C42" s="10" t="inlineStr">
        <is>
          <t>Plastika i metal</t>
        </is>
      </c>
      <c r="D42" s="19" t="n"/>
    </row>
  </sheetData>
  <autoFilter ref="A1:D4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2"/>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14 (Virje): ulice i naselja</t>
        </is>
      </c>
    </row>
    <row r="2">
      <c r="A2" s="24" t="inlineStr">
        <is>
          <t>U naselju Virje ulice: Ante Starčevića, Augusta Cesarca, Augusta Šenoe, Braće Radića, Brestova, Ciglenska, Đure Sudete, Eugena Kvaternika, Ferde Rusana, Franje Fanceva, Gajeva, Gradišće, Hrvatskih domobrana, Istarska, Ivana Gundulića, Kolodvorska, M.P. Miškine, Mitrovica, Paromlinska, P.Preradovića, Šemovačka, Trg Matije Gupca, Trg Prodavić, Trg Stjepana Radića, Trnovac, Vladimira Nazora, Trg dr. Franje Tuđmana, Frana Lugarića.</t>
        </is>
      </c>
    </row>
    <row r="4">
      <c r="A4" s="4" t="inlineStr">
        <is>
          <t>Ulica / naselje</t>
        </is>
      </c>
    </row>
    <row r="5">
      <c r="A5" s="19" t="inlineStr">
        <is>
          <t>Ante Starčevića</t>
        </is>
      </c>
    </row>
    <row r="6">
      <c r="A6" s="19" t="inlineStr">
        <is>
          <t>Augusta Cesarca</t>
        </is>
      </c>
    </row>
    <row r="7">
      <c r="A7" s="19" t="inlineStr">
        <is>
          <t>Augusta Šenoe</t>
        </is>
      </c>
    </row>
    <row r="8">
      <c r="A8" s="19" t="inlineStr">
        <is>
          <t>Braće Radića</t>
        </is>
      </c>
    </row>
    <row r="9">
      <c r="A9" s="19" t="inlineStr">
        <is>
          <t>Brestova</t>
        </is>
      </c>
    </row>
    <row r="10">
      <c r="A10" s="19" t="inlineStr">
        <is>
          <t>Ciglenska</t>
        </is>
      </c>
    </row>
    <row r="11">
      <c r="A11" s="19" t="inlineStr">
        <is>
          <t>Đure Sudete</t>
        </is>
      </c>
    </row>
    <row r="12">
      <c r="A12" s="19" t="inlineStr">
        <is>
          <t>Eugena Kvaternika</t>
        </is>
      </c>
    </row>
    <row r="13">
      <c r="A13" s="19" t="inlineStr">
        <is>
          <t>Ferde Rusana</t>
        </is>
      </c>
    </row>
    <row r="14">
      <c r="A14" s="19" t="inlineStr">
        <is>
          <t>Franje Fanceva</t>
        </is>
      </c>
    </row>
    <row r="15">
      <c r="A15" s="19" t="inlineStr">
        <is>
          <t>Gajeva</t>
        </is>
      </c>
    </row>
    <row r="16">
      <c r="A16" s="19" t="inlineStr">
        <is>
          <t>Gradišće</t>
        </is>
      </c>
    </row>
    <row r="17">
      <c r="A17" s="19" t="inlineStr">
        <is>
          <t>Hrvatskih domobrana</t>
        </is>
      </c>
    </row>
    <row r="18">
      <c r="A18" s="19" t="inlineStr">
        <is>
          <t>Istarska</t>
        </is>
      </c>
    </row>
    <row r="19">
      <c r="A19" s="19" t="inlineStr">
        <is>
          <t>Ivana Gundulića</t>
        </is>
      </c>
    </row>
    <row r="20">
      <c r="A20" s="19" t="inlineStr">
        <is>
          <t>Kolodvorska</t>
        </is>
      </c>
    </row>
    <row r="21">
      <c r="A21" s="19" t="inlineStr">
        <is>
          <t>M.P. Miškine</t>
        </is>
      </c>
    </row>
    <row r="22">
      <c r="A22" s="19" t="inlineStr">
        <is>
          <t>Mitrovica</t>
        </is>
      </c>
    </row>
    <row r="23">
      <c r="A23" s="19" t="inlineStr">
        <is>
          <t>Paromlinska</t>
        </is>
      </c>
    </row>
    <row r="24">
      <c r="A24" s="19" t="inlineStr">
        <is>
          <t>P. Preradovića</t>
        </is>
      </c>
    </row>
    <row r="25">
      <c r="A25" s="19" t="inlineStr">
        <is>
          <t>Šemovačka</t>
        </is>
      </c>
    </row>
    <row r="26">
      <c r="A26" s="19" t="inlineStr">
        <is>
          <t>Trg Matije Gupca</t>
        </is>
      </c>
    </row>
    <row r="27">
      <c r="A27" s="19" t="inlineStr">
        <is>
          <t>Trg Prodavić</t>
        </is>
      </c>
    </row>
    <row r="28">
      <c r="A28" s="19" t="inlineStr">
        <is>
          <t>Trg Stjepana Radića</t>
        </is>
      </c>
    </row>
    <row r="29">
      <c r="A29" s="19" t="inlineStr">
        <is>
          <t>Trnovac</t>
        </is>
      </c>
    </row>
    <row r="30">
      <c r="A30" s="19" t="inlineStr">
        <is>
          <t>Vladimira Nazora</t>
        </is>
      </c>
    </row>
    <row r="31">
      <c r="A31" s="19" t="inlineStr">
        <is>
          <t>Trg dr. Franje Tuđmana</t>
        </is>
      </c>
    </row>
    <row r="32">
      <c r="A32" s="19" t="inlineStr">
        <is>
          <t>Frana Lugarića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2026-10-07T18:41:20Z</dcterms:created>
  <dcterms:modified xmlns:dcterms="http://purl.org/dc/terms/" xmlns:xsi="http://www.w3.org/2001/XMLSchema-instance" xsi:type="dcterms:W3CDTF">2026-10-07T18:41:20Z</dcterms:modified>
</cp:coreProperties>
</file>
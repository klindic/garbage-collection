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'Raspored'!$A$4:$K$74</definedName>
    <definedName name="_xlnm._FilterDatabase" localSheetId="2" hidden="1">'Po vrsti'!$A$1:$D$83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  <fill>
      <patternFill patternType="solid">
        <fgColor rgb="007F7F7F"/>
      </patternFill>
    </fill>
    <fill>
      <patternFill patternType="solid">
        <fgColor rgb="008E44A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3" fillId="8" borderId="1" pivotButton="0" quotePrefix="0" xfId="0"/>
    <xf numFmtId="0" fontId="3" fillId="9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8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b val="1"/>
        <color rgb="00FFFFFF"/>
      </font>
      <fill>
        <patternFill patternType="solid">
          <fgColor rgb="007F7F7F"/>
          <bgColor rgb="007F7F7F"/>
        </patternFill>
      </fill>
    </dxf>
    <dxf>
      <font>
        <b val="1"/>
        <color rgb="00FFFFFF"/>
      </font>
      <fill>
        <patternFill patternType="solid">
          <fgColor rgb="008E44AD"/>
          <bgColor rgb="008E44AD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4,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 (zelena kanta)</t>
        </is>
      </c>
      <c r="B6" s="6">
        <f>IFERROR(1/(1/_xlfn.MINIFS(Raspored!$A$5:$A$74,Raspored!$D$5:$D$74,"x",Raspored!$A$5:$A$74,"&gt;="&amp;$B$3)),"nema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COUNTIF(Raspored!$D$5:$D$74,"x")</f>
        <v/>
      </c>
    </row>
    <row r="7">
      <c r="A7" s="9" t="inlineStr">
        <is>
          <t>Biootpad</t>
        </is>
      </c>
      <c r="B7" s="6">
        <f>IFERROR(1/(1/_xlfn.MINIFS(Raspored!$A$5:$A$74,Raspored!$E$5:$E$74,"x",Raspored!$A$5:$A$74,"&gt;="&amp;$B$3)),"nema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COUNTIF(Raspored!$E$5:$E$74,"x")</f>
        <v/>
      </c>
    </row>
    <row r="8">
      <c r="A8" s="10" t="inlineStr">
        <is>
          <t>Plastika (žuta kanta)</t>
        </is>
      </c>
      <c r="B8" s="6">
        <f>IFERROR(1/(1/_xlfn.MINIFS(Raspored!$A$5:$A$74,Raspored!$F$5:$F$74,"x",Raspored!$A$5:$A$74,"&gt;="&amp;$B$3)),"nema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COUNTIF(Raspored!$F$5:$F$74,"x")</f>
        <v/>
      </c>
    </row>
    <row r="9">
      <c r="A9" s="11" t="inlineStr">
        <is>
          <t>Papir i karton (plava kanta)</t>
        </is>
      </c>
      <c r="B9" s="6">
        <f>IFERROR(1/(1/_xlfn.MINIFS(Raspored!$A$5:$A$74,Raspored!$G$5:$G$74,"x",Raspored!$A$5:$A$74,"&gt;="&amp;$B$3)),"nema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COUNTIF(Raspored!$G$5:$G$74,"x")</f>
        <v/>
      </c>
    </row>
    <row r="10">
      <c r="A10" s="12" t="inlineStr">
        <is>
          <t>Staklo</t>
        </is>
      </c>
      <c r="B10" s="6">
        <f>IFERROR(1/(1/_xlfn.MINIFS(Raspored!$A$5:$A$74,Raspored!$H$5:$H$74,"x",Raspored!$A$5:$A$74,"&gt;="&amp;$B$3)),"nema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COUNTIF(Raspored!$H$5:$H$74,"x")</f>
        <v/>
      </c>
    </row>
    <row r="11">
      <c r="A11" s="13" t="inlineStr">
        <is>
          <t>Glomazni otpad</t>
        </is>
      </c>
      <c r="B11" s="6">
        <f>IFERROR(1/(1/_xlfn.MINIFS(Raspored!$A$5:$A$74,Raspored!$I$5:$I$74,"x",Raspored!$A$5:$A$74,"&gt;="&amp;$B$3)),"nema više u 2026.")</f>
        <v/>
      </c>
      <c r="C11" s="7">
        <f>IF(ISNUMBER(B11),INDEX({"nedjelja","ponedjeljak","utorak","srijeda","četvrtak","petak","subota"},WEEKDAY(B11)),"")</f>
        <v/>
      </c>
      <c r="D11" s="8">
        <f>IF(ISNUMBER(B11),B11-$B$3,"")</f>
        <v/>
      </c>
      <c r="E11" s="7">
        <f>COUNTIF(Raspored!$I$5:$I$74,"x")</f>
        <v/>
      </c>
    </row>
    <row r="12">
      <c r="A12" s="14" t="inlineStr">
        <is>
          <t>Tekstil</t>
        </is>
      </c>
      <c r="B12" s="6">
        <f>IFERROR(1/(1/_xlfn.MINIFS(Raspored!$A$5:$A$74,Raspored!$J$5:$J$74,"x",Raspored!$A$5:$A$74,"&gt;="&amp;$B$3)),"nema više u 2026.")</f>
        <v/>
      </c>
      <c r="C12" s="7">
        <f>IF(ISNUMBER(B12),INDEX({"nedjelja","ponedjeljak","utorak","srijeda","četvrtak","petak","subota"},WEEKDAY(B12)),"")</f>
        <v/>
      </c>
      <c r="D12" s="8">
        <f>IF(ISNUMBER(B12),B12-$B$3,"")</f>
        <v/>
      </c>
      <c r="E12" s="7">
        <f>COUNTIF(Raspored!$J$5:$J$74,"x")</f>
        <v/>
      </c>
    </row>
    <row r="14">
      <c r="A14" s="15" t="inlineStr">
        <is>
          <t>Broj odvoza po mjesecu</t>
        </is>
      </c>
    </row>
    <row r="15" ht="30" customHeight="1">
      <c r="A15" s="4" t="inlineStr">
        <is>
          <t>Mjesec</t>
        </is>
      </c>
      <c r="B15" s="16" t="inlineStr">
        <is>
          <t>Miješani komunalni otpad (zelena kanta)</t>
        </is>
      </c>
      <c r="C15" s="17" t="inlineStr">
        <is>
          <t>Biootpad</t>
        </is>
      </c>
      <c r="D15" s="18" t="inlineStr">
        <is>
          <t>Plastika (žuta kanta)</t>
        </is>
      </c>
      <c r="E15" s="19" t="inlineStr">
        <is>
          <t>Papir i karton (plava kanta)</t>
        </is>
      </c>
      <c r="F15" s="20" t="inlineStr">
        <is>
          <t>Staklo</t>
        </is>
      </c>
      <c r="G15" s="21" t="inlineStr">
        <is>
          <t>Glomazni otpad</t>
        </is>
      </c>
      <c r="H15" s="22" t="inlineStr">
        <is>
          <t>Tekstil</t>
        </is>
      </c>
    </row>
    <row r="16">
      <c r="A16" s="23" t="inlineStr">
        <is>
          <t>siječanj</t>
        </is>
      </c>
      <c r="B16" s="7">
        <f>COUNTIFS(Raspored!$C$5:$C$74,$A16,Raspored!$D$5:$D$74,"x")</f>
        <v/>
      </c>
      <c r="C16" s="7">
        <f>COUNTIFS(Raspored!$C$5:$C$74,$A16,Raspored!$E$5:$E$74,"x")</f>
        <v/>
      </c>
      <c r="D16" s="7">
        <f>COUNTIFS(Raspored!$C$5:$C$74,$A16,Raspored!$F$5:$F$74,"x")</f>
        <v/>
      </c>
      <c r="E16" s="7">
        <f>COUNTIFS(Raspored!$C$5:$C$74,$A16,Raspored!$G$5:$G$74,"x")</f>
        <v/>
      </c>
      <c r="F16" s="7">
        <f>COUNTIFS(Raspored!$C$5:$C$74,$A16,Raspored!$H$5:$H$74,"x")</f>
        <v/>
      </c>
      <c r="G16" s="7">
        <f>COUNTIFS(Raspored!$C$5:$C$74,$A16,Raspored!$I$5:$I$74,"x")</f>
        <v/>
      </c>
      <c r="H16" s="7">
        <f>COUNTIFS(Raspored!$C$5:$C$74,$A16,Raspored!$J$5:$J$74,"x")</f>
        <v/>
      </c>
    </row>
    <row r="17">
      <c r="A17" s="23" t="inlineStr">
        <is>
          <t>veljača</t>
        </is>
      </c>
      <c r="B17" s="7">
        <f>COUNTIFS(Raspored!$C$5:$C$74,$A17,Raspored!$D$5:$D$74,"x")</f>
        <v/>
      </c>
      <c r="C17" s="7">
        <f>COUNTIFS(Raspored!$C$5:$C$74,$A17,Raspored!$E$5:$E$74,"x")</f>
        <v/>
      </c>
      <c r="D17" s="7">
        <f>COUNTIFS(Raspored!$C$5:$C$74,$A17,Raspored!$F$5:$F$74,"x")</f>
        <v/>
      </c>
      <c r="E17" s="7">
        <f>COUNTIFS(Raspored!$C$5:$C$74,$A17,Raspored!$G$5:$G$74,"x")</f>
        <v/>
      </c>
      <c r="F17" s="7">
        <f>COUNTIFS(Raspored!$C$5:$C$74,$A17,Raspored!$H$5:$H$74,"x")</f>
        <v/>
      </c>
      <c r="G17" s="7">
        <f>COUNTIFS(Raspored!$C$5:$C$74,$A17,Raspored!$I$5:$I$74,"x")</f>
        <v/>
      </c>
      <c r="H17" s="7">
        <f>COUNTIFS(Raspored!$C$5:$C$74,$A17,Raspored!$J$5:$J$74,"x")</f>
        <v/>
      </c>
    </row>
    <row r="18">
      <c r="A18" s="23" t="inlineStr">
        <is>
          <t>ožujak</t>
        </is>
      </c>
      <c r="B18" s="7">
        <f>COUNTIFS(Raspored!$C$5:$C$74,$A18,Raspored!$D$5:$D$74,"x")</f>
        <v/>
      </c>
      <c r="C18" s="7">
        <f>COUNTIFS(Raspored!$C$5:$C$74,$A18,Raspored!$E$5:$E$74,"x")</f>
        <v/>
      </c>
      <c r="D18" s="7">
        <f>COUNTIFS(Raspored!$C$5:$C$74,$A18,Raspored!$F$5:$F$74,"x")</f>
        <v/>
      </c>
      <c r="E18" s="7">
        <f>COUNTIFS(Raspored!$C$5:$C$74,$A18,Raspored!$G$5:$G$74,"x")</f>
        <v/>
      </c>
      <c r="F18" s="7">
        <f>COUNTIFS(Raspored!$C$5:$C$74,$A18,Raspored!$H$5:$H$74,"x")</f>
        <v/>
      </c>
      <c r="G18" s="7">
        <f>COUNTIFS(Raspored!$C$5:$C$74,$A18,Raspored!$I$5:$I$74,"x")</f>
        <v/>
      </c>
      <c r="H18" s="7">
        <f>COUNTIFS(Raspored!$C$5:$C$74,$A18,Raspored!$J$5:$J$74,"x")</f>
        <v/>
      </c>
    </row>
    <row r="19">
      <c r="A19" s="23" t="inlineStr">
        <is>
          <t>travanj</t>
        </is>
      </c>
      <c r="B19" s="7">
        <f>COUNTIFS(Raspored!$C$5:$C$74,$A19,Raspored!$D$5:$D$74,"x")</f>
        <v/>
      </c>
      <c r="C19" s="7">
        <f>COUNTIFS(Raspored!$C$5:$C$74,$A19,Raspored!$E$5:$E$74,"x")</f>
        <v/>
      </c>
      <c r="D19" s="7">
        <f>COUNTIFS(Raspored!$C$5:$C$74,$A19,Raspored!$F$5:$F$74,"x")</f>
        <v/>
      </c>
      <c r="E19" s="7">
        <f>COUNTIFS(Raspored!$C$5:$C$74,$A19,Raspored!$G$5:$G$74,"x")</f>
        <v/>
      </c>
      <c r="F19" s="7">
        <f>COUNTIFS(Raspored!$C$5:$C$74,$A19,Raspored!$H$5:$H$74,"x")</f>
        <v/>
      </c>
      <c r="G19" s="7">
        <f>COUNTIFS(Raspored!$C$5:$C$74,$A19,Raspored!$I$5:$I$74,"x")</f>
        <v/>
      </c>
      <c r="H19" s="7">
        <f>COUNTIFS(Raspored!$C$5:$C$74,$A19,Raspored!$J$5:$J$74,"x")</f>
        <v/>
      </c>
    </row>
    <row r="20">
      <c r="A20" s="23" t="inlineStr">
        <is>
          <t>svibanj</t>
        </is>
      </c>
      <c r="B20" s="7">
        <f>COUNTIFS(Raspored!$C$5:$C$74,$A20,Raspored!$D$5:$D$74,"x")</f>
        <v/>
      </c>
      <c r="C20" s="7">
        <f>COUNTIFS(Raspored!$C$5:$C$74,$A20,Raspored!$E$5:$E$74,"x")</f>
        <v/>
      </c>
      <c r="D20" s="7">
        <f>COUNTIFS(Raspored!$C$5:$C$74,$A20,Raspored!$F$5:$F$74,"x")</f>
        <v/>
      </c>
      <c r="E20" s="7">
        <f>COUNTIFS(Raspored!$C$5:$C$74,$A20,Raspored!$G$5:$G$74,"x")</f>
        <v/>
      </c>
      <c r="F20" s="7">
        <f>COUNTIFS(Raspored!$C$5:$C$74,$A20,Raspored!$H$5:$H$74,"x")</f>
        <v/>
      </c>
      <c r="G20" s="7">
        <f>COUNTIFS(Raspored!$C$5:$C$74,$A20,Raspored!$I$5:$I$74,"x")</f>
        <v/>
      </c>
      <c r="H20" s="7">
        <f>COUNTIFS(Raspored!$C$5:$C$74,$A20,Raspored!$J$5:$J$74,"x")</f>
        <v/>
      </c>
    </row>
    <row r="21">
      <c r="A21" s="23" t="inlineStr">
        <is>
          <t>lipanj</t>
        </is>
      </c>
      <c r="B21" s="7">
        <f>COUNTIFS(Raspored!$C$5:$C$74,$A21,Raspored!$D$5:$D$74,"x")</f>
        <v/>
      </c>
      <c r="C21" s="7">
        <f>COUNTIFS(Raspored!$C$5:$C$74,$A21,Raspored!$E$5:$E$74,"x")</f>
        <v/>
      </c>
      <c r="D21" s="7">
        <f>COUNTIFS(Raspored!$C$5:$C$74,$A21,Raspored!$F$5:$F$74,"x")</f>
        <v/>
      </c>
      <c r="E21" s="7">
        <f>COUNTIFS(Raspored!$C$5:$C$74,$A21,Raspored!$G$5:$G$74,"x")</f>
        <v/>
      </c>
      <c r="F21" s="7">
        <f>COUNTIFS(Raspored!$C$5:$C$74,$A21,Raspored!$H$5:$H$74,"x")</f>
        <v/>
      </c>
      <c r="G21" s="7">
        <f>COUNTIFS(Raspored!$C$5:$C$74,$A21,Raspored!$I$5:$I$74,"x")</f>
        <v/>
      </c>
      <c r="H21" s="7">
        <f>COUNTIFS(Raspored!$C$5:$C$74,$A21,Raspored!$J$5:$J$74,"x")</f>
        <v/>
      </c>
    </row>
    <row r="22">
      <c r="A22" s="23" t="inlineStr">
        <is>
          <t>srpanj</t>
        </is>
      </c>
      <c r="B22" s="7">
        <f>COUNTIFS(Raspored!$C$5:$C$74,$A22,Raspored!$D$5:$D$74,"x")</f>
        <v/>
      </c>
      <c r="C22" s="7">
        <f>COUNTIFS(Raspored!$C$5:$C$74,$A22,Raspored!$E$5:$E$74,"x")</f>
        <v/>
      </c>
      <c r="D22" s="7">
        <f>COUNTIFS(Raspored!$C$5:$C$74,$A22,Raspored!$F$5:$F$74,"x")</f>
        <v/>
      </c>
      <c r="E22" s="7">
        <f>COUNTIFS(Raspored!$C$5:$C$74,$A22,Raspored!$G$5:$G$74,"x")</f>
        <v/>
      </c>
      <c r="F22" s="7">
        <f>COUNTIFS(Raspored!$C$5:$C$74,$A22,Raspored!$H$5:$H$74,"x")</f>
        <v/>
      </c>
      <c r="G22" s="7">
        <f>COUNTIFS(Raspored!$C$5:$C$74,$A22,Raspored!$I$5:$I$74,"x")</f>
        <v/>
      </c>
      <c r="H22" s="7">
        <f>COUNTIFS(Raspored!$C$5:$C$74,$A22,Raspored!$J$5:$J$74,"x")</f>
        <v/>
      </c>
    </row>
    <row r="23">
      <c r="A23" s="23" t="inlineStr">
        <is>
          <t>kolovoz</t>
        </is>
      </c>
      <c r="B23" s="7">
        <f>COUNTIFS(Raspored!$C$5:$C$74,$A23,Raspored!$D$5:$D$74,"x")</f>
        <v/>
      </c>
      <c r="C23" s="7">
        <f>COUNTIFS(Raspored!$C$5:$C$74,$A23,Raspored!$E$5:$E$74,"x")</f>
        <v/>
      </c>
      <c r="D23" s="7">
        <f>COUNTIFS(Raspored!$C$5:$C$74,$A23,Raspored!$F$5:$F$74,"x")</f>
        <v/>
      </c>
      <c r="E23" s="7">
        <f>COUNTIFS(Raspored!$C$5:$C$74,$A23,Raspored!$G$5:$G$74,"x")</f>
        <v/>
      </c>
      <c r="F23" s="7">
        <f>COUNTIFS(Raspored!$C$5:$C$74,$A23,Raspored!$H$5:$H$74,"x")</f>
        <v/>
      </c>
      <c r="G23" s="7">
        <f>COUNTIFS(Raspored!$C$5:$C$74,$A23,Raspored!$I$5:$I$74,"x")</f>
        <v/>
      </c>
      <c r="H23" s="7">
        <f>COUNTIFS(Raspored!$C$5:$C$74,$A23,Raspored!$J$5:$J$74,"x")</f>
        <v/>
      </c>
    </row>
    <row r="24">
      <c r="A24" s="23" t="inlineStr">
        <is>
          <t>rujan</t>
        </is>
      </c>
      <c r="B24" s="7">
        <f>COUNTIFS(Raspored!$C$5:$C$74,$A24,Raspored!$D$5:$D$74,"x")</f>
        <v/>
      </c>
      <c r="C24" s="7">
        <f>COUNTIFS(Raspored!$C$5:$C$74,$A24,Raspored!$E$5:$E$74,"x")</f>
        <v/>
      </c>
      <c r="D24" s="7">
        <f>COUNTIFS(Raspored!$C$5:$C$74,$A24,Raspored!$F$5:$F$74,"x")</f>
        <v/>
      </c>
      <c r="E24" s="7">
        <f>COUNTIFS(Raspored!$C$5:$C$74,$A24,Raspored!$G$5:$G$74,"x")</f>
        <v/>
      </c>
      <c r="F24" s="7">
        <f>COUNTIFS(Raspored!$C$5:$C$74,$A24,Raspored!$H$5:$H$74,"x")</f>
        <v/>
      </c>
      <c r="G24" s="7">
        <f>COUNTIFS(Raspored!$C$5:$C$74,$A24,Raspored!$I$5:$I$74,"x")</f>
        <v/>
      </c>
      <c r="H24" s="7">
        <f>COUNTIFS(Raspored!$C$5:$C$74,$A24,Raspored!$J$5:$J$74,"x")</f>
        <v/>
      </c>
    </row>
    <row r="25">
      <c r="A25" s="23" t="inlineStr">
        <is>
          <t>listopad</t>
        </is>
      </c>
      <c r="B25" s="7">
        <f>COUNTIFS(Raspored!$C$5:$C$74,$A25,Raspored!$D$5:$D$74,"x")</f>
        <v/>
      </c>
      <c r="C25" s="7">
        <f>COUNTIFS(Raspored!$C$5:$C$74,$A25,Raspored!$E$5:$E$74,"x")</f>
        <v/>
      </c>
      <c r="D25" s="7">
        <f>COUNTIFS(Raspored!$C$5:$C$74,$A25,Raspored!$F$5:$F$74,"x")</f>
        <v/>
      </c>
      <c r="E25" s="7">
        <f>COUNTIFS(Raspored!$C$5:$C$74,$A25,Raspored!$G$5:$G$74,"x")</f>
        <v/>
      </c>
      <c r="F25" s="7">
        <f>COUNTIFS(Raspored!$C$5:$C$74,$A25,Raspored!$H$5:$H$74,"x")</f>
        <v/>
      </c>
      <c r="G25" s="7">
        <f>COUNTIFS(Raspored!$C$5:$C$74,$A25,Raspored!$I$5:$I$74,"x")</f>
        <v/>
      </c>
      <c r="H25" s="7">
        <f>COUNTIFS(Raspored!$C$5:$C$74,$A25,Raspored!$J$5:$J$74,"x")</f>
        <v/>
      </c>
    </row>
    <row r="26">
      <c r="A26" s="23" t="inlineStr">
        <is>
          <t>studeni</t>
        </is>
      </c>
      <c r="B26" s="7">
        <f>COUNTIFS(Raspored!$C$5:$C$74,$A26,Raspored!$D$5:$D$74,"x")</f>
        <v/>
      </c>
      <c r="C26" s="7">
        <f>COUNTIFS(Raspored!$C$5:$C$74,$A26,Raspored!$E$5:$E$74,"x")</f>
        <v/>
      </c>
      <c r="D26" s="7">
        <f>COUNTIFS(Raspored!$C$5:$C$74,$A26,Raspored!$F$5:$F$74,"x")</f>
        <v/>
      </c>
      <c r="E26" s="7">
        <f>COUNTIFS(Raspored!$C$5:$C$74,$A26,Raspored!$G$5:$G$74,"x")</f>
        <v/>
      </c>
      <c r="F26" s="7">
        <f>COUNTIFS(Raspored!$C$5:$C$74,$A26,Raspored!$H$5:$H$74,"x")</f>
        <v/>
      </c>
      <c r="G26" s="7">
        <f>COUNTIFS(Raspored!$C$5:$C$74,$A26,Raspored!$I$5:$I$74,"x")</f>
        <v/>
      </c>
      <c r="H26" s="7">
        <f>COUNTIFS(Raspored!$C$5:$C$74,$A26,Raspored!$J$5:$J$74,"x")</f>
        <v/>
      </c>
    </row>
    <row r="27">
      <c r="A27" s="23" t="inlineStr">
        <is>
          <t>prosinac</t>
        </is>
      </c>
      <c r="B27" s="7">
        <f>COUNTIFS(Raspored!$C$5:$C$74,$A27,Raspored!$D$5:$D$74,"x")</f>
        <v/>
      </c>
      <c r="C27" s="7">
        <f>COUNTIFS(Raspored!$C$5:$C$74,$A27,Raspored!$E$5:$E$74,"x")</f>
        <v/>
      </c>
      <c r="D27" s="7">
        <f>COUNTIFS(Raspored!$C$5:$C$74,$A27,Raspored!$F$5:$F$74,"x")</f>
        <v/>
      </c>
      <c r="E27" s="7">
        <f>COUNTIFS(Raspored!$C$5:$C$74,$A27,Raspored!$G$5:$G$74,"x")</f>
        <v/>
      </c>
      <c r="F27" s="7">
        <f>COUNTIFS(Raspored!$C$5:$C$74,$A27,Raspored!$H$5:$H$74,"x")</f>
        <v/>
      </c>
      <c r="G27" s="7">
        <f>COUNTIFS(Raspored!$C$5:$C$74,$A27,Raspored!$I$5:$I$74,"x")</f>
        <v/>
      </c>
      <c r="H27" s="7">
        <f>COUNTIFS(Raspored!$C$5:$C$74,$A27,Raspored!$J$5:$J$74,"x")</f>
        <v/>
      </c>
    </row>
    <row r="28">
      <c r="A28" s="24" t="inlineStr">
        <is>
          <t>Ukupno</t>
        </is>
      </c>
      <c r="B28" s="25">
        <f>SUM(B16:B27)</f>
        <v/>
      </c>
      <c r="C28" s="25">
        <f>SUM(C16:C27)</f>
        <v/>
      </c>
      <c r="D28" s="25">
        <f>SUM(D16:D27)</f>
        <v/>
      </c>
      <c r="E28" s="25">
        <f>SUM(E16:E27)</f>
        <v/>
      </c>
      <c r="F28" s="25">
        <f>SUM(F16:F27)</f>
        <v/>
      </c>
      <c r="G28" s="25">
        <f>SUM(G16:G27)</f>
        <v/>
      </c>
      <c r="H28" s="25">
        <f>SUM(H16:H27)</f>
        <v/>
      </c>
    </row>
    <row r="30">
      <c r="A30" s="26" t="inlineStr">
        <is>
          <t>Napomene:</t>
        </is>
      </c>
    </row>
    <row r="31">
      <c r="A31" s="27" t="inlineStr">
        <is>
          <t>• Crveno označeni datumi u listu "Raspored" su pomaknuti zbog neradnog dana u tom tjednu (inače je odvoz srijedom).</t>
        </is>
      </c>
    </row>
    <row r="32">
      <c r="A32" s="27" t="inlineStr">
        <is>
          <t>• Miješani komunalni otpad (zelena kanta) odvozi se svaka dva tjedna, a u lipnju, srpnju i kolovozu još jednom dodatno; biootpad (smeđa kanta) svaka dva tjedna; papir (plava kanta) i plastika (žuta kanta) jednom mjesečno. Spremnike treba pripremiti do 6 sati.</t>
        </is>
      </c>
    </row>
    <row r="33">
      <c r="A33" s="27" t="inlineStr">
        <is>
          <t>• Nema odvoza 6.1., 7.1., 6.4., 13.4., 18.11.; zamjenski odvozi (2.1., 9.1., 3.4., 9.4., 13.11.) označeni su kao premješteni. Na blagdane 22.6., 5.8. odvoz je prema rasporedu.</t>
        </is>
      </c>
    </row>
    <row r="34">
      <c r="A34" s="27" t="inlineStr">
        <is>
          <t>• Elektronički otpad odvozi se s kućnog praga 17.9. (Dalj, Aljmaš) i 18.9. (Bijelo Brdo, Erdut, Planina).</t>
        </is>
      </c>
    </row>
    <row r="35">
      <c r="A35" s="27" t="inlineStr">
        <is>
          <t>• Podjela Dalja na Dalj I. i Dalj II. nije objavljena u rasporedu; provjerite kod Čvorkovca (031/590-272).</t>
        </is>
      </c>
    </row>
    <row r="36">
      <c r="A36" s="27" t="inlineStr">
        <is>
          <t>• Reciklažno dvorište Studenac, Pašnjak livadica bb, Dalj: od 1.11. do 31.3. utorak–subota 8–16 sati; od 1.4. do 31.10. utorak, četvrtak, petak i subota 8–16, srijeda 10–18 sati; ponedjeljkom zatvoreno.</t>
        </is>
      </c>
    </row>
    <row r="37">
      <c r="A37" s="27" t="inlineStr">
        <is>
          <t>• Mobilno reciklažno dvorište: drugi petak u mjesecu Bijelo Brdo (kod Doma kulture), treći petak Aljmaš, četvrti petak Erdut (kod Doma kulture).</t>
        </is>
      </c>
    </row>
    <row r="38">
      <c r="A38" s="27" t="inlineStr">
        <is>
          <t>• Čvorkovac d.o.o., Bana Josipa Jelačića 12, Dalj: 031/590-272, blagajna 031/591-556.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11" customWidth="1" min="8" max="8"/>
    <col width="13" customWidth="1" min="9" max="9"/>
    <col width="11" customWidth="1" min="10" max="10"/>
    <col width="44" customWidth="1" min="11" max="11"/>
  </cols>
  <sheetData>
    <row r="1">
      <c r="A1" s="1" t="inlineStr">
        <is>
          <t>Raspored odvoza otpada 2026., Zona 4 (Erdut)</t>
        </is>
      </c>
    </row>
    <row r="2">
      <c r="A2" s="28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6" t="inlineStr">
        <is>
          <t>Miješani komunalni otpad (zelena kanta)</t>
        </is>
      </c>
      <c r="E4" s="17" t="inlineStr">
        <is>
          <t>Biootpad</t>
        </is>
      </c>
      <c r="F4" s="18" t="inlineStr">
        <is>
          <t>Plastika (žuta kanta)</t>
        </is>
      </c>
      <c r="G4" s="19" t="inlineStr">
        <is>
          <t>Papir i karton (plava kanta)</t>
        </is>
      </c>
      <c r="H4" s="20" t="inlineStr">
        <is>
          <t>Staklo</t>
        </is>
      </c>
      <c r="I4" s="21" t="inlineStr">
        <is>
          <t>Glomazni otpad</t>
        </is>
      </c>
      <c r="J4" s="22" t="inlineStr">
        <is>
          <t>Tekstil</t>
        </is>
      </c>
      <c r="K4" s="4" t="inlineStr">
        <is>
          <t>Napomena</t>
        </is>
      </c>
    </row>
    <row r="5">
      <c r="A5" s="29" t="n">
        <v>46031</v>
      </c>
      <c r="B5" s="30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7" t="n"/>
      <c r="I5" s="7" t="n"/>
      <c r="J5" s="7" t="n"/>
      <c r="K5" s="31" t="inlineStr">
        <is>
          <t>Pomaknuto zbog neradnog dana u tjednu</t>
        </is>
      </c>
    </row>
    <row r="6">
      <c r="A6" s="6" t="n">
        <v>46036</v>
      </c>
      <c r="B6" s="7" t="inlineStr">
        <is>
          <t>srijeda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n"/>
      <c r="G6" s="7" t="inlineStr">
        <is>
          <t>x</t>
        </is>
      </c>
      <c r="H6" s="7" t="n"/>
      <c r="I6" s="7" t="n"/>
      <c r="J6" s="7" t="n"/>
      <c r="K6" s="31" t="n"/>
    </row>
    <row r="7">
      <c r="A7" s="6" t="n">
        <v>46038</v>
      </c>
      <c r="B7" s="7" t="inlineStr">
        <is>
          <t>petak</t>
        </is>
      </c>
      <c r="C7" s="7" t="inlineStr">
        <is>
          <t>siječanj</t>
        </is>
      </c>
      <c r="D7" s="7" t="n"/>
      <c r="E7" s="7" t="n"/>
      <c r="F7" s="7" t="inlineStr">
        <is>
          <t>x</t>
        </is>
      </c>
      <c r="G7" s="7" t="n"/>
      <c r="H7" s="7" t="n"/>
      <c r="I7" s="7" t="n"/>
      <c r="J7" s="7" t="n"/>
      <c r="K7" s="31" t="n"/>
    </row>
    <row r="8">
      <c r="A8" s="6" t="n">
        <v>46043</v>
      </c>
      <c r="B8" s="7" t="inlineStr">
        <is>
          <t>srijeda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7" t="n"/>
      <c r="I8" s="7" t="n"/>
      <c r="J8" s="7" t="n"/>
      <c r="K8" s="31" t="n"/>
    </row>
    <row r="9">
      <c r="A9" s="6" t="n">
        <v>46050</v>
      </c>
      <c r="B9" s="7" t="inlineStr">
        <is>
          <t>srijeda</t>
        </is>
      </c>
      <c r="C9" s="7" t="inlineStr">
        <is>
          <t>siječanj</t>
        </is>
      </c>
      <c r="D9" s="7" t="n"/>
      <c r="E9" s="7" t="inlineStr">
        <is>
          <t>x</t>
        </is>
      </c>
      <c r="F9" s="7" t="n"/>
      <c r="G9" s="7" t="n"/>
      <c r="H9" s="7" t="n"/>
      <c r="I9" s="7" t="n"/>
      <c r="J9" s="7" t="n"/>
      <c r="K9" s="31" t="n"/>
    </row>
    <row r="10">
      <c r="A10" s="6" t="n">
        <v>46057</v>
      </c>
      <c r="B10" s="7" t="inlineStr">
        <is>
          <t>srijeda</t>
        </is>
      </c>
      <c r="C10" s="7" t="inlineStr">
        <is>
          <t>veljača</t>
        </is>
      </c>
      <c r="D10" s="7" t="inlineStr">
        <is>
          <t>x</t>
        </is>
      </c>
      <c r="E10" s="7" t="n"/>
      <c r="F10" s="7" t="n"/>
      <c r="G10" s="7" t="n"/>
      <c r="H10" s="7" t="n"/>
      <c r="I10" s="7" t="n"/>
      <c r="J10" s="7" t="n"/>
      <c r="K10" s="31" t="n"/>
    </row>
    <row r="11">
      <c r="A11" s="6" t="n">
        <v>46064</v>
      </c>
      <c r="B11" s="7" t="inlineStr">
        <is>
          <t>srijeda</t>
        </is>
      </c>
      <c r="C11" s="7" t="inlineStr">
        <is>
          <t>veljača</t>
        </is>
      </c>
      <c r="D11" s="7" t="n"/>
      <c r="E11" s="7" t="inlineStr">
        <is>
          <t>x</t>
        </is>
      </c>
      <c r="F11" s="7" t="n"/>
      <c r="G11" s="7" t="inlineStr">
        <is>
          <t>x</t>
        </is>
      </c>
      <c r="H11" s="7" t="n"/>
      <c r="I11" s="7" t="n"/>
      <c r="J11" s="7" t="n"/>
      <c r="K11" s="31" t="n"/>
    </row>
    <row r="12">
      <c r="A12" s="6" t="n">
        <v>46066</v>
      </c>
      <c r="B12" s="7" t="inlineStr">
        <is>
          <t>petak</t>
        </is>
      </c>
      <c r="C12" s="7" t="inlineStr">
        <is>
          <t>veljača</t>
        </is>
      </c>
      <c r="D12" s="7" t="n"/>
      <c r="E12" s="7" t="n"/>
      <c r="F12" s="7" t="inlineStr">
        <is>
          <t>x</t>
        </is>
      </c>
      <c r="G12" s="7" t="n"/>
      <c r="H12" s="7" t="n"/>
      <c r="I12" s="7" t="n"/>
      <c r="J12" s="7" t="n"/>
      <c r="K12" s="31" t="n"/>
    </row>
    <row r="13">
      <c r="A13" s="6" t="n">
        <v>46071</v>
      </c>
      <c r="B13" s="7" t="inlineStr">
        <is>
          <t>srijeda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7" t="n"/>
      <c r="H13" s="7" t="n"/>
      <c r="I13" s="7" t="n"/>
      <c r="J13" s="7" t="n"/>
      <c r="K13" s="31" t="n"/>
    </row>
    <row r="14">
      <c r="A14" s="6" t="n">
        <v>46078</v>
      </c>
      <c r="B14" s="7" t="inlineStr">
        <is>
          <t>srijeda</t>
        </is>
      </c>
      <c r="C14" s="7" t="inlineStr">
        <is>
          <t>veljača</t>
        </is>
      </c>
      <c r="D14" s="7" t="n"/>
      <c r="E14" s="7" t="inlineStr">
        <is>
          <t>x</t>
        </is>
      </c>
      <c r="F14" s="7" t="n"/>
      <c r="G14" s="7" t="n"/>
      <c r="H14" s="7" t="n"/>
      <c r="I14" s="7" t="n"/>
      <c r="J14" s="7" t="n"/>
      <c r="K14" s="31" t="n"/>
    </row>
    <row r="15">
      <c r="A15" s="6" t="n">
        <v>46085</v>
      </c>
      <c r="B15" s="7" t="inlineStr">
        <is>
          <t>srijeda</t>
        </is>
      </c>
      <c r="C15" s="7" t="inlineStr">
        <is>
          <t>ožujak</t>
        </is>
      </c>
      <c r="D15" s="7" t="inlineStr">
        <is>
          <t>x</t>
        </is>
      </c>
      <c r="E15" s="7" t="n"/>
      <c r="F15" s="7" t="n"/>
      <c r="G15" s="7" t="n"/>
      <c r="H15" s="7" t="n"/>
      <c r="I15" s="7" t="n"/>
      <c r="J15" s="7" t="n"/>
      <c r="K15" s="31" t="n"/>
    </row>
    <row r="16">
      <c r="A16" s="6" t="n">
        <v>46087</v>
      </c>
      <c r="B16" s="7" t="inlineStr">
        <is>
          <t>petak</t>
        </is>
      </c>
      <c r="C16" s="7" t="inlineStr">
        <is>
          <t>ožujak</t>
        </is>
      </c>
      <c r="D16" s="7" t="n"/>
      <c r="E16" s="7" t="n"/>
      <c r="F16" s="7" t="n"/>
      <c r="G16" s="7" t="n"/>
      <c r="H16" s="7" t="inlineStr">
        <is>
          <t>x</t>
        </is>
      </c>
      <c r="I16" s="7" t="n"/>
      <c r="J16" s="7" t="n"/>
      <c r="K16" s="31" t="n"/>
    </row>
    <row r="17">
      <c r="A17" s="6" t="n">
        <v>46092</v>
      </c>
      <c r="B17" s="7" t="inlineStr">
        <is>
          <t>srijeda</t>
        </is>
      </c>
      <c r="C17" s="7" t="inlineStr">
        <is>
          <t>ožujak</t>
        </is>
      </c>
      <c r="D17" s="7" t="n"/>
      <c r="E17" s="7" t="inlineStr">
        <is>
          <t>x</t>
        </is>
      </c>
      <c r="F17" s="7" t="n"/>
      <c r="G17" s="7" t="inlineStr">
        <is>
          <t>x</t>
        </is>
      </c>
      <c r="H17" s="7" t="n"/>
      <c r="I17" s="7" t="n"/>
      <c r="J17" s="7" t="n"/>
      <c r="K17" s="31" t="n"/>
    </row>
    <row r="18">
      <c r="A18" s="6" t="n">
        <v>46094</v>
      </c>
      <c r="B18" s="7" t="inlineStr">
        <is>
          <t>petak</t>
        </is>
      </c>
      <c r="C18" s="7" t="inlineStr">
        <is>
          <t>ožujak</t>
        </is>
      </c>
      <c r="D18" s="7" t="n"/>
      <c r="E18" s="7" t="n"/>
      <c r="F18" s="7" t="inlineStr">
        <is>
          <t>x</t>
        </is>
      </c>
      <c r="G18" s="7" t="n"/>
      <c r="H18" s="7" t="n"/>
      <c r="I18" s="7" t="n"/>
      <c r="J18" s="7" t="n"/>
      <c r="K18" s="31" t="n"/>
    </row>
    <row r="19">
      <c r="A19" s="6" t="n">
        <v>46099</v>
      </c>
      <c r="B19" s="7" t="inlineStr">
        <is>
          <t>srijeda</t>
        </is>
      </c>
      <c r="C19" s="7" t="inlineStr">
        <is>
          <t>ožujak</t>
        </is>
      </c>
      <c r="D19" s="7" t="inlineStr">
        <is>
          <t>x</t>
        </is>
      </c>
      <c r="E19" s="7" t="n"/>
      <c r="F19" s="7" t="n"/>
      <c r="G19" s="7" t="n"/>
      <c r="H19" s="7" t="n"/>
      <c r="I19" s="7" t="n"/>
      <c r="J19" s="7" t="n"/>
      <c r="K19" s="31" t="n"/>
    </row>
    <row r="20">
      <c r="A20" s="6" t="n">
        <v>46106</v>
      </c>
      <c r="B20" s="7" t="inlineStr">
        <is>
          <t>srijeda</t>
        </is>
      </c>
      <c r="C20" s="7" t="inlineStr">
        <is>
          <t>ožujak</t>
        </is>
      </c>
      <c r="D20" s="7" t="n"/>
      <c r="E20" s="7" t="inlineStr">
        <is>
          <t>x</t>
        </is>
      </c>
      <c r="F20" s="7" t="n"/>
      <c r="G20" s="7" t="n"/>
      <c r="H20" s="7" t="n"/>
      <c r="I20" s="7" t="n"/>
      <c r="J20" s="7" t="n"/>
      <c r="K20" s="31" t="n"/>
    </row>
    <row r="21">
      <c r="A21" s="6" t="n">
        <v>46113</v>
      </c>
      <c r="B21" s="7" t="inlineStr">
        <is>
          <t>srijeda</t>
        </is>
      </c>
      <c r="C21" s="7" t="inlineStr">
        <is>
          <t>travanj</t>
        </is>
      </c>
      <c r="D21" s="7" t="inlineStr">
        <is>
          <t>x</t>
        </is>
      </c>
      <c r="E21" s="7" t="n"/>
      <c r="F21" s="7" t="n"/>
      <c r="G21" s="7" t="n"/>
      <c r="H21" s="7" t="n"/>
      <c r="I21" s="7" t="n"/>
      <c r="J21" s="7" t="n"/>
      <c r="K21" s="31" t="n"/>
    </row>
    <row r="22">
      <c r="A22" s="6" t="n">
        <v>46120</v>
      </c>
      <c r="B22" s="7" t="inlineStr">
        <is>
          <t>srijeda</t>
        </is>
      </c>
      <c r="C22" s="7" t="inlineStr">
        <is>
          <t>travanj</t>
        </is>
      </c>
      <c r="D22" s="7" t="n"/>
      <c r="E22" s="7" t="inlineStr">
        <is>
          <t>x</t>
        </is>
      </c>
      <c r="F22" s="7" t="n"/>
      <c r="G22" s="7" t="inlineStr">
        <is>
          <t>x</t>
        </is>
      </c>
      <c r="H22" s="7" t="n"/>
      <c r="I22" s="7" t="n"/>
      <c r="J22" s="7" t="n"/>
      <c r="K22" s="31" t="n"/>
    </row>
    <row r="23">
      <c r="A23" s="6" t="n">
        <v>46122</v>
      </c>
      <c r="B23" s="7" t="inlineStr">
        <is>
          <t>petak</t>
        </is>
      </c>
      <c r="C23" s="7" t="inlineStr">
        <is>
          <t>travanj</t>
        </is>
      </c>
      <c r="D23" s="7" t="n"/>
      <c r="E23" s="7" t="n"/>
      <c r="F23" s="7" t="inlineStr">
        <is>
          <t>x</t>
        </is>
      </c>
      <c r="G23" s="7" t="n"/>
      <c r="H23" s="7" t="n"/>
      <c r="I23" s="7" t="n"/>
      <c r="J23" s="7" t="n"/>
      <c r="K23" s="31" t="n"/>
    </row>
    <row r="24">
      <c r="A24" s="6" t="n">
        <v>46127</v>
      </c>
      <c r="B24" s="7" t="inlineStr">
        <is>
          <t>srijeda</t>
        </is>
      </c>
      <c r="C24" s="7" t="inlineStr">
        <is>
          <t>travanj</t>
        </is>
      </c>
      <c r="D24" s="7" t="inlineStr">
        <is>
          <t>x</t>
        </is>
      </c>
      <c r="E24" s="7" t="n"/>
      <c r="F24" s="7" t="n"/>
      <c r="G24" s="7" t="n"/>
      <c r="H24" s="7" t="n"/>
      <c r="I24" s="7" t="n"/>
      <c r="J24" s="7" t="n"/>
      <c r="K24" s="31" t="n"/>
    </row>
    <row r="25">
      <c r="A25" s="6" t="n">
        <v>46134</v>
      </c>
      <c r="B25" s="7" t="inlineStr">
        <is>
          <t>srijeda</t>
        </is>
      </c>
      <c r="C25" s="7" t="inlineStr">
        <is>
          <t>travanj</t>
        </is>
      </c>
      <c r="D25" s="7" t="n"/>
      <c r="E25" s="7" t="inlineStr">
        <is>
          <t>x</t>
        </is>
      </c>
      <c r="F25" s="7" t="n"/>
      <c r="G25" s="7" t="n"/>
      <c r="H25" s="7" t="n"/>
      <c r="I25" s="7" t="n"/>
      <c r="J25" s="7" t="n"/>
      <c r="K25" s="31" t="n"/>
    </row>
    <row r="26">
      <c r="A26" s="6" t="n">
        <v>46141</v>
      </c>
      <c r="B26" s="7" t="inlineStr">
        <is>
          <t>srijeda</t>
        </is>
      </c>
      <c r="C26" s="7" t="inlineStr">
        <is>
          <t>travanj</t>
        </is>
      </c>
      <c r="D26" s="7" t="inlineStr">
        <is>
          <t>x</t>
        </is>
      </c>
      <c r="E26" s="7" t="n"/>
      <c r="F26" s="7" t="n"/>
      <c r="G26" s="7" t="n"/>
      <c r="H26" s="7" t="n"/>
      <c r="I26" s="7" t="n"/>
      <c r="J26" s="7" t="n"/>
      <c r="K26" s="31" t="n"/>
    </row>
    <row r="27">
      <c r="A27" s="6" t="n">
        <v>46148</v>
      </c>
      <c r="B27" s="7" t="inlineStr">
        <is>
          <t>srijeda</t>
        </is>
      </c>
      <c r="C27" s="7" t="inlineStr">
        <is>
          <t>svibanj</t>
        </is>
      </c>
      <c r="D27" s="7" t="n"/>
      <c r="E27" s="7" t="inlineStr">
        <is>
          <t>x</t>
        </is>
      </c>
      <c r="F27" s="7" t="n"/>
      <c r="G27" s="7" t="inlineStr">
        <is>
          <t>x</t>
        </is>
      </c>
      <c r="H27" s="7" t="n"/>
      <c r="I27" s="7" t="n"/>
      <c r="J27" s="7" t="n"/>
      <c r="K27" s="31" t="n"/>
    </row>
    <row r="28">
      <c r="A28" s="6" t="n">
        <v>46150</v>
      </c>
      <c r="B28" s="7" t="inlineStr">
        <is>
          <t>petak</t>
        </is>
      </c>
      <c r="C28" s="7" t="inlineStr">
        <is>
          <t>svibanj</t>
        </is>
      </c>
      <c r="D28" s="7" t="n"/>
      <c r="E28" s="7" t="n"/>
      <c r="F28" s="7" t="inlineStr">
        <is>
          <t>x</t>
        </is>
      </c>
      <c r="G28" s="7" t="n"/>
      <c r="H28" s="7" t="n"/>
      <c r="I28" s="7" t="n"/>
      <c r="J28" s="7" t="n"/>
      <c r="K28" s="31" t="n"/>
    </row>
    <row r="29">
      <c r="A29" s="6" t="n">
        <v>46155</v>
      </c>
      <c r="B29" s="7" t="inlineStr">
        <is>
          <t>srijeda</t>
        </is>
      </c>
      <c r="C29" s="7" t="inlineStr">
        <is>
          <t>svibanj</t>
        </is>
      </c>
      <c r="D29" s="7" t="inlineStr">
        <is>
          <t>x</t>
        </is>
      </c>
      <c r="E29" s="7" t="n"/>
      <c r="F29" s="7" t="n"/>
      <c r="G29" s="7" t="n"/>
      <c r="H29" s="7" t="n"/>
      <c r="I29" s="7" t="n"/>
      <c r="J29" s="7" t="n"/>
      <c r="K29" s="31" t="n"/>
    </row>
    <row r="30">
      <c r="A30" s="6" t="n">
        <v>46162</v>
      </c>
      <c r="B30" s="7" t="inlineStr">
        <is>
          <t>srijeda</t>
        </is>
      </c>
      <c r="C30" s="7" t="inlineStr">
        <is>
          <t>svibanj</t>
        </is>
      </c>
      <c r="D30" s="7" t="n"/>
      <c r="E30" s="7" t="inlineStr">
        <is>
          <t>x</t>
        </is>
      </c>
      <c r="F30" s="7" t="n"/>
      <c r="G30" s="7" t="n"/>
      <c r="H30" s="7" t="n"/>
      <c r="I30" s="7" t="n"/>
      <c r="J30" s="7" t="n"/>
      <c r="K30" s="31" t="n"/>
    </row>
    <row r="31">
      <c r="A31" s="6" t="n">
        <v>46169</v>
      </c>
      <c r="B31" s="7" t="inlineStr">
        <is>
          <t>srijeda</t>
        </is>
      </c>
      <c r="C31" s="7" t="inlineStr">
        <is>
          <t>svibanj</t>
        </is>
      </c>
      <c r="D31" s="7" t="inlineStr">
        <is>
          <t>x</t>
        </is>
      </c>
      <c r="E31" s="7" t="n"/>
      <c r="F31" s="7" t="n"/>
      <c r="G31" s="7" t="n"/>
      <c r="H31" s="7" t="n"/>
      <c r="I31" s="7" t="n"/>
      <c r="J31" s="7" t="n"/>
      <c r="K31" s="31" t="n"/>
    </row>
    <row r="32">
      <c r="A32" s="6" t="n">
        <v>46171</v>
      </c>
      <c r="B32" s="7" t="inlineStr">
        <is>
          <t>petak</t>
        </is>
      </c>
      <c r="C32" s="7" t="inlineStr">
        <is>
          <t>svibanj</t>
        </is>
      </c>
      <c r="D32" s="7" t="n"/>
      <c r="E32" s="7" t="n"/>
      <c r="F32" s="7" t="n"/>
      <c r="G32" s="7" t="n"/>
      <c r="H32" s="7" t="n"/>
      <c r="I32" s="7" t="inlineStr">
        <is>
          <t>x</t>
        </is>
      </c>
      <c r="J32" s="7" t="n"/>
      <c r="K32" s="31" t="n"/>
    </row>
    <row r="33">
      <c r="A33" s="6" t="n">
        <v>46176</v>
      </c>
      <c r="B33" s="7" t="inlineStr">
        <is>
          <t>srijeda</t>
        </is>
      </c>
      <c r="C33" s="7" t="inlineStr">
        <is>
          <t>lipanj</t>
        </is>
      </c>
      <c r="D33" s="7" t="n"/>
      <c r="E33" s="7" t="inlineStr">
        <is>
          <t>x</t>
        </is>
      </c>
      <c r="F33" s="7" t="n"/>
      <c r="G33" s="7" t="inlineStr">
        <is>
          <t>x</t>
        </is>
      </c>
      <c r="H33" s="7" t="n"/>
      <c r="I33" s="7" t="n"/>
      <c r="J33" s="7" t="n"/>
      <c r="K33" s="31" t="n"/>
    </row>
    <row r="34">
      <c r="A34" s="6" t="n">
        <v>46178</v>
      </c>
      <c r="B34" s="7" t="inlineStr">
        <is>
          <t>petak</t>
        </is>
      </c>
      <c r="C34" s="7" t="inlineStr">
        <is>
          <t>lipanj</t>
        </is>
      </c>
      <c r="D34" s="7" t="n"/>
      <c r="E34" s="7" t="n"/>
      <c r="F34" s="7" t="inlineStr">
        <is>
          <t>x</t>
        </is>
      </c>
      <c r="G34" s="7" t="n"/>
      <c r="H34" s="7" t="n"/>
      <c r="I34" s="7" t="n"/>
      <c r="J34" s="7" t="n"/>
      <c r="K34" s="31" t="n"/>
    </row>
    <row r="35">
      <c r="A35" s="6" t="n">
        <v>46183</v>
      </c>
      <c r="B35" s="7" t="inlineStr">
        <is>
          <t>srijeda</t>
        </is>
      </c>
      <c r="C35" s="7" t="inlineStr">
        <is>
          <t>lipanj</t>
        </is>
      </c>
      <c r="D35" s="7" t="inlineStr">
        <is>
          <t>x</t>
        </is>
      </c>
      <c r="E35" s="7" t="n"/>
      <c r="F35" s="7" t="n"/>
      <c r="G35" s="7" t="n"/>
      <c r="H35" s="7" t="n"/>
      <c r="I35" s="7" t="n"/>
      <c r="J35" s="7" t="n"/>
      <c r="K35" s="31" t="n"/>
    </row>
    <row r="36">
      <c r="A36" s="6" t="n">
        <v>46190</v>
      </c>
      <c r="B36" s="7" t="inlineStr">
        <is>
          <t>srijeda</t>
        </is>
      </c>
      <c r="C36" s="7" t="inlineStr">
        <is>
          <t>lipanj</t>
        </is>
      </c>
      <c r="D36" s="7" t="n"/>
      <c r="E36" s="7" t="inlineStr">
        <is>
          <t>x</t>
        </is>
      </c>
      <c r="F36" s="7" t="n"/>
      <c r="G36" s="7" t="n"/>
      <c r="H36" s="7" t="n"/>
      <c r="I36" s="7" t="n"/>
      <c r="J36" s="7" t="n"/>
      <c r="K36" s="31" t="n"/>
    </row>
    <row r="37">
      <c r="A37" s="6" t="n">
        <v>46197</v>
      </c>
      <c r="B37" s="7" t="inlineStr">
        <is>
          <t>srijeda</t>
        </is>
      </c>
      <c r="C37" s="7" t="inlineStr">
        <is>
          <t>lipanj</t>
        </is>
      </c>
      <c r="D37" s="7" t="inlineStr">
        <is>
          <t>x</t>
        </is>
      </c>
      <c r="E37" s="7" t="n"/>
      <c r="F37" s="7" t="n"/>
      <c r="G37" s="7" t="n"/>
      <c r="H37" s="7" t="n"/>
      <c r="I37" s="7" t="n"/>
      <c r="J37" s="7" t="n"/>
      <c r="K37" s="31" t="n"/>
    </row>
    <row r="38">
      <c r="A38" s="6" t="n">
        <v>46203</v>
      </c>
      <c r="B38" s="7" t="inlineStr">
        <is>
          <t>utorak</t>
        </is>
      </c>
      <c r="C38" s="7" t="inlineStr">
        <is>
          <t>lipanj</t>
        </is>
      </c>
      <c r="D38" s="7" t="inlineStr">
        <is>
          <t>x</t>
        </is>
      </c>
      <c r="E38" s="7" t="n"/>
      <c r="F38" s="7" t="n"/>
      <c r="G38" s="7" t="n"/>
      <c r="H38" s="7" t="n"/>
      <c r="I38" s="7" t="n"/>
      <c r="J38" s="7" t="n"/>
      <c r="K38" s="31" t="n"/>
    </row>
    <row r="39">
      <c r="A39" s="6" t="n">
        <v>46204</v>
      </c>
      <c r="B39" s="7" t="inlineStr">
        <is>
          <t>srijeda</t>
        </is>
      </c>
      <c r="C39" s="7" t="inlineStr">
        <is>
          <t>srpanj</t>
        </is>
      </c>
      <c r="D39" s="7" t="n"/>
      <c r="E39" s="7" t="inlineStr">
        <is>
          <t>x</t>
        </is>
      </c>
      <c r="F39" s="7" t="n"/>
      <c r="G39" s="7" t="inlineStr">
        <is>
          <t>x</t>
        </is>
      </c>
      <c r="H39" s="7" t="n"/>
      <c r="I39" s="7" t="n"/>
      <c r="J39" s="7" t="n"/>
      <c r="K39" s="31" t="n"/>
    </row>
    <row r="40">
      <c r="A40" s="6" t="n">
        <v>46206</v>
      </c>
      <c r="B40" s="7" t="inlineStr">
        <is>
          <t>petak</t>
        </is>
      </c>
      <c r="C40" s="7" t="inlineStr">
        <is>
          <t>srpanj</t>
        </is>
      </c>
      <c r="D40" s="7" t="n"/>
      <c r="E40" s="7" t="n"/>
      <c r="F40" s="7" t="inlineStr">
        <is>
          <t>x</t>
        </is>
      </c>
      <c r="G40" s="7" t="n"/>
      <c r="H40" s="7" t="n"/>
      <c r="I40" s="7" t="n"/>
      <c r="J40" s="7" t="n"/>
      <c r="K40" s="31" t="n"/>
    </row>
    <row r="41">
      <c r="A41" s="6" t="n">
        <v>46211</v>
      </c>
      <c r="B41" s="7" t="inlineStr">
        <is>
          <t>srijeda</t>
        </is>
      </c>
      <c r="C41" s="7" t="inlineStr">
        <is>
          <t>srpanj</t>
        </is>
      </c>
      <c r="D41" s="7" t="inlineStr">
        <is>
          <t>x</t>
        </is>
      </c>
      <c r="E41" s="7" t="n"/>
      <c r="F41" s="7" t="n"/>
      <c r="G41" s="7" t="n"/>
      <c r="H41" s="7" t="n"/>
      <c r="I41" s="7" t="n"/>
      <c r="J41" s="7" t="n"/>
      <c r="K41" s="31" t="n"/>
    </row>
    <row r="42">
      <c r="A42" s="6" t="n">
        <v>46218</v>
      </c>
      <c r="B42" s="7" t="inlineStr">
        <is>
          <t>srijeda</t>
        </is>
      </c>
      <c r="C42" s="7" t="inlineStr">
        <is>
          <t>srpanj</t>
        </is>
      </c>
      <c r="D42" s="7" t="n"/>
      <c r="E42" s="7" t="inlineStr">
        <is>
          <t>x</t>
        </is>
      </c>
      <c r="F42" s="7" t="n"/>
      <c r="G42" s="7" t="n"/>
      <c r="H42" s="7" t="n"/>
      <c r="I42" s="7" t="n"/>
      <c r="J42" s="7" t="n"/>
      <c r="K42" s="31" t="n"/>
    </row>
    <row r="43">
      <c r="A43" s="6" t="n">
        <v>46220</v>
      </c>
      <c r="B43" s="7" t="inlineStr">
        <is>
          <t>petak</t>
        </is>
      </c>
      <c r="C43" s="7" t="inlineStr">
        <is>
          <t>srpanj</t>
        </is>
      </c>
      <c r="D43" s="7" t="inlineStr">
        <is>
          <t>x</t>
        </is>
      </c>
      <c r="E43" s="7" t="n"/>
      <c r="F43" s="7" t="n"/>
      <c r="G43" s="7" t="n"/>
      <c r="H43" s="7" t="n"/>
      <c r="I43" s="7" t="n"/>
      <c r="J43" s="7" t="n"/>
      <c r="K43" s="31" t="n"/>
    </row>
    <row r="44">
      <c r="A44" s="6" t="n">
        <v>46225</v>
      </c>
      <c r="B44" s="7" t="inlineStr">
        <is>
          <t>srijeda</t>
        </is>
      </c>
      <c r="C44" s="7" t="inlineStr">
        <is>
          <t>srpanj</t>
        </is>
      </c>
      <c r="D44" s="7" t="inlineStr">
        <is>
          <t>x</t>
        </is>
      </c>
      <c r="E44" s="7" t="n"/>
      <c r="F44" s="7" t="n"/>
      <c r="G44" s="7" t="n"/>
      <c r="H44" s="7" t="n"/>
      <c r="I44" s="7" t="n"/>
      <c r="J44" s="7" t="n"/>
      <c r="K44" s="31" t="n"/>
    </row>
    <row r="45">
      <c r="A45" s="6" t="n">
        <v>46232</v>
      </c>
      <c r="B45" s="7" t="inlineStr">
        <is>
          <t>srijeda</t>
        </is>
      </c>
      <c r="C45" s="7" t="inlineStr">
        <is>
          <t>srpanj</t>
        </is>
      </c>
      <c r="D45" s="7" t="n"/>
      <c r="E45" s="7" t="inlineStr">
        <is>
          <t>x</t>
        </is>
      </c>
      <c r="F45" s="7" t="n"/>
      <c r="G45" s="7" t="n"/>
      <c r="H45" s="7" t="n"/>
      <c r="I45" s="7" t="n"/>
      <c r="J45" s="7" t="n"/>
      <c r="K45" s="31" t="n"/>
    </row>
    <row r="46">
      <c r="A46" s="6" t="n">
        <v>46239</v>
      </c>
      <c r="B46" s="7" t="inlineStr">
        <is>
          <t>srijeda</t>
        </is>
      </c>
      <c r="C46" s="7" t="inlineStr">
        <is>
          <t>kolovoz</t>
        </is>
      </c>
      <c r="D46" s="7" t="inlineStr">
        <is>
          <t>x</t>
        </is>
      </c>
      <c r="E46" s="7" t="n"/>
      <c r="F46" s="7" t="n"/>
      <c r="G46" s="7" t="n"/>
      <c r="H46" s="7" t="n"/>
      <c r="I46" s="7" t="n"/>
      <c r="J46" s="7" t="n"/>
      <c r="K46" s="31" t="n"/>
    </row>
    <row r="47">
      <c r="A47" s="6" t="n">
        <v>46244</v>
      </c>
      <c r="B47" s="7" t="inlineStr">
        <is>
          <t>ponedjeljak</t>
        </is>
      </c>
      <c r="C47" s="7" t="inlineStr">
        <is>
          <t>kolovoz</t>
        </is>
      </c>
      <c r="D47" s="7" t="inlineStr">
        <is>
          <t>x</t>
        </is>
      </c>
      <c r="E47" s="7" t="n"/>
      <c r="F47" s="7" t="n"/>
      <c r="G47" s="7" t="n"/>
      <c r="H47" s="7" t="n"/>
      <c r="I47" s="7" t="n"/>
      <c r="J47" s="7" t="n"/>
      <c r="K47" s="31" t="n"/>
    </row>
    <row r="48">
      <c r="A48" s="6" t="n">
        <v>46246</v>
      </c>
      <c r="B48" s="7" t="inlineStr">
        <is>
          <t>srijeda</t>
        </is>
      </c>
      <c r="C48" s="7" t="inlineStr">
        <is>
          <t>kolovoz</t>
        </is>
      </c>
      <c r="D48" s="7" t="n"/>
      <c r="E48" s="7" t="inlineStr">
        <is>
          <t>x</t>
        </is>
      </c>
      <c r="F48" s="7" t="n"/>
      <c r="G48" s="7" t="inlineStr">
        <is>
          <t>x</t>
        </is>
      </c>
      <c r="H48" s="7" t="n"/>
      <c r="I48" s="7" t="n"/>
      <c r="J48" s="7" t="n"/>
      <c r="K48" s="31" t="n"/>
    </row>
    <row r="49">
      <c r="A49" s="6" t="n">
        <v>46248</v>
      </c>
      <c r="B49" s="7" t="inlineStr">
        <is>
          <t>petak</t>
        </is>
      </c>
      <c r="C49" s="7" t="inlineStr">
        <is>
          <t>kolovoz</t>
        </is>
      </c>
      <c r="D49" s="7" t="n"/>
      <c r="E49" s="7" t="n"/>
      <c r="F49" s="7" t="inlineStr">
        <is>
          <t>x</t>
        </is>
      </c>
      <c r="G49" s="7" t="n"/>
      <c r="H49" s="7" t="n"/>
      <c r="I49" s="7" t="n"/>
      <c r="J49" s="7" t="n"/>
      <c r="K49" s="31" t="n"/>
    </row>
    <row r="50">
      <c r="A50" s="6" t="n">
        <v>46253</v>
      </c>
      <c r="B50" s="7" t="inlineStr">
        <is>
          <t>srijeda</t>
        </is>
      </c>
      <c r="C50" s="7" t="inlineStr">
        <is>
          <t>kolovoz</t>
        </is>
      </c>
      <c r="D50" s="7" t="inlineStr">
        <is>
          <t>x</t>
        </is>
      </c>
      <c r="E50" s="7" t="n"/>
      <c r="F50" s="7" t="n"/>
      <c r="G50" s="7" t="n"/>
      <c r="H50" s="7" t="n"/>
      <c r="I50" s="7" t="n"/>
      <c r="J50" s="7" t="n"/>
      <c r="K50" s="31" t="n"/>
    </row>
    <row r="51">
      <c r="A51" s="6" t="n">
        <v>46255</v>
      </c>
      <c r="B51" s="7" t="inlineStr">
        <is>
          <t>petak</t>
        </is>
      </c>
      <c r="C51" s="7" t="inlineStr">
        <is>
          <t>kolovoz</t>
        </is>
      </c>
      <c r="D51" s="7" t="n"/>
      <c r="E51" s="7" t="n"/>
      <c r="F51" s="7" t="n"/>
      <c r="G51" s="7" t="n"/>
      <c r="H51" s="7" t="n"/>
      <c r="I51" s="7" t="n"/>
      <c r="J51" s="7" t="inlineStr">
        <is>
          <t>x</t>
        </is>
      </c>
      <c r="K51" s="31" t="n"/>
    </row>
    <row r="52">
      <c r="A52" s="6" t="n">
        <v>46260</v>
      </c>
      <c r="B52" s="7" t="inlineStr">
        <is>
          <t>srijeda</t>
        </is>
      </c>
      <c r="C52" s="7" t="inlineStr">
        <is>
          <t>kolovoz</t>
        </is>
      </c>
      <c r="D52" s="7" t="n"/>
      <c r="E52" s="7" t="inlineStr">
        <is>
          <t>x</t>
        </is>
      </c>
      <c r="F52" s="7" t="n"/>
      <c r="G52" s="7" t="n"/>
      <c r="H52" s="7" t="n"/>
      <c r="I52" s="7" t="n"/>
      <c r="J52" s="7" t="n"/>
      <c r="K52" s="31" t="n"/>
    </row>
    <row r="53">
      <c r="A53" s="6" t="n">
        <v>46267</v>
      </c>
      <c r="B53" s="7" t="inlineStr">
        <is>
          <t>srijeda</t>
        </is>
      </c>
      <c r="C53" s="7" t="inlineStr">
        <is>
          <t>rujan</t>
        </is>
      </c>
      <c r="D53" s="7" t="inlineStr">
        <is>
          <t>x</t>
        </is>
      </c>
      <c r="E53" s="7" t="n"/>
      <c r="F53" s="7" t="n"/>
      <c r="G53" s="7" t="n"/>
      <c r="H53" s="7" t="n"/>
      <c r="I53" s="7" t="n"/>
      <c r="J53" s="7" t="n"/>
      <c r="K53" s="31" t="n"/>
    </row>
    <row r="54">
      <c r="A54" s="6" t="n">
        <v>46274</v>
      </c>
      <c r="B54" s="7" t="inlineStr">
        <is>
          <t>srijeda</t>
        </is>
      </c>
      <c r="C54" s="7" t="inlineStr">
        <is>
          <t>rujan</t>
        </is>
      </c>
      <c r="D54" s="7" t="n"/>
      <c r="E54" s="7" t="inlineStr">
        <is>
          <t>x</t>
        </is>
      </c>
      <c r="F54" s="7" t="n"/>
      <c r="G54" s="7" t="inlineStr">
        <is>
          <t>x</t>
        </is>
      </c>
      <c r="H54" s="7" t="n"/>
      <c r="I54" s="7" t="n"/>
      <c r="J54" s="7" t="n"/>
      <c r="K54" s="31" t="n"/>
    </row>
    <row r="55">
      <c r="A55" s="6" t="n">
        <v>46276</v>
      </c>
      <c r="B55" s="7" t="inlineStr">
        <is>
          <t>petak</t>
        </is>
      </c>
      <c r="C55" s="7" t="inlineStr">
        <is>
          <t>rujan</t>
        </is>
      </c>
      <c r="D55" s="7" t="n"/>
      <c r="E55" s="7" t="n"/>
      <c r="F55" s="7" t="inlineStr">
        <is>
          <t>x</t>
        </is>
      </c>
      <c r="G55" s="7" t="n"/>
      <c r="H55" s="7" t="n"/>
      <c r="I55" s="7" t="n"/>
      <c r="J55" s="7" t="n"/>
      <c r="K55" s="31" t="n"/>
    </row>
    <row r="56">
      <c r="A56" s="6" t="n">
        <v>46281</v>
      </c>
      <c r="B56" s="7" t="inlineStr">
        <is>
          <t>srijeda</t>
        </is>
      </c>
      <c r="C56" s="7" t="inlineStr">
        <is>
          <t>rujan</t>
        </is>
      </c>
      <c r="D56" s="7" t="inlineStr">
        <is>
          <t>x</t>
        </is>
      </c>
      <c r="E56" s="7" t="n"/>
      <c r="F56" s="7" t="n"/>
      <c r="G56" s="7" t="n"/>
      <c r="H56" s="7" t="n"/>
      <c r="I56" s="7" t="n"/>
      <c r="J56" s="7" t="n"/>
      <c r="K56" s="31" t="n"/>
    </row>
    <row r="57">
      <c r="A57" s="6" t="n">
        <v>46288</v>
      </c>
      <c r="B57" s="7" t="inlineStr">
        <is>
          <t>srijeda</t>
        </is>
      </c>
      <c r="C57" s="7" t="inlineStr">
        <is>
          <t>rujan</t>
        </is>
      </c>
      <c r="D57" s="7" t="n"/>
      <c r="E57" s="7" t="inlineStr">
        <is>
          <t>x</t>
        </is>
      </c>
      <c r="F57" s="7" t="n"/>
      <c r="G57" s="7" t="n"/>
      <c r="H57" s="7" t="n"/>
      <c r="I57" s="7" t="n"/>
      <c r="J57" s="7" t="n"/>
      <c r="K57" s="31" t="n"/>
    </row>
    <row r="58">
      <c r="A58" s="6" t="n">
        <v>46295</v>
      </c>
      <c r="B58" s="7" t="inlineStr">
        <is>
          <t>srijeda</t>
        </is>
      </c>
      <c r="C58" s="7" t="inlineStr">
        <is>
          <t>rujan</t>
        </is>
      </c>
      <c r="D58" s="7" t="inlineStr">
        <is>
          <t>x</t>
        </is>
      </c>
      <c r="E58" s="7" t="n"/>
      <c r="F58" s="7" t="n"/>
      <c r="G58" s="7" t="n"/>
      <c r="H58" s="7" t="n"/>
      <c r="I58" s="7" t="n"/>
      <c r="J58" s="7" t="n"/>
      <c r="K58" s="31" t="n"/>
    </row>
    <row r="59">
      <c r="A59" s="6" t="n">
        <v>46302</v>
      </c>
      <c r="B59" s="7" t="inlineStr">
        <is>
          <t>srijeda</t>
        </is>
      </c>
      <c r="C59" s="7" t="inlineStr">
        <is>
          <t>listopad</t>
        </is>
      </c>
      <c r="D59" s="7" t="n"/>
      <c r="E59" s="7" t="inlineStr">
        <is>
          <t>x</t>
        </is>
      </c>
      <c r="F59" s="7" t="n"/>
      <c r="G59" s="7" t="inlineStr">
        <is>
          <t>x</t>
        </is>
      </c>
      <c r="H59" s="7" t="n"/>
      <c r="I59" s="7" t="n"/>
      <c r="J59" s="7" t="n"/>
      <c r="K59" s="31" t="n"/>
    </row>
    <row r="60">
      <c r="A60" s="6" t="n">
        <v>46304</v>
      </c>
      <c r="B60" s="7" t="inlineStr">
        <is>
          <t>petak</t>
        </is>
      </c>
      <c r="C60" s="7" t="inlineStr">
        <is>
          <t>listopad</t>
        </is>
      </c>
      <c r="D60" s="7" t="n"/>
      <c r="E60" s="7" t="n"/>
      <c r="F60" s="7" t="inlineStr">
        <is>
          <t>x</t>
        </is>
      </c>
      <c r="G60" s="7" t="n"/>
      <c r="H60" s="7" t="n"/>
      <c r="I60" s="7" t="n"/>
      <c r="J60" s="7" t="n"/>
      <c r="K60" s="31" t="n"/>
    </row>
    <row r="61">
      <c r="A61" s="6" t="n">
        <v>46309</v>
      </c>
      <c r="B61" s="7" t="inlineStr">
        <is>
          <t>srijeda</t>
        </is>
      </c>
      <c r="C61" s="7" t="inlineStr">
        <is>
          <t>listopad</t>
        </is>
      </c>
      <c r="D61" s="7" t="inlineStr">
        <is>
          <t>x</t>
        </is>
      </c>
      <c r="E61" s="7" t="n"/>
      <c r="F61" s="7" t="n"/>
      <c r="G61" s="7" t="n"/>
      <c r="H61" s="7" t="n"/>
      <c r="I61" s="7" t="n"/>
      <c r="J61" s="7" t="n"/>
      <c r="K61" s="31" t="n"/>
    </row>
    <row r="62">
      <c r="A62" s="6" t="n">
        <v>46316</v>
      </c>
      <c r="B62" s="7" t="inlineStr">
        <is>
          <t>srijeda</t>
        </is>
      </c>
      <c r="C62" s="7" t="inlineStr">
        <is>
          <t>listopad</t>
        </is>
      </c>
      <c r="D62" s="7" t="n"/>
      <c r="E62" s="7" t="inlineStr">
        <is>
          <t>x</t>
        </is>
      </c>
      <c r="F62" s="7" t="n"/>
      <c r="G62" s="7" t="n"/>
      <c r="H62" s="7" t="n"/>
      <c r="I62" s="7" t="n"/>
      <c r="J62" s="7" t="n"/>
      <c r="K62" s="31" t="n"/>
    </row>
    <row r="63">
      <c r="A63" s="6" t="n">
        <v>46323</v>
      </c>
      <c r="B63" s="7" t="inlineStr">
        <is>
          <t>srijeda</t>
        </is>
      </c>
      <c r="C63" s="7" t="inlineStr">
        <is>
          <t>listopad</t>
        </is>
      </c>
      <c r="D63" s="7" t="inlineStr">
        <is>
          <t>x</t>
        </is>
      </c>
      <c r="E63" s="7" t="n"/>
      <c r="F63" s="7" t="n"/>
      <c r="G63" s="7" t="n"/>
      <c r="H63" s="7" t="n"/>
      <c r="I63" s="7" t="n"/>
      <c r="J63" s="7" t="n"/>
      <c r="K63" s="31" t="n"/>
    </row>
    <row r="64">
      <c r="A64" s="6" t="n">
        <v>46330</v>
      </c>
      <c r="B64" s="7" t="inlineStr">
        <is>
          <t>srijeda</t>
        </is>
      </c>
      <c r="C64" s="7" t="inlineStr">
        <is>
          <t>studeni</t>
        </is>
      </c>
      <c r="D64" s="7" t="n"/>
      <c r="E64" s="7" t="inlineStr">
        <is>
          <t>x</t>
        </is>
      </c>
      <c r="F64" s="7" t="n"/>
      <c r="G64" s="7" t="inlineStr">
        <is>
          <t>x</t>
        </is>
      </c>
      <c r="H64" s="7" t="n"/>
      <c r="I64" s="7" t="n"/>
      <c r="J64" s="7" t="n"/>
      <c r="K64" s="31" t="n"/>
    </row>
    <row r="65">
      <c r="A65" s="6" t="n">
        <v>46332</v>
      </c>
      <c r="B65" s="7" t="inlineStr">
        <is>
          <t>petak</t>
        </is>
      </c>
      <c r="C65" s="7" t="inlineStr">
        <is>
          <t>studeni</t>
        </is>
      </c>
      <c r="D65" s="7" t="n"/>
      <c r="E65" s="7" t="n"/>
      <c r="F65" s="7" t="inlineStr">
        <is>
          <t>x</t>
        </is>
      </c>
      <c r="G65" s="7" t="n"/>
      <c r="H65" s="7" t="n"/>
      <c r="I65" s="7" t="n"/>
      <c r="J65" s="7" t="n"/>
      <c r="K65" s="31" t="n"/>
    </row>
    <row r="66">
      <c r="A66" s="6" t="n">
        <v>46337</v>
      </c>
      <c r="B66" s="7" t="inlineStr">
        <is>
          <t>srijeda</t>
        </is>
      </c>
      <c r="C66" s="7" t="inlineStr">
        <is>
          <t>studeni</t>
        </is>
      </c>
      <c r="D66" s="7" t="inlineStr">
        <is>
          <t>x</t>
        </is>
      </c>
      <c r="E66" s="7" t="n"/>
      <c r="F66" s="7" t="n"/>
      <c r="G66" s="7" t="n"/>
      <c r="H66" s="7" t="n"/>
      <c r="I66" s="7" t="n"/>
      <c r="J66" s="7" t="n"/>
      <c r="K66" s="31" t="n"/>
    </row>
    <row r="67">
      <c r="A67" s="29" t="n">
        <v>46339</v>
      </c>
      <c r="B67" s="30" t="inlineStr">
        <is>
          <t>petak</t>
        </is>
      </c>
      <c r="C67" s="7" t="inlineStr">
        <is>
          <t>studeni</t>
        </is>
      </c>
      <c r="D67" s="7" t="n"/>
      <c r="E67" s="7" t="inlineStr">
        <is>
          <t>x</t>
        </is>
      </c>
      <c r="F67" s="7" t="n"/>
      <c r="G67" s="7" t="n"/>
      <c r="H67" s="7" t="n"/>
      <c r="I67" s="7" t="n"/>
      <c r="J67" s="7" t="n"/>
      <c r="K67" s="31" t="inlineStr">
        <is>
          <t>Pomaknuto zbog neradnog dana u tjednu</t>
        </is>
      </c>
    </row>
    <row r="68">
      <c r="A68" s="6" t="n">
        <v>46351</v>
      </c>
      <c r="B68" s="7" t="inlineStr">
        <is>
          <t>srijeda</t>
        </is>
      </c>
      <c r="C68" s="7" t="inlineStr">
        <is>
          <t>studeni</t>
        </is>
      </c>
      <c r="D68" s="7" t="inlineStr">
        <is>
          <t>x</t>
        </is>
      </c>
      <c r="E68" s="7" t="n"/>
      <c r="F68" s="7" t="n"/>
      <c r="G68" s="7" t="n"/>
      <c r="H68" s="7" t="n"/>
      <c r="I68" s="7" t="n"/>
      <c r="J68" s="7" t="n"/>
      <c r="K68" s="31" t="n"/>
    </row>
    <row r="69">
      <c r="A69" s="6" t="n">
        <v>46358</v>
      </c>
      <c r="B69" s="7" t="inlineStr">
        <is>
          <t>srijeda</t>
        </is>
      </c>
      <c r="C69" s="7" t="inlineStr">
        <is>
          <t>prosinac</t>
        </is>
      </c>
      <c r="D69" s="7" t="n"/>
      <c r="E69" s="7" t="inlineStr">
        <is>
          <t>x</t>
        </is>
      </c>
      <c r="F69" s="7" t="n"/>
      <c r="G69" s="7" t="inlineStr">
        <is>
          <t>x</t>
        </is>
      </c>
      <c r="H69" s="7" t="n"/>
      <c r="I69" s="7" t="n"/>
      <c r="J69" s="7" t="n"/>
      <c r="K69" s="31" t="n"/>
    </row>
    <row r="70">
      <c r="A70" s="6" t="n">
        <v>46360</v>
      </c>
      <c r="B70" s="7" t="inlineStr">
        <is>
          <t>petak</t>
        </is>
      </c>
      <c r="C70" s="7" t="inlineStr">
        <is>
          <t>prosinac</t>
        </is>
      </c>
      <c r="D70" s="7" t="n"/>
      <c r="E70" s="7" t="n"/>
      <c r="F70" s="7" t="inlineStr">
        <is>
          <t>x</t>
        </is>
      </c>
      <c r="G70" s="7" t="n"/>
      <c r="H70" s="7" t="n"/>
      <c r="I70" s="7" t="n"/>
      <c r="J70" s="7" t="n"/>
      <c r="K70" s="31" t="n"/>
    </row>
    <row r="71">
      <c r="A71" s="6" t="n">
        <v>46365</v>
      </c>
      <c r="B71" s="7" t="inlineStr">
        <is>
          <t>srijeda</t>
        </is>
      </c>
      <c r="C71" s="7" t="inlineStr">
        <is>
          <t>prosinac</t>
        </is>
      </c>
      <c r="D71" s="7" t="inlineStr">
        <is>
          <t>x</t>
        </is>
      </c>
      <c r="E71" s="7" t="n"/>
      <c r="F71" s="7" t="n"/>
      <c r="G71" s="7" t="n"/>
      <c r="H71" s="7" t="n"/>
      <c r="I71" s="7" t="n"/>
      <c r="J71" s="7" t="n"/>
      <c r="K71" s="31" t="n"/>
    </row>
    <row r="72">
      <c r="A72" s="6" t="n">
        <v>46372</v>
      </c>
      <c r="B72" s="7" t="inlineStr">
        <is>
          <t>srijeda</t>
        </is>
      </c>
      <c r="C72" s="7" t="inlineStr">
        <is>
          <t>prosinac</t>
        </is>
      </c>
      <c r="D72" s="7" t="n"/>
      <c r="E72" s="7" t="inlineStr">
        <is>
          <t>x</t>
        </is>
      </c>
      <c r="F72" s="7" t="n"/>
      <c r="G72" s="7" t="n"/>
      <c r="H72" s="7" t="n"/>
      <c r="I72" s="7" t="n"/>
      <c r="J72" s="7" t="n"/>
      <c r="K72" s="31" t="n"/>
    </row>
    <row r="73">
      <c r="A73" s="6" t="n">
        <v>46379</v>
      </c>
      <c r="B73" s="7" t="inlineStr">
        <is>
          <t>srijeda</t>
        </is>
      </c>
      <c r="C73" s="7" t="inlineStr">
        <is>
          <t>prosinac</t>
        </is>
      </c>
      <c r="D73" s="7" t="inlineStr">
        <is>
          <t>x</t>
        </is>
      </c>
      <c r="E73" s="7" t="n"/>
      <c r="F73" s="7" t="n"/>
      <c r="G73" s="7" t="n"/>
      <c r="H73" s="7" t="n"/>
      <c r="I73" s="7" t="n"/>
      <c r="J73" s="7" t="n"/>
      <c r="K73" s="31" t="n"/>
    </row>
    <row r="74">
      <c r="A74" s="6" t="n">
        <v>46386</v>
      </c>
      <c r="B74" s="7" t="inlineStr">
        <is>
          <t>srijeda</t>
        </is>
      </c>
      <c r="C74" s="7" t="inlineStr">
        <is>
          <t>prosinac</t>
        </is>
      </c>
      <c r="D74" s="7" t="n"/>
      <c r="E74" s="7" t="inlineStr">
        <is>
          <t>x</t>
        </is>
      </c>
      <c r="F74" s="7" t="n"/>
      <c r="G74" s="7" t="n"/>
      <c r="H74" s="7" t="n"/>
      <c r="I74" s="7" t="n"/>
      <c r="J74" s="7" t="n"/>
      <c r="K74" s="31" t="n"/>
    </row>
  </sheetData>
  <autoFilter ref="A4:K74"/>
  <conditionalFormatting sqref="D5:D74">
    <cfRule type="expression" priority="1" dxfId="0">
      <formula>D5="x"</formula>
    </cfRule>
  </conditionalFormatting>
  <conditionalFormatting sqref="E5:E74">
    <cfRule type="expression" priority="2" dxfId="1">
      <formula>E5="x"</formula>
    </cfRule>
  </conditionalFormatting>
  <conditionalFormatting sqref="F5:F74">
    <cfRule type="expression" priority="3" dxfId="2">
      <formula>F5="x"</formula>
    </cfRule>
  </conditionalFormatting>
  <conditionalFormatting sqref="G5:G74">
    <cfRule type="expression" priority="4" dxfId="3">
      <formula>G5="x"</formula>
    </cfRule>
  </conditionalFormatting>
  <conditionalFormatting sqref="H5:H74">
    <cfRule type="expression" priority="5" dxfId="4">
      <formula>H5="x"</formula>
    </cfRule>
  </conditionalFormatting>
  <conditionalFormatting sqref="I5:I74">
    <cfRule type="expression" priority="6" dxfId="5">
      <formula>I5="x"</formula>
    </cfRule>
  </conditionalFormatting>
  <conditionalFormatting sqref="J5:J74">
    <cfRule type="expression" priority="7" dxfId="6">
      <formula>J5="x"</formula>
    </cfRule>
  </conditionalFormatting>
  <conditionalFormatting sqref="A5:K74">
    <cfRule type="expression" priority="8" dxfId="7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32" t="n">
        <v>46031</v>
      </c>
      <c r="B2" s="23" t="inlineStr">
        <is>
          <t>petak</t>
        </is>
      </c>
      <c r="C2" s="5" t="inlineStr">
        <is>
          <t>Miješani komunalni otpad (zelena kanta)</t>
        </is>
      </c>
      <c r="D2" s="23" t="inlineStr">
        <is>
          <t>Pomaknuto zbog neradnog dana u tjednu</t>
        </is>
      </c>
    </row>
    <row r="3">
      <c r="A3" s="32" t="n">
        <v>46036</v>
      </c>
      <c r="B3" s="23" t="inlineStr">
        <is>
          <t>srijeda</t>
        </is>
      </c>
      <c r="C3" s="9" t="inlineStr">
        <is>
          <t>Biootpad</t>
        </is>
      </c>
      <c r="D3" s="23" t="n"/>
    </row>
    <row r="4">
      <c r="A4" s="32" t="n">
        <v>46036</v>
      </c>
      <c r="B4" s="23" t="inlineStr">
        <is>
          <t>srijeda</t>
        </is>
      </c>
      <c r="C4" s="11" t="inlineStr">
        <is>
          <t>Papir i karton (plava kanta)</t>
        </is>
      </c>
      <c r="D4" s="23" t="n"/>
    </row>
    <row r="5">
      <c r="A5" s="32" t="n">
        <v>46038</v>
      </c>
      <c r="B5" s="23" t="inlineStr">
        <is>
          <t>petak</t>
        </is>
      </c>
      <c r="C5" s="10" t="inlineStr">
        <is>
          <t>Plastika (žuta kanta)</t>
        </is>
      </c>
      <c r="D5" s="23" t="n"/>
    </row>
    <row r="6">
      <c r="A6" s="32" t="n">
        <v>46043</v>
      </c>
      <c r="B6" s="23" t="inlineStr">
        <is>
          <t>srijeda</t>
        </is>
      </c>
      <c r="C6" s="5" t="inlineStr">
        <is>
          <t>Miješani komunalni otpad (zelena kanta)</t>
        </is>
      </c>
      <c r="D6" s="23" t="n"/>
    </row>
    <row r="7">
      <c r="A7" s="32" t="n">
        <v>46050</v>
      </c>
      <c r="B7" s="23" t="inlineStr">
        <is>
          <t>srijeda</t>
        </is>
      </c>
      <c r="C7" s="9" t="inlineStr">
        <is>
          <t>Biootpad</t>
        </is>
      </c>
      <c r="D7" s="23" t="n"/>
    </row>
    <row r="8">
      <c r="A8" s="32" t="n">
        <v>46057</v>
      </c>
      <c r="B8" s="23" t="inlineStr">
        <is>
          <t>srijeda</t>
        </is>
      </c>
      <c r="C8" s="5" t="inlineStr">
        <is>
          <t>Miješani komunalni otpad (zelena kanta)</t>
        </is>
      </c>
      <c r="D8" s="23" t="n"/>
    </row>
    <row r="9">
      <c r="A9" s="32" t="n">
        <v>46064</v>
      </c>
      <c r="B9" s="23" t="inlineStr">
        <is>
          <t>srijeda</t>
        </is>
      </c>
      <c r="C9" s="9" t="inlineStr">
        <is>
          <t>Biootpad</t>
        </is>
      </c>
      <c r="D9" s="23" t="n"/>
    </row>
    <row r="10">
      <c r="A10" s="32" t="n">
        <v>46064</v>
      </c>
      <c r="B10" s="23" t="inlineStr">
        <is>
          <t>srijeda</t>
        </is>
      </c>
      <c r="C10" s="11" t="inlineStr">
        <is>
          <t>Papir i karton (plava kanta)</t>
        </is>
      </c>
      <c r="D10" s="23" t="n"/>
    </row>
    <row r="11">
      <c r="A11" s="32" t="n">
        <v>46066</v>
      </c>
      <c r="B11" s="23" t="inlineStr">
        <is>
          <t>petak</t>
        </is>
      </c>
      <c r="C11" s="10" t="inlineStr">
        <is>
          <t>Plastika (žuta kanta)</t>
        </is>
      </c>
      <c r="D11" s="23" t="n"/>
    </row>
    <row r="12">
      <c r="A12" s="32" t="n">
        <v>46071</v>
      </c>
      <c r="B12" s="23" t="inlineStr">
        <is>
          <t>srijeda</t>
        </is>
      </c>
      <c r="C12" s="5" t="inlineStr">
        <is>
          <t>Miješani komunalni otpad (zelena kanta)</t>
        </is>
      </c>
      <c r="D12" s="23" t="n"/>
    </row>
    <row r="13">
      <c r="A13" s="32" t="n">
        <v>46078</v>
      </c>
      <c r="B13" s="23" t="inlineStr">
        <is>
          <t>srijeda</t>
        </is>
      </c>
      <c r="C13" s="9" t="inlineStr">
        <is>
          <t>Biootpad</t>
        </is>
      </c>
      <c r="D13" s="23" t="n"/>
    </row>
    <row r="14">
      <c r="A14" s="32" t="n">
        <v>46085</v>
      </c>
      <c r="B14" s="23" t="inlineStr">
        <is>
          <t>srijeda</t>
        </is>
      </c>
      <c r="C14" s="5" t="inlineStr">
        <is>
          <t>Miješani komunalni otpad (zelena kanta)</t>
        </is>
      </c>
      <c r="D14" s="23" t="n"/>
    </row>
    <row r="15">
      <c r="A15" s="32" t="n">
        <v>46087</v>
      </c>
      <c r="B15" s="23" t="inlineStr">
        <is>
          <t>petak</t>
        </is>
      </c>
      <c r="C15" s="12" t="inlineStr">
        <is>
          <t>Staklo</t>
        </is>
      </c>
      <c r="D15" s="23" t="n"/>
    </row>
    <row r="16">
      <c r="A16" s="32" t="n">
        <v>46092</v>
      </c>
      <c r="B16" s="23" t="inlineStr">
        <is>
          <t>srijeda</t>
        </is>
      </c>
      <c r="C16" s="9" t="inlineStr">
        <is>
          <t>Biootpad</t>
        </is>
      </c>
      <c r="D16" s="23" t="n"/>
    </row>
    <row r="17">
      <c r="A17" s="32" t="n">
        <v>46092</v>
      </c>
      <c r="B17" s="23" t="inlineStr">
        <is>
          <t>srijeda</t>
        </is>
      </c>
      <c r="C17" s="11" t="inlineStr">
        <is>
          <t>Papir i karton (plava kanta)</t>
        </is>
      </c>
      <c r="D17" s="23" t="n"/>
    </row>
    <row r="18">
      <c r="A18" s="32" t="n">
        <v>46094</v>
      </c>
      <c r="B18" s="23" t="inlineStr">
        <is>
          <t>petak</t>
        </is>
      </c>
      <c r="C18" s="10" t="inlineStr">
        <is>
          <t>Plastika (žuta kanta)</t>
        </is>
      </c>
      <c r="D18" s="23" t="n"/>
    </row>
    <row r="19">
      <c r="A19" s="32" t="n">
        <v>46099</v>
      </c>
      <c r="B19" s="23" t="inlineStr">
        <is>
          <t>srijeda</t>
        </is>
      </c>
      <c r="C19" s="5" t="inlineStr">
        <is>
          <t>Miješani komunalni otpad (zelena kanta)</t>
        </is>
      </c>
      <c r="D19" s="23" t="n"/>
    </row>
    <row r="20">
      <c r="A20" s="32" t="n">
        <v>46106</v>
      </c>
      <c r="B20" s="23" t="inlineStr">
        <is>
          <t>srijeda</t>
        </is>
      </c>
      <c r="C20" s="9" t="inlineStr">
        <is>
          <t>Biootpad</t>
        </is>
      </c>
      <c r="D20" s="23" t="n"/>
    </row>
    <row r="21">
      <c r="A21" s="32" t="n">
        <v>46113</v>
      </c>
      <c r="B21" s="23" t="inlineStr">
        <is>
          <t>srijeda</t>
        </is>
      </c>
      <c r="C21" s="5" t="inlineStr">
        <is>
          <t>Miješani komunalni otpad (zelena kanta)</t>
        </is>
      </c>
      <c r="D21" s="23" t="n"/>
    </row>
    <row r="22">
      <c r="A22" s="32" t="n">
        <v>46120</v>
      </c>
      <c r="B22" s="23" t="inlineStr">
        <is>
          <t>srijeda</t>
        </is>
      </c>
      <c r="C22" s="9" t="inlineStr">
        <is>
          <t>Biootpad</t>
        </is>
      </c>
      <c r="D22" s="23" t="n"/>
    </row>
    <row r="23">
      <c r="A23" s="32" t="n">
        <v>46120</v>
      </c>
      <c r="B23" s="23" t="inlineStr">
        <is>
          <t>srijeda</t>
        </is>
      </c>
      <c r="C23" s="11" t="inlineStr">
        <is>
          <t>Papir i karton (plava kanta)</t>
        </is>
      </c>
      <c r="D23" s="23" t="n"/>
    </row>
    <row r="24">
      <c r="A24" s="32" t="n">
        <v>46122</v>
      </c>
      <c r="B24" s="23" t="inlineStr">
        <is>
          <t>petak</t>
        </is>
      </c>
      <c r="C24" s="10" t="inlineStr">
        <is>
          <t>Plastika (žuta kanta)</t>
        </is>
      </c>
      <c r="D24" s="23" t="n"/>
    </row>
    <row r="25">
      <c r="A25" s="32" t="n">
        <v>46127</v>
      </c>
      <c r="B25" s="23" t="inlineStr">
        <is>
          <t>srijeda</t>
        </is>
      </c>
      <c r="C25" s="5" t="inlineStr">
        <is>
          <t>Miješani komunalni otpad (zelena kanta)</t>
        </is>
      </c>
      <c r="D25" s="23" t="n"/>
    </row>
    <row r="26">
      <c r="A26" s="32" t="n">
        <v>46134</v>
      </c>
      <c r="B26" s="23" t="inlineStr">
        <is>
          <t>srijeda</t>
        </is>
      </c>
      <c r="C26" s="9" t="inlineStr">
        <is>
          <t>Biootpad</t>
        </is>
      </c>
      <c r="D26" s="23" t="n"/>
    </row>
    <row r="27">
      <c r="A27" s="32" t="n">
        <v>46141</v>
      </c>
      <c r="B27" s="23" t="inlineStr">
        <is>
          <t>srijeda</t>
        </is>
      </c>
      <c r="C27" s="5" t="inlineStr">
        <is>
          <t>Miješani komunalni otpad (zelena kanta)</t>
        </is>
      </c>
      <c r="D27" s="23" t="n"/>
    </row>
    <row r="28">
      <c r="A28" s="32" t="n">
        <v>46148</v>
      </c>
      <c r="B28" s="23" t="inlineStr">
        <is>
          <t>srijeda</t>
        </is>
      </c>
      <c r="C28" s="9" t="inlineStr">
        <is>
          <t>Biootpad</t>
        </is>
      </c>
      <c r="D28" s="23" t="n"/>
    </row>
    <row r="29">
      <c r="A29" s="32" t="n">
        <v>46148</v>
      </c>
      <c r="B29" s="23" t="inlineStr">
        <is>
          <t>srijeda</t>
        </is>
      </c>
      <c r="C29" s="11" t="inlineStr">
        <is>
          <t>Papir i karton (plava kanta)</t>
        </is>
      </c>
      <c r="D29" s="23" t="n"/>
    </row>
    <row r="30">
      <c r="A30" s="32" t="n">
        <v>46150</v>
      </c>
      <c r="B30" s="23" t="inlineStr">
        <is>
          <t>petak</t>
        </is>
      </c>
      <c r="C30" s="10" t="inlineStr">
        <is>
          <t>Plastika (žuta kanta)</t>
        </is>
      </c>
      <c r="D30" s="23" t="n"/>
    </row>
    <row r="31">
      <c r="A31" s="32" t="n">
        <v>46155</v>
      </c>
      <c r="B31" s="23" t="inlineStr">
        <is>
          <t>srijeda</t>
        </is>
      </c>
      <c r="C31" s="5" t="inlineStr">
        <is>
          <t>Miješani komunalni otpad (zelena kanta)</t>
        </is>
      </c>
      <c r="D31" s="23" t="n"/>
    </row>
    <row r="32">
      <c r="A32" s="32" t="n">
        <v>46162</v>
      </c>
      <c r="B32" s="23" t="inlineStr">
        <is>
          <t>srijeda</t>
        </is>
      </c>
      <c r="C32" s="9" t="inlineStr">
        <is>
          <t>Biootpad</t>
        </is>
      </c>
      <c r="D32" s="23" t="n"/>
    </row>
    <row r="33">
      <c r="A33" s="32" t="n">
        <v>46169</v>
      </c>
      <c r="B33" s="23" t="inlineStr">
        <is>
          <t>srijeda</t>
        </is>
      </c>
      <c r="C33" s="5" t="inlineStr">
        <is>
          <t>Miješani komunalni otpad (zelena kanta)</t>
        </is>
      </c>
      <c r="D33" s="23" t="n"/>
    </row>
    <row r="34">
      <c r="A34" s="32" t="n">
        <v>46171</v>
      </c>
      <c r="B34" s="23" t="inlineStr">
        <is>
          <t>petak</t>
        </is>
      </c>
      <c r="C34" s="13" t="inlineStr">
        <is>
          <t>Glomazni otpad</t>
        </is>
      </c>
      <c r="D34" s="23" t="n"/>
    </row>
    <row r="35">
      <c r="A35" s="32" t="n">
        <v>46176</v>
      </c>
      <c r="B35" s="23" t="inlineStr">
        <is>
          <t>srijeda</t>
        </is>
      </c>
      <c r="C35" s="9" t="inlineStr">
        <is>
          <t>Biootpad</t>
        </is>
      </c>
      <c r="D35" s="23" t="n"/>
    </row>
    <row r="36">
      <c r="A36" s="32" t="n">
        <v>46176</v>
      </c>
      <c r="B36" s="23" t="inlineStr">
        <is>
          <t>srijeda</t>
        </is>
      </c>
      <c r="C36" s="11" t="inlineStr">
        <is>
          <t>Papir i karton (plava kanta)</t>
        </is>
      </c>
      <c r="D36" s="23" t="n"/>
    </row>
    <row r="37">
      <c r="A37" s="32" t="n">
        <v>46178</v>
      </c>
      <c r="B37" s="23" t="inlineStr">
        <is>
          <t>petak</t>
        </is>
      </c>
      <c r="C37" s="10" t="inlineStr">
        <is>
          <t>Plastika (žuta kanta)</t>
        </is>
      </c>
      <c r="D37" s="23" t="n"/>
    </row>
    <row r="38">
      <c r="A38" s="32" t="n">
        <v>46183</v>
      </c>
      <c r="B38" s="23" t="inlineStr">
        <is>
          <t>srijeda</t>
        </is>
      </c>
      <c r="C38" s="5" t="inlineStr">
        <is>
          <t>Miješani komunalni otpad (zelena kanta)</t>
        </is>
      </c>
      <c r="D38" s="23" t="n"/>
    </row>
    <row r="39">
      <c r="A39" s="32" t="n">
        <v>46190</v>
      </c>
      <c r="B39" s="23" t="inlineStr">
        <is>
          <t>srijeda</t>
        </is>
      </c>
      <c r="C39" s="9" t="inlineStr">
        <is>
          <t>Biootpad</t>
        </is>
      </c>
      <c r="D39" s="23" t="n"/>
    </row>
    <row r="40">
      <c r="A40" s="32" t="n">
        <v>46197</v>
      </c>
      <c r="B40" s="23" t="inlineStr">
        <is>
          <t>srijeda</t>
        </is>
      </c>
      <c r="C40" s="5" t="inlineStr">
        <is>
          <t>Miješani komunalni otpad (zelena kanta)</t>
        </is>
      </c>
      <c r="D40" s="23" t="n"/>
    </row>
    <row r="41">
      <c r="A41" s="32" t="n">
        <v>46203</v>
      </c>
      <c r="B41" s="23" t="inlineStr">
        <is>
          <t>utorak</t>
        </is>
      </c>
      <c r="C41" s="5" t="inlineStr">
        <is>
          <t>Miješani komunalni otpad (zelena kanta)</t>
        </is>
      </c>
      <c r="D41" s="23" t="n"/>
    </row>
    <row r="42">
      <c r="A42" s="32" t="n">
        <v>46204</v>
      </c>
      <c r="B42" s="23" t="inlineStr">
        <is>
          <t>srijeda</t>
        </is>
      </c>
      <c r="C42" s="9" t="inlineStr">
        <is>
          <t>Biootpad</t>
        </is>
      </c>
      <c r="D42" s="23" t="n"/>
    </row>
    <row r="43">
      <c r="A43" s="32" t="n">
        <v>46204</v>
      </c>
      <c r="B43" s="23" t="inlineStr">
        <is>
          <t>srijeda</t>
        </is>
      </c>
      <c r="C43" s="11" t="inlineStr">
        <is>
          <t>Papir i karton (plava kanta)</t>
        </is>
      </c>
      <c r="D43" s="23" t="n"/>
    </row>
    <row r="44">
      <c r="A44" s="32" t="n">
        <v>46206</v>
      </c>
      <c r="B44" s="23" t="inlineStr">
        <is>
          <t>petak</t>
        </is>
      </c>
      <c r="C44" s="10" t="inlineStr">
        <is>
          <t>Plastika (žuta kanta)</t>
        </is>
      </c>
      <c r="D44" s="23" t="n"/>
    </row>
    <row r="45">
      <c r="A45" s="32" t="n">
        <v>46211</v>
      </c>
      <c r="B45" s="23" t="inlineStr">
        <is>
          <t>srijeda</t>
        </is>
      </c>
      <c r="C45" s="5" t="inlineStr">
        <is>
          <t>Miješani komunalni otpad (zelena kanta)</t>
        </is>
      </c>
      <c r="D45" s="23" t="n"/>
    </row>
    <row r="46">
      <c r="A46" s="32" t="n">
        <v>46218</v>
      </c>
      <c r="B46" s="23" t="inlineStr">
        <is>
          <t>srijeda</t>
        </is>
      </c>
      <c r="C46" s="9" t="inlineStr">
        <is>
          <t>Biootpad</t>
        </is>
      </c>
      <c r="D46" s="23" t="n"/>
    </row>
    <row r="47">
      <c r="A47" s="32" t="n">
        <v>46220</v>
      </c>
      <c r="B47" s="23" t="inlineStr">
        <is>
          <t>petak</t>
        </is>
      </c>
      <c r="C47" s="5" t="inlineStr">
        <is>
          <t>Miješani komunalni otpad (zelena kanta)</t>
        </is>
      </c>
      <c r="D47" s="23" t="n"/>
    </row>
    <row r="48">
      <c r="A48" s="32" t="n">
        <v>46225</v>
      </c>
      <c r="B48" s="23" t="inlineStr">
        <is>
          <t>srijeda</t>
        </is>
      </c>
      <c r="C48" s="5" t="inlineStr">
        <is>
          <t>Miješani komunalni otpad (zelena kanta)</t>
        </is>
      </c>
      <c r="D48" s="23" t="n"/>
    </row>
    <row r="49">
      <c r="A49" s="32" t="n">
        <v>46232</v>
      </c>
      <c r="B49" s="23" t="inlineStr">
        <is>
          <t>srijeda</t>
        </is>
      </c>
      <c r="C49" s="9" t="inlineStr">
        <is>
          <t>Biootpad</t>
        </is>
      </c>
      <c r="D49" s="23" t="n"/>
    </row>
    <row r="50">
      <c r="A50" s="32" t="n">
        <v>46239</v>
      </c>
      <c r="B50" s="23" t="inlineStr">
        <is>
          <t>srijeda</t>
        </is>
      </c>
      <c r="C50" s="5" t="inlineStr">
        <is>
          <t>Miješani komunalni otpad (zelena kanta)</t>
        </is>
      </c>
      <c r="D50" s="23" t="n"/>
    </row>
    <row r="51">
      <c r="A51" s="32" t="n">
        <v>46244</v>
      </c>
      <c r="B51" s="23" t="inlineStr">
        <is>
          <t>ponedjeljak</t>
        </is>
      </c>
      <c r="C51" s="5" t="inlineStr">
        <is>
          <t>Miješani komunalni otpad (zelena kanta)</t>
        </is>
      </c>
      <c r="D51" s="23" t="n"/>
    </row>
    <row r="52">
      <c r="A52" s="32" t="n">
        <v>46246</v>
      </c>
      <c r="B52" s="23" t="inlineStr">
        <is>
          <t>srijeda</t>
        </is>
      </c>
      <c r="C52" s="9" t="inlineStr">
        <is>
          <t>Biootpad</t>
        </is>
      </c>
      <c r="D52" s="23" t="n"/>
    </row>
    <row r="53">
      <c r="A53" s="32" t="n">
        <v>46246</v>
      </c>
      <c r="B53" s="23" t="inlineStr">
        <is>
          <t>srijeda</t>
        </is>
      </c>
      <c r="C53" s="11" t="inlineStr">
        <is>
          <t>Papir i karton (plava kanta)</t>
        </is>
      </c>
      <c r="D53" s="23" t="n"/>
    </row>
    <row r="54">
      <c r="A54" s="32" t="n">
        <v>46248</v>
      </c>
      <c r="B54" s="23" t="inlineStr">
        <is>
          <t>petak</t>
        </is>
      </c>
      <c r="C54" s="10" t="inlineStr">
        <is>
          <t>Plastika (žuta kanta)</t>
        </is>
      </c>
      <c r="D54" s="23" t="n"/>
    </row>
    <row r="55">
      <c r="A55" s="32" t="n">
        <v>46253</v>
      </c>
      <c r="B55" s="23" t="inlineStr">
        <is>
          <t>srijeda</t>
        </is>
      </c>
      <c r="C55" s="5" t="inlineStr">
        <is>
          <t>Miješani komunalni otpad (zelena kanta)</t>
        </is>
      </c>
      <c r="D55" s="23" t="n"/>
    </row>
    <row r="56">
      <c r="A56" s="32" t="n">
        <v>46255</v>
      </c>
      <c r="B56" s="23" t="inlineStr">
        <is>
          <t>petak</t>
        </is>
      </c>
      <c r="C56" s="14" t="inlineStr">
        <is>
          <t>Tekstil</t>
        </is>
      </c>
      <c r="D56" s="23" t="n"/>
    </row>
    <row r="57">
      <c r="A57" s="32" t="n">
        <v>46260</v>
      </c>
      <c r="B57" s="23" t="inlineStr">
        <is>
          <t>srijeda</t>
        </is>
      </c>
      <c r="C57" s="9" t="inlineStr">
        <is>
          <t>Biootpad</t>
        </is>
      </c>
      <c r="D57" s="23" t="n"/>
    </row>
    <row r="58">
      <c r="A58" s="32" t="n">
        <v>46267</v>
      </c>
      <c r="B58" s="23" t="inlineStr">
        <is>
          <t>srijeda</t>
        </is>
      </c>
      <c r="C58" s="5" t="inlineStr">
        <is>
          <t>Miješani komunalni otpad (zelena kanta)</t>
        </is>
      </c>
      <c r="D58" s="23" t="n"/>
    </row>
    <row r="59">
      <c r="A59" s="32" t="n">
        <v>46274</v>
      </c>
      <c r="B59" s="23" t="inlineStr">
        <is>
          <t>srijeda</t>
        </is>
      </c>
      <c r="C59" s="9" t="inlineStr">
        <is>
          <t>Biootpad</t>
        </is>
      </c>
      <c r="D59" s="23" t="n"/>
    </row>
    <row r="60">
      <c r="A60" s="32" t="n">
        <v>46274</v>
      </c>
      <c r="B60" s="23" t="inlineStr">
        <is>
          <t>srijeda</t>
        </is>
      </c>
      <c r="C60" s="11" t="inlineStr">
        <is>
          <t>Papir i karton (plava kanta)</t>
        </is>
      </c>
      <c r="D60" s="23" t="n"/>
    </row>
    <row r="61">
      <c r="A61" s="32" t="n">
        <v>46276</v>
      </c>
      <c r="B61" s="23" t="inlineStr">
        <is>
          <t>petak</t>
        </is>
      </c>
      <c r="C61" s="10" t="inlineStr">
        <is>
          <t>Plastika (žuta kanta)</t>
        </is>
      </c>
      <c r="D61" s="23" t="n"/>
    </row>
    <row r="62">
      <c r="A62" s="32" t="n">
        <v>46281</v>
      </c>
      <c r="B62" s="23" t="inlineStr">
        <is>
          <t>srijeda</t>
        </is>
      </c>
      <c r="C62" s="5" t="inlineStr">
        <is>
          <t>Miješani komunalni otpad (zelena kanta)</t>
        </is>
      </c>
      <c r="D62" s="23" t="n"/>
    </row>
    <row r="63">
      <c r="A63" s="32" t="n">
        <v>46288</v>
      </c>
      <c r="B63" s="23" t="inlineStr">
        <is>
          <t>srijeda</t>
        </is>
      </c>
      <c r="C63" s="9" t="inlineStr">
        <is>
          <t>Biootpad</t>
        </is>
      </c>
      <c r="D63" s="23" t="n"/>
    </row>
    <row r="64">
      <c r="A64" s="32" t="n">
        <v>46295</v>
      </c>
      <c r="B64" s="23" t="inlineStr">
        <is>
          <t>srijeda</t>
        </is>
      </c>
      <c r="C64" s="5" t="inlineStr">
        <is>
          <t>Miješani komunalni otpad (zelena kanta)</t>
        </is>
      </c>
      <c r="D64" s="23" t="n"/>
    </row>
    <row r="65">
      <c r="A65" s="32" t="n">
        <v>46302</v>
      </c>
      <c r="B65" s="23" t="inlineStr">
        <is>
          <t>srijeda</t>
        </is>
      </c>
      <c r="C65" s="9" t="inlineStr">
        <is>
          <t>Biootpad</t>
        </is>
      </c>
      <c r="D65" s="23" t="n"/>
    </row>
    <row r="66">
      <c r="A66" s="32" t="n">
        <v>46302</v>
      </c>
      <c r="B66" s="23" t="inlineStr">
        <is>
          <t>srijeda</t>
        </is>
      </c>
      <c r="C66" s="11" t="inlineStr">
        <is>
          <t>Papir i karton (plava kanta)</t>
        </is>
      </c>
      <c r="D66" s="23" t="n"/>
    </row>
    <row r="67">
      <c r="A67" s="32" t="n">
        <v>46304</v>
      </c>
      <c r="B67" s="23" t="inlineStr">
        <is>
          <t>petak</t>
        </is>
      </c>
      <c r="C67" s="10" t="inlineStr">
        <is>
          <t>Plastika (žuta kanta)</t>
        </is>
      </c>
      <c r="D67" s="23" t="n"/>
    </row>
    <row r="68">
      <c r="A68" s="32" t="n">
        <v>46309</v>
      </c>
      <c r="B68" s="23" t="inlineStr">
        <is>
          <t>srijeda</t>
        </is>
      </c>
      <c r="C68" s="5" t="inlineStr">
        <is>
          <t>Miješani komunalni otpad (zelena kanta)</t>
        </is>
      </c>
      <c r="D68" s="23" t="n"/>
    </row>
    <row r="69">
      <c r="A69" s="32" t="n">
        <v>46316</v>
      </c>
      <c r="B69" s="23" t="inlineStr">
        <is>
          <t>srijeda</t>
        </is>
      </c>
      <c r="C69" s="9" t="inlineStr">
        <is>
          <t>Biootpad</t>
        </is>
      </c>
      <c r="D69" s="23" t="n"/>
    </row>
    <row r="70">
      <c r="A70" s="32" t="n">
        <v>46323</v>
      </c>
      <c r="B70" s="23" t="inlineStr">
        <is>
          <t>srijeda</t>
        </is>
      </c>
      <c r="C70" s="5" t="inlineStr">
        <is>
          <t>Miješani komunalni otpad (zelena kanta)</t>
        </is>
      </c>
      <c r="D70" s="23" t="n"/>
    </row>
    <row r="71">
      <c r="A71" s="32" t="n">
        <v>46330</v>
      </c>
      <c r="B71" s="23" t="inlineStr">
        <is>
          <t>srijeda</t>
        </is>
      </c>
      <c r="C71" s="9" t="inlineStr">
        <is>
          <t>Biootpad</t>
        </is>
      </c>
      <c r="D71" s="23" t="n"/>
    </row>
    <row r="72">
      <c r="A72" s="32" t="n">
        <v>46330</v>
      </c>
      <c r="B72" s="23" t="inlineStr">
        <is>
          <t>srijeda</t>
        </is>
      </c>
      <c r="C72" s="11" t="inlineStr">
        <is>
          <t>Papir i karton (plava kanta)</t>
        </is>
      </c>
      <c r="D72" s="23" t="n"/>
    </row>
    <row r="73">
      <c r="A73" s="32" t="n">
        <v>46332</v>
      </c>
      <c r="B73" s="23" t="inlineStr">
        <is>
          <t>petak</t>
        </is>
      </c>
      <c r="C73" s="10" t="inlineStr">
        <is>
          <t>Plastika (žuta kanta)</t>
        </is>
      </c>
      <c r="D73" s="23" t="n"/>
    </row>
    <row r="74">
      <c r="A74" s="32" t="n">
        <v>46337</v>
      </c>
      <c r="B74" s="23" t="inlineStr">
        <is>
          <t>srijeda</t>
        </is>
      </c>
      <c r="C74" s="5" t="inlineStr">
        <is>
          <t>Miješani komunalni otpad (zelena kanta)</t>
        </is>
      </c>
      <c r="D74" s="23" t="n"/>
    </row>
    <row r="75">
      <c r="A75" s="32" t="n">
        <v>46339</v>
      </c>
      <c r="B75" s="23" t="inlineStr">
        <is>
          <t>petak</t>
        </is>
      </c>
      <c r="C75" s="9" t="inlineStr">
        <is>
          <t>Biootpad</t>
        </is>
      </c>
      <c r="D75" s="23" t="inlineStr">
        <is>
          <t>Pomaknuto zbog neradnog dana u tjednu</t>
        </is>
      </c>
    </row>
    <row r="76">
      <c r="A76" s="32" t="n">
        <v>46351</v>
      </c>
      <c r="B76" s="23" t="inlineStr">
        <is>
          <t>srijeda</t>
        </is>
      </c>
      <c r="C76" s="5" t="inlineStr">
        <is>
          <t>Miješani komunalni otpad (zelena kanta)</t>
        </is>
      </c>
      <c r="D76" s="23" t="n"/>
    </row>
    <row r="77">
      <c r="A77" s="32" t="n">
        <v>46358</v>
      </c>
      <c r="B77" s="23" t="inlineStr">
        <is>
          <t>srijeda</t>
        </is>
      </c>
      <c r="C77" s="9" t="inlineStr">
        <is>
          <t>Biootpad</t>
        </is>
      </c>
      <c r="D77" s="23" t="n"/>
    </row>
    <row r="78">
      <c r="A78" s="32" t="n">
        <v>46358</v>
      </c>
      <c r="B78" s="23" t="inlineStr">
        <is>
          <t>srijeda</t>
        </is>
      </c>
      <c r="C78" s="11" t="inlineStr">
        <is>
          <t>Papir i karton (plava kanta)</t>
        </is>
      </c>
      <c r="D78" s="23" t="n"/>
    </row>
    <row r="79">
      <c r="A79" s="32" t="n">
        <v>46360</v>
      </c>
      <c r="B79" s="23" t="inlineStr">
        <is>
          <t>petak</t>
        </is>
      </c>
      <c r="C79" s="10" t="inlineStr">
        <is>
          <t>Plastika (žuta kanta)</t>
        </is>
      </c>
      <c r="D79" s="23" t="n"/>
    </row>
    <row r="80">
      <c r="A80" s="32" t="n">
        <v>46365</v>
      </c>
      <c r="B80" s="23" t="inlineStr">
        <is>
          <t>srijeda</t>
        </is>
      </c>
      <c r="C80" s="5" t="inlineStr">
        <is>
          <t>Miješani komunalni otpad (zelena kanta)</t>
        </is>
      </c>
      <c r="D80" s="23" t="n"/>
    </row>
    <row r="81">
      <c r="A81" s="32" t="n">
        <v>46372</v>
      </c>
      <c r="B81" s="23" t="inlineStr">
        <is>
          <t>srijeda</t>
        </is>
      </c>
      <c r="C81" s="9" t="inlineStr">
        <is>
          <t>Biootpad</t>
        </is>
      </c>
      <c r="D81" s="23" t="n"/>
    </row>
    <row r="82">
      <c r="A82" s="32" t="n">
        <v>46379</v>
      </c>
      <c r="B82" s="23" t="inlineStr">
        <is>
          <t>srijeda</t>
        </is>
      </c>
      <c r="C82" s="5" t="inlineStr">
        <is>
          <t>Miješani komunalni otpad (zelena kanta)</t>
        </is>
      </c>
      <c r="D82" s="23" t="n"/>
    </row>
    <row r="83">
      <c r="A83" s="32" t="n">
        <v>46386</v>
      </c>
      <c r="B83" s="23" t="inlineStr">
        <is>
          <t>srijeda</t>
        </is>
      </c>
      <c r="C83" s="9" t="inlineStr">
        <is>
          <t>Biootpad</t>
        </is>
      </c>
      <c r="D83" s="23" t="n"/>
    </row>
  </sheetData>
  <autoFilter ref="A1:D8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4 (Erdut): ulice i naselja</t>
        </is>
      </c>
    </row>
    <row r="4">
      <c r="A4" s="4" t="inlineStr">
        <is>
          <t>Ulica / naselje</t>
        </is>
      </c>
    </row>
    <row r="5">
      <c r="A5" s="23" t="inlineStr">
        <is>
          <t>Bijelo Brdo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2026-10-08T06:06:54Z</dcterms:created>
  <dcterms:modified xmlns:dcterms="http://purl.org/dc/terms/" xmlns:xsi="http://www.w3.org/2001/XMLSchema-instance" xsi:type="dcterms:W3CDTF">2026-10-08T06:06:54Z</dcterms:modified>
</cp:coreProperties>
</file>
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'Raspored'!$A$4:$G$11</definedName>
    <definedName name="_xlnm._FilterDatabase" localSheetId="2" hidden="1">'Po vrsti'!$A$1:$D$15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IFERROR(1/(1/_xlfn.MINIFS(Raspored!$A$5:$A$11,Raspored!$D$5:$D$11,"x",Raspored!$A$5:$A$11,"&gt;="&amp;$B$3)),"nema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COUNTIF(Raspored!$D$5:$D$11,"x")</f>
        <v/>
      </c>
    </row>
    <row r="7">
      <c r="A7" s="9" t="inlineStr">
        <is>
          <t>Plastična i metalna ambalaža (žuti spremnik)</t>
        </is>
      </c>
      <c r="B7" s="6">
        <f>IFERROR(1/(1/_xlfn.MINIFS(Raspored!$A$5:$A$11,Raspored!$E$5:$E$11,"x",Raspored!$A$5:$A$11,"&gt;="&amp;$B$3)),"nema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COUNTIF(Raspored!$E$5:$E$11,"x")</f>
        <v/>
      </c>
    </row>
    <row r="8">
      <c r="A8" s="10" t="inlineStr">
        <is>
          <t>Papir i karton (plavi spremnik)</t>
        </is>
      </c>
      <c r="B8" s="6">
        <f>IFERROR(1/(1/_xlfn.MINIFS(Raspored!$A$5:$A$11,Raspored!$F$5:$F$11,"x",Raspored!$A$5:$A$11,"&gt;="&amp;$B$3)),"nema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COUNTIFS(Raspored!$C$5:$C$11,$A12,Raspored!$D$5:$D$11,"x")</f>
        <v/>
      </c>
      <c r="C12" s="7">
        <f>COUNTIFS(Raspored!$C$5:$C$11,$A12,Raspored!$E$5:$E$11,"x")</f>
        <v/>
      </c>
      <c r="D12" s="7">
        <f>COUNTIFS(Raspored!$C$5:$C$11,$A12,Raspored!$F$5:$F$11,"x")</f>
        <v/>
      </c>
    </row>
    <row r="13">
      <c r="A13" s="15" t="inlineStr">
        <is>
          <t>veljača</t>
        </is>
      </c>
      <c r="B13" s="7">
        <f>COUNTIFS(Raspored!$C$5:$C$11,$A13,Raspored!$D$5:$D$11,"x")</f>
        <v/>
      </c>
      <c r="C13" s="7">
        <f>COUNTIFS(Raspored!$C$5:$C$11,$A13,Raspored!$E$5:$E$11,"x")</f>
        <v/>
      </c>
      <c r="D13" s="7">
        <f>COUNTIFS(Raspored!$C$5:$C$11,$A13,Raspored!$F$5:$F$11,"x")</f>
        <v/>
      </c>
    </row>
    <row r="14">
      <c r="A14" s="15" t="inlineStr">
        <is>
          <t>ožujak</t>
        </is>
      </c>
      <c r="B14" s="7">
        <f>COUNTIFS(Raspored!$C$5:$C$11,$A14,Raspored!$D$5:$D$11,"x")</f>
        <v/>
      </c>
      <c r="C14" s="7">
        <f>COUNTIFS(Raspored!$C$5:$C$11,$A14,Raspored!$E$5:$E$11,"x")</f>
        <v/>
      </c>
      <c r="D14" s="7">
        <f>COUNTIFS(Raspored!$C$5:$C$11,$A14,Raspored!$F$5:$F$11,"x")</f>
        <v/>
      </c>
    </row>
    <row r="15">
      <c r="A15" s="15" t="inlineStr">
        <is>
          <t>travanj</t>
        </is>
      </c>
      <c r="B15" s="7">
        <f>COUNTIFS(Raspored!$C$5:$C$11,$A15,Raspored!$D$5:$D$11,"x")</f>
        <v/>
      </c>
      <c r="C15" s="7">
        <f>COUNTIFS(Raspored!$C$5:$C$11,$A15,Raspored!$E$5:$E$11,"x")</f>
        <v/>
      </c>
      <c r="D15" s="7">
        <f>COUNTIFS(Raspored!$C$5:$C$11,$A15,Raspored!$F$5:$F$11,"x")</f>
        <v/>
      </c>
    </row>
    <row r="16">
      <c r="A16" s="15" t="inlineStr">
        <is>
          <t>svibanj</t>
        </is>
      </c>
      <c r="B16" s="7">
        <f>COUNTIFS(Raspored!$C$5:$C$11,$A16,Raspored!$D$5:$D$11,"x")</f>
        <v/>
      </c>
      <c r="C16" s="7">
        <f>COUNTIFS(Raspored!$C$5:$C$11,$A16,Raspored!$E$5:$E$11,"x")</f>
        <v/>
      </c>
      <c r="D16" s="7">
        <f>COUNTIFS(Raspored!$C$5:$C$11,$A16,Raspored!$F$5:$F$11,"x")</f>
        <v/>
      </c>
    </row>
    <row r="17">
      <c r="A17" s="15" t="inlineStr">
        <is>
          <t>lipanj</t>
        </is>
      </c>
      <c r="B17" s="7">
        <f>COUNTIFS(Raspored!$C$5:$C$11,$A17,Raspored!$D$5:$D$11,"x")</f>
        <v/>
      </c>
      <c r="C17" s="7">
        <f>COUNTIFS(Raspored!$C$5:$C$11,$A17,Raspored!$E$5:$E$11,"x")</f>
        <v/>
      </c>
      <c r="D17" s="7">
        <f>COUNTIFS(Raspored!$C$5:$C$11,$A17,Raspored!$F$5:$F$11,"x")</f>
        <v/>
      </c>
    </row>
    <row r="18">
      <c r="A18" s="15" t="inlineStr">
        <is>
          <t>srpanj</t>
        </is>
      </c>
      <c r="B18" s="7">
        <f>COUNTIFS(Raspored!$C$5:$C$11,$A18,Raspored!$D$5:$D$11,"x")</f>
        <v/>
      </c>
      <c r="C18" s="7">
        <f>COUNTIFS(Raspored!$C$5:$C$11,$A18,Raspored!$E$5:$E$11,"x")</f>
        <v/>
      </c>
      <c r="D18" s="7">
        <f>COUNTIFS(Raspored!$C$5:$C$11,$A18,Raspored!$F$5:$F$11,"x")</f>
        <v/>
      </c>
    </row>
    <row r="19">
      <c r="A19" s="15" t="inlineStr">
        <is>
          <t>kolovoz</t>
        </is>
      </c>
      <c r="B19" s="7">
        <f>COUNTIFS(Raspored!$C$5:$C$11,$A19,Raspored!$D$5:$D$11,"x")</f>
        <v/>
      </c>
      <c r="C19" s="7">
        <f>COUNTIFS(Raspored!$C$5:$C$11,$A19,Raspored!$E$5:$E$11,"x")</f>
        <v/>
      </c>
      <c r="D19" s="7">
        <f>COUNTIFS(Raspored!$C$5:$C$11,$A19,Raspored!$F$5:$F$11,"x")</f>
        <v/>
      </c>
    </row>
    <row r="20">
      <c r="A20" s="15" t="inlineStr">
        <is>
          <t>rujan</t>
        </is>
      </c>
      <c r="B20" s="7">
        <f>COUNTIFS(Raspored!$C$5:$C$11,$A20,Raspored!$D$5:$D$11,"x")</f>
        <v/>
      </c>
      <c r="C20" s="7">
        <f>COUNTIFS(Raspored!$C$5:$C$11,$A20,Raspored!$E$5:$E$11,"x")</f>
        <v/>
      </c>
      <c r="D20" s="7">
        <f>COUNTIFS(Raspored!$C$5:$C$11,$A20,Raspored!$F$5:$F$11,"x")</f>
        <v/>
      </c>
    </row>
    <row r="21">
      <c r="A21" s="15" t="inlineStr">
        <is>
          <t>listopad</t>
        </is>
      </c>
      <c r="B21" s="7">
        <f>COUNTIFS(Raspored!$C$5:$C$11,$A21,Raspored!$D$5:$D$11,"x")</f>
        <v/>
      </c>
      <c r="C21" s="7">
        <f>COUNTIFS(Raspored!$C$5:$C$11,$A21,Raspored!$E$5:$E$11,"x")</f>
        <v/>
      </c>
      <c r="D21" s="7">
        <f>COUNTIFS(Raspored!$C$5:$C$11,$A21,Raspored!$F$5:$F$11,"x")</f>
        <v/>
      </c>
    </row>
    <row r="22">
      <c r="A22" s="15" t="inlineStr">
        <is>
          <t>studeni</t>
        </is>
      </c>
      <c r="B22" s="7">
        <f>COUNTIFS(Raspored!$C$5:$C$11,$A22,Raspored!$D$5:$D$11,"x")</f>
        <v/>
      </c>
      <c r="C22" s="7">
        <f>COUNTIFS(Raspored!$C$5:$C$11,$A22,Raspored!$E$5:$E$11,"x")</f>
        <v/>
      </c>
      <c r="D22" s="7">
        <f>COUNTIFS(Raspored!$C$5:$C$11,$A22,Raspored!$F$5:$F$11,"x")</f>
        <v/>
      </c>
    </row>
    <row r="23">
      <c r="A23" s="15" t="inlineStr">
        <is>
          <t>prosinac</t>
        </is>
      </c>
      <c r="B23" s="7">
        <f>COUNTIFS(Raspored!$C$5:$C$11,$A23,Raspored!$D$5:$D$11,"x")</f>
        <v/>
      </c>
      <c r="C23" s="7">
        <f>COUNTIFS(Raspored!$C$5:$C$11,$A23,Raspored!$E$5:$E$11,"x")</f>
        <v/>
      </c>
      <c r="D23" s="7">
        <f>COUNTIFS(Raspored!$C$5:$C$11,$A23,Raspored!$F$5:$F$11,"x")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Sezonski odvoz subotom (od 30.3.2026.); raspored odvojenog otpada uključuje subotu do 31.10.2026., a za razdoblje nakon toga raspored za ovo područje nije objavljen.</t>
        </is>
      </c>
    </row>
    <row r="28">
      <c r="A28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9">
      <c r="A29" s="19" t="inlineStr">
        <is>
          <t>• Objavljeni raspored ne sadrži odvoz biootpada ni stakla (staklo: zeleni spremnici na javnim površinama).</t>
        </is>
      </c>
    </row>
    <row r="30">
      <c r="A30" s="19" t="inlineStr">
        <is>
          <t>• Mobilno reciklažno dvorište po naseljima: rasporedi (slike) na https://prvimaj.hr/?page_id=277.</t>
        </is>
      </c>
    </row>
    <row r="31">
      <c r="A31" s="19" t="inlineStr">
        <is>
          <t>• Raspored vrijedi od 14.09.2026. (terminski plan miješanog otpada od 14.09.2026., raspored odvojenog otpada do 02.01.2027.); raniji mjeseci nisu objavljeni.</t>
        </is>
      </c>
    </row>
    <row r="32">
      <c r="A32" s="19" t="inlineStr">
        <is>
          <t>• Pomaci zbog blagdana nisu objavljeni, osim što je tjedan odvojenog otpada produljen do subote (25.12. → 26.12.); na ostale blagdane računa se redovan dan odvoza.</t>
        </is>
      </c>
    </row>
    <row r="33">
      <c r="A33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12 (Sveta Nedelja)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46284</v>
      </c>
      <c r="B5" s="7" t="inlineStr">
        <is>
          <t>subota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46291</v>
      </c>
      <c r="B6" s="7" t="inlineStr">
        <is>
          <t>subota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46298</v>
      </c>
      <c r="B7" s="7" t="inlineStr">
        <is>
          <t>subota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46305</v>
      </c>
      <c r="B8" s="7" t="inlineStr">
        <is>
          <t>subota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46312</v>
      </c>
      <c r="B9" s="7" t="inlineStr">
        <is>
          <t>subota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46319</v>
      </c>
      <c r="B10" s="7" t="inlineStr">
        <is>
          <t>subota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46326</v>
      </c>
      <c r="B11" s="7" t="inlineStr">
        <is>
          <t>subota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</sheetData>
  <autoFilter ref="A4:G11"/>
  <conditionalFormatting sqref="D5:D11">
    <cfRule type="expression" priority="1" dxfId="0">
      <formula>D5="x"</formula>
    </cfRule>
  </conditionalFormatting>
  <conditionalFormatting sqref="E5:E11">
    <cfRule type="expression" priority="2" dxfId="1">
      <formula>E5="x"</formula>
    </cfRule>
  </conditionalFormatting>
  <conditionalFormatting sqref="F5:F11">
    <cfRule type="expression" priority="3" dxfId="2">
      <formula>F5="x"</formula>
    </cfRule>
  </conditionalFormatting>
  <conditionalFormatting sqref="A5:G1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46284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46284</v>
      </c>
      <c r="B3" s="15" t="inlineStr">
        <is>
          <t>subota</t>
        </is>
      </c>
      <c r="C3" s="10" t="inlineStr">
        <is>
          <t>Papir i karton (plavi spremnik)</t>
        </is>
      </c>
      <c r="D3" s="15" t="n"/>
    </row>
    <row r="4">
      <c r="A4" s="22" t="n">
        <v>46291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46291</v>
      </c>
      <c r="B5" s="15" t="inlineStr">
        <is>
          <t>subota</t>
        </is>
      </c>
      <c r="C5" s="9" t="inlineStr">
        <is>
          <t>Plastična i metalna ambalaža (žuti spremnik)</t>
        </is>
      </c>
      <c r="D5" s="15" t="n"/>
    </row>
    <row r="6">
      <c r="A6" s="22" t="n">
        <v>46298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46298</v>
      </c>
      <c r="B7" s="15" t="inlineStr">
        <is>
          <t>subota</t>
        </is>
      </c>
      <c r="C7" s="10" t="inlineStr">
        <is>
          <t>Papir i karton (plavi spremnik)</t>
        </is>
      </c>
      <c r="D7" s="15" t="n"/>
    </row>
    <row r="8">
      <c r="A8" s="22" t="n">
        <v>46305</v>
      </c>
      <c r="B8" s="15" t="inlineStr">
        <is>
          <t>subota</t>
        </is>
      </c>
      <c r="C8" s="5" t="inlineStr">
        <is>
          <t>Miješani komunalni otpad</t>
        </is>
      </c>
      <c r="D8" s="15" t="n"/>
    </row>
    <row r="9">
      <c r="A9" s="22" t="n">
        <v>46305</v>
      </c>
      <c r="B9" s="15" t="inlineStr">
        <is>
          <t>subota</t>
        </is>
      </c>
      <c r="C9" s="9" t="inlineStr">
        <is>
          <t>Plastična i metalna ambalaža (žuti spremnik)</t>
        </is>
      </c>
      <c r="D9" s="15" t="n"/>
    </row>
    <row r="10">
      <c r="A10" s="22" t="n">
        <v>46312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46312</v>
      </c>
      <c r="B11" s="15" t="inlineStr">
        <is>
          <t>subota</t>
        </is>
      </c>
      <c r="C11" s="10" t="inlineStr">
        <is>
          <t>Papir i karton (plavi spremnik)</t>
        </is>
      </c>
      <c r="D11" s="15" t="n"/>
    </row>
    <row r="12">
      <c r="A12" s="22" t="n">
        <v>46319</v>
      </c>
      <c r="B12" s="15" t="inlineStr">
        <is>
          <t>subota</t>
        </is>
      </c>
      <c r="C12" s="5" t="inlineStr">
        <is>
          <t>Miješani komunalni otpad</t>
        </is>
      </c>
      <c r="D12" s="15" t="n"/>
    </row>
    <row r="13">
      <c r="A13" s="22" t="n">
        <v>46319</v>
      </c>
      <c r="B13" s="15" t="inlineStr">
        <is>
          <t>subota</t>
        </is>
      </c>
      <c r="C13" s="9" t="inlineStr">
        <is>
          <t>Plastična i metalna ambalaža (žuti spremnik)</t>
        </is>
      </c>
      <c r="D13" s="15" t="n"/>
    </row>
    <row r="14">
      <c r="A14" s="22" t="n">
        <v>46326</v>
      </c>
      <c r="B14" s="15" t="inlineStr">
        <is>
          <t>subota</t>
        </is>
      </c>
      <c r="C14" s="5" t="inlineStr">
        <is>
          <t>Miješani komunalni otpad</t>
        </is>
      </c>
      <c r="D14" s="15" t="n"/>
    </row>
    <row r="15">
      <c r="A15" s="22" t="n">
        <v>46326</v>
      </c>
      <c r="B15" s="15" t="inlineStr">
        <is>
          <t>subota</t>
        </is>
      </c>
      <c r="C15" s="10" t="inlineStr">
        <is>
          <t>Papir i karton (plavi spremnik)</t>
        </is>
      </c>
      <c r="D15" s="15" t="n"/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12 (Sveta Nedelja): ulice i naselja</t>
        </is>
      </c>
    </row>
    <row r="2">
      <c r="A2" s="20" t="inlineStr">
        <is>
          <t>VELI GOLJI, MALI GOLJI, MARKOČI, CERE | SANTALEZI, STEPANČIĆI | ŽUPANIĆI, ŽNJIDARI, ZULIJANI</t>
        </is>
      </c>
    </row>
    <row r="4">
      <c r="A4" s="4" t="inlineStr">
        <is>
          <t>Ulica / naselje</t>
        </is>
      </c>
    </row>
    <row r="5">
      <c r="A5" s="15" t="inlineStr">
        <is>
          <t>Veli Golji</t>
        </is>
      </c>
    </row>
    <row r="6">
      <c r="A6" s="15" t="inlineStr">
        <is>
          <t>Mali Golji</t>
        </is>
      </c>
    </row>
    <row r="7">
      <c r="A7" s="15" t="inlineStr">
        <is>
          <t>Markoči</t>
        </is>
      </c>
    </row>
    <row r="8">
      <c r="A8" s="15" t="inlineStr">
        <is>
          <t>Cere</t>
        </is>
      </c>
    </row>
    <row r="9">
      <c r="A9" s="15" t="inlineStr">
        <is>
          <t>Santalezi</t>
        </is>
      </c>
    </row>
    <row r="10">
      <c r="A10" s="15" t="inlineStr">
        <is>
          <t>Stepančići</t>
        </is>
      </c>
    </row>
    <row r="11">
      <c r="A11" s="15" t="inlineStr">
        <is>
          <t>Županići</t>
        </is>
      </c>
    </row>
    <row r="12">
      <c r="A12" s="15" t="inlineStr">
        <is>
          <t>Žnjidari</t>
        </is>
      </c>
    </row>
    <row r="13">
      <c r="A13" s="15" t="inlineStr">
        <is>
          <t>Zulijani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
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'Raspored'!$A$4:$G$19</definedName>
    <definedName name="_xlnm._FilterDatabase" localSheetId="2" hidden="1">'Po vrsti'!$A$1:$D$31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Plastična i metalna ambalaža (žuti spremnik)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 (plavi spremnik)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COUNTIFS(Raspored!$C$5:$C$19,$A12,Raspored!$D$5:$D$19,"x")</f>
        <v/>
      </c>
      <c r="C12" s="7">
        <f>COUNTIFS(Raspored!$C$5:$C$19,$A12,Raspored!$E$5:$E$19,"x")</f>
        <v/>
      </c>
      <c r="D12" s="7">
        <f>COUNTIFS(Raspored!$C$5:$C$19,$A12,Raspored!$F$5:$F$19,"x")</f>
        <v/>
      </c>
    </row>
    <row r="13">
      <c r="A13" s="15" t="inlineStr">
        <is>
          <t>veljača</t>
        </is>
      </c>
      <c r="B13" s="7">
        <f>COUNTIFS(Raspored!$C$5:$C$19,$A13,Raspored!$D$5:$D$19,"x")</f>
        <v/>
      </c>
      <c r="C13" s="7">
        <f>COUNTIFS(Raspored!$C$5:$C$19,$A13,Raspored!$E$5:$E$19,"x")</f>
        <v/>
      </c>
      <c r="D13" s="7">
        <f>COUNTIFS(Raspored!$C$5:$C$19,$A13,Raspored!$F$5:$F$19,"x")</f>
        <v/>
      </c>
    </row>
    <row r="14">
      <c r="A14" s="15" t="inlineStr">
        <is>
          <t>ožujak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</row>
    <row r="15">
      <c r="A15" s="15" t="inlineStr">
        <is>
          <t>travanj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</row>
    <row r="16">
      <c r="A16" s="15" t="inlineStr">
        <is>
          <t>svibanj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</row>
    <row r="17">
      <c r="A17" s="15" t="inlineStr">
        <is>
          <t>lipanj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</row>
    <row r="18">
      <c r="A18" s="15" t="inlineStr">
        <is>
          <t>srpanj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</row>
    <row r="19">
      <c r="A19" s="15" t="inlineStr">
        <is>
          <t>kolovoz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</row>
    <row r="20">
      <c r="A20" s="15" t="inlineStr">
        <is>
          <t>rujan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</row>
    <row r="21">
      <c r="A21" s="15" t="inlineStr">
        <is>
          <t>listopad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</row>
    <row r="22">
      <c r="A22" s="15" t="inlineStr">
        <is>
          <t>studeni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</row>
    <row r="23">
      <c r="A23" s="15" t="inlineStr">
        <is>
          <t>prosinac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9">
      <c r="A29" s="19" t="inlineStr">
        <is>
          <t>• Objavljeni raspored ne sadrži odvoz biootpada ni stakla (staklo: zeleni spremnici na javnim površinama).</t>
        </is>
      </c>
    </row>
    <row r="30">
      <c r="A30" s="19" t="inlineStr">
        <is>
          <t>• Mobilno reciklažno dvorište po naseljima: rasporedi (slike) na https://prvimaj.hr/?page_id=277.</t>
        </is>
      </c>
    </row>
    <row r="31">
      <c r="A31" s="19" t="inlineStr">
        <is>
          <t>• Raspored vrijedi od 14.09.2026. (terminski plan miješanog otpada od 14.09.2026., raspored odvojenog otpada do 02.01.2027.); raniji mjeseci nisu objavljeni.</t>
        </is>
      </c>
    </row>
    <row r="32">
      <c r="A32" s="19" t="inlineStr">
        <is>
          <t>• Pomaci zbog blagdana nisu objavljeni, osim što je tjedan odvojenog otpada produljen do subote (25.12. → 26.12.); na ostale blagdane računa se redovan dan odvoza.</t>
        </is>
      </c>
    </row>
    <row r="33">
      <c r="A33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(Labin)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46283</v>
      </c>
      <c r="B5" s="7" t="inlineStr">
        <is>
          <t>petak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46290</v>
      </c>
      <c r="B6" s="7" t="inlineStr">
        <is>
          <t>petak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46297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46304</v>
      </c>
      <c r="B8" s="7" t="inlineStr">
        <is>
          <t>petak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46311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46318</v>
      </c>
      <c r="B10" s="7" t="inlineStr">
        <is>
          <t>petak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46325</v>
      </c>
      <c r="B11" s="7" t="inlineStr">
        <is>
          <t>petak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46332</v>
      </c>
      <c r="B12" s="7" t="inlineStr">
        <is>
          <t>petak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46339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46346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46353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46367</v>
      </c>
      <c r="B17" s="7" t="inlineStr">
        <is>
          <t>petak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46374</v>
      </c>
      <c r="B18" s="7" t="inlineStr">
        <is>
          <t>petak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22" t="n">
        <v>46382</v>
      </c>
      <c r="B19" s="23" t="inlineStr">
        <is>
          <t>subota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inlineStr">
        <is>
          <t>Pomaknuto zbog neradnog dana u tjednu</t>
        </is>
      </c>
    </row>
  </sheetData>
  <autoFilter ref="A4:G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A5:G1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46283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46283</v>
      </c>
      <c r="B3" s="15" t="inlineStr">
        <is>
          <t>petak</t>
        </is>
      </c>
      <c r="C3" s="10" t="inlineStr">
        <is>
          <t>Papir i karton (plavi spremnik)</t>
        </is>
      </c>
      <c r="D3" s="15" t="n"/>
    </row>
    <row r="4">
      <c r="A4" s="24" t="n">
        <v>46290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46290</v>
      </c>
      <c r="B5" s="15" t="inlineStr">
        <is>
          <t>petak</t>
        </is>
      </c>
      <c r="C5" s="9" t="inlineStr">
        <is>
          <t>Plastična i metalna ambalaža (žuti spremnik)</t>
        </is>
      </c>
      <c r="D5" s="15" t="n"/>
    </row>
    <row r="6">
      <c r="A6" s="24" t="n">
        <v>46297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46297</v>
      </c>
      <c r="B7" s="15" t="inlineStr">
        <is>
          <t>petak</t>
        </is>
      </c>
      <c r="C7" s="10" t="inlineStr">
        <is>
          <t>Papir i karton (plavi spremnik)</t>
        </is>
      </c>
      <c r="D7" s="15" t="n"/>
    </row>
    <row r="8">
      <c r="A8" s="24" t="n">
        <v>46304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46304</v>
      </c>
      <c r="B9" s="15" t="inlineStr">
        <is>
          <t>petak</t>
        </is>
      </c>
      <c r="C9" s="9" t="inlineStr">
        <is>
          <t>Plastična i metalna ambalaža (žuti spremnik)</t>
        </is>
      </c>
      <c r="D9" s="15" t="n"/>
    </row>
    <row r="10">
      <c r="A10" s="24" t="n">
        <v>46311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46311</v>
      </c>
      <c r="B11" s="15" t="inlineStr">
        <is>
          <t>petak</t>
        </is>
      </c>
      <c r="C11" s="10" t="inlineStr">
        <is>
          <t>Papir i karton (plavi spremnik)</t>
        </is>
      </c>
      <c r="D11" s="15" t="n"/>
    </row>
    <row r="12">
      <c r="A12" s="24" t="n">
        <v>46318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46318</v>
      </c>
      <c r="B13" s="15" t="inlineStr">
        <is>
          <t>petak</t>
        </is>
      </c>
      <c r="C13" s="9" t="inlineStr">
        <is>
          <t>Plastična i metalna ambalaža (žuti spremnik)</t>
        </is>
      </c>
      <c r="D13" s="15" t="n"/>
    </row>
    <row r="14">
      <c r="A14" s="24" t="n">
        <v>46325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46325</v>
      </c>
      <c r="B15" s="15" t="inlineStr">
        <is>
          <t>petak</t>
        </is>
      </c>
      <c r="C15" s="10" t="inlineStr">
        <is>
          <t>Papir i karton (plavi spremnik)</t>
        </is>
      </c>
      <c r="D15" s="15" t="n"/>
    </row>
    <row r="16">
      <c r="A16" s="24" t="n">
        <v>46332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46332</v>
      </c>
      <c r="B17" s="15" t="inlineStr">
        <is>
          <t>petak</t>
        </is>
      </c>
      <c r="C17" s="9" t="inlineStr">
        <is>
          <t>Plastična i metalna ambalaža (žuti spremnik)</t>
        </is>
      </c>
      <c r="D17" s="15" t="n"/>
    </row>
    <row r="18">
      <c r="A18" s="24" t="n">
        <v>46339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46339</v>
      </c>
      <c r="B19" s="15" t="inlineStr">
        <is>
          <t>petak</t>
        </is>
      </c>
      <c r="C19" s="10" t="inlineStr">
        <is>
          <t>Papir i karton (plavi spremnik)</t>
        </is>
      </c>
      <c r="D19" s="15" t="n"/>
    </row>
    <row r="20">
      <c r="A20" s="24" t="n">
        <v>46346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46346</v>
      </c>
      <c r="B21" s="15" t="inlineStr">
        <is>
          <t>petak</t>
        </is>
      </c>
      <c r="C21" s="9" t="inlineStr">
        <is>
          <t>Plastična i metalna ambalaža (žuti spremnik)</t>
        </is>
      </c>
      <c r="D21" s="15" t="n"/>
    </row>
    <row r="22">
      <c r="A22" s="24" t="n">
        <v>46353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46353</v>
      </c>
      <c r="B23" s="15" t="inlineStr">
        <is>
          <t>petak</t>
        </is>
      </c>
      <c r="C23" s="10" t="inlineStr">
        <is>
          <t>Papir i karton (plavi spremnik)</t>
        </is>
      </c>
      <c r="D23" s="15" t="n"/>
    </row>
    <row r="24">
      <c r="A24" s="24" t="n">
        <v>46360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46360</v>
      </c>
      <c r="B25" s="15" t="inlineStr">
        <is>
          <t>petak</t>
        </is>
      </c>
      <c r="C25" s="9" t="inlineStr">
        <is>
          <t>Plastična i metalna ambalaža (žuti spremnik)</t>
        </is>
      </c>
      <c r="D25" s="15" t="n"/>
    </row>
    <row r="26">
      <c r="A26" s="24" t="n">
        <v>46367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46367</v>
      </c>
      <c r="B27" s="15" t="inlineStr">
        <is>
          <t>petak</t>
        </is>
      </c>
      <c r="C27" s="10" t="inlineStr">
        <is>
          <t>Papir i karton (plavi spremnik)</t>
        </is>
      </c>
      <c r="D27" s="15" t="n"/>
    </row>
    <row r="28">
      <c r="A28" s="24" t="n">
        <v>46374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46374</v>
      </c>
      <c r="B29" s="15" t="inlineStr">
        <is>
          <t>petak</t>
        </is>
      </c>
      <c r="C29" s="9" t="inlineStr">
        <is>
          <t>Plastična i metalna ambalaža (žuti spremnik)</t>
        </is>
      </c>
      <c r="D29" s="15" t="n"/>
    </row>
    <row r="30">
      <c r="A30" s="24" t="n">
        <v>46382</v>
      </c>
      <c r="B30" s="15" t="inlineStr">
        <is>
          <t>subota</t>
        </is>
      </c>
      <c r="C30" s="5" t="inlineStr">
        <is>
          <t>Miješani komunalni otpad</t>
        </is>
      </c>
      <c r="D30" s="15" t="inlineStr">
        <is>
          <t>Pomaknuto zbog neradnog dana u tjednu</t>
        </is>
      </c>
    </row>
    <row r="31">
      <c r="A31" s="24" t="n">
        <v>46382</v>
      </c>
      <c r="B31" s="15" t="inlineStr">
        <is>
          <t>subota</t>
        </is>
      </c>
      <c r="C31" s="10" t="inlineStr">
        <is>
          <t>Papir i karton (plavi spremnik)</t>
        </is>
      </c>
      <c r="D31" s="15" t="inlineStr">
        <is>
          <t>Pomaknuto zbog neradnog dana u tjednu</t>
        </is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(Labin): ulice i naselja</t>
        </is>
      </c>
    </row>
    <row r="2">
      <c r="A2" s="20" t="inlineStr">
        <is>
          <t>STARCI | ROGOČANA, KRANJCI, BARTIĆI</t>
        </is>
      </c>
    </row>
    <row r="4">
      <c r="A4" s="4" t="inlineStr">
        <is>
          <t>Ulica / naselje</t>
        </is>
      </c>
    </row>
    <row r="5">
      <c r="A5" s="15" t="inlineStr">
        <is>
          <t>Starci</t>
        </is>
      </c>
    </row>
    <row r="6">
      <c r="A6" s="15" t="inlineStr">
        <is>
          <t>Rogočana</t>
        </is>
      </c>
    </row>
    <row r="7">
      <c r="A7" s="15" t="inlineStr">
        <is>
          <t>Kranjci</t>
        </is>
      </c>
    </row>
    <row r="8">
      <c r="A8" s="15" t="inlineStr">
        <is>
          <t>Bartići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
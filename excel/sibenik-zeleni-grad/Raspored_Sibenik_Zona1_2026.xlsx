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'Raspored'!$A$4:$G$121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Plastika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Papir i karton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COUNTIFS(Raspored!$C$5:$C$121,$A12,Raspored!$D$5:$D$121,"x")</f>
        <v/>
      </c>
      <c r="C12" s="7">
        <f>COUNTIFS(Raspored!$C$5:$C$121,$A12,Raspored!$E$5:$E$121,"x")</f>
        <v/>
      </c>
      <c r="D12" s="7">
        <f>COUNTIFS(Raspored!$C$5:$C$121,$A12,Raspored!$F$5:$F$121,"x")</f>
        <v/>
      </c>
    </row>
    <row r="13">
      <c r="A13" s="15" t="inlineStr">
        <is>
          <t>veljača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</row>
    <row r="14">
      <c r="A14" s="15" t="inlineStr">
        <is>
          <t>ožujak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</row>
    <row r="15">
      <c r="A15" s="15" t="inlineStr">
        <is>
          <t>travanj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</row>
    <row r="16">
      <c r="A16" s="15" t="inlineStr">
        <is>
          <t>svibanj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</row>
    <row r="17">
      <c r="A17" s="15" t="inlineStr">
        <is>
          <t>lipanj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</row>
    <row r="18">
      <c r="A18" s="15" t="inlineStr">
        <is>
          <t>srpanj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</row>
    <row r="19">
      <c r="A19" s="15" t="inlineStr">
        <is>
          <t>kolovoz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</row>
    <row r="20">
      <c r="A20" s="15" t="inlineStr">
        <is>
          <t>rujan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</row>
    <row r="21">
      <c r="A21" s="15" t="inlineStr">
        <is>
          <t>listopad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</row>
    <row r="22">
      <c r="A22" s="15" t="inlineStr">
        <is>
          <t>studeni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</row>
    <row r="23">
      <c r="A23" s="15" t="inlineStr">
        <is>
          <t>prosinac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Dio ulice ima podzemne spremnike: Bože Peričića.</t>
        </is>
      </c>
    </row>
    <row r="28">
      <c r="A28" s="19" t="inlineStr">
        <is>
          <t>• Korisni otpad: žuti spremnik (plastika) i plavi spremnik (papir i karton) odvoze se isti dan, jednom mjesečno.</t>
        </is>
      </c>
    </row>
    <row r="29">
      <c r="A29" s="19" t="inlineStr">
        <is>
          <t>• Zeleni grad ne objavljuje pomake zbog blagdana: datumi su izračunati prema pravilima i za blagdane (odvoz kao inače).</t>
        </is>
      </c>
    </row>
    <row r="30">
      <c r="A30" s="19" t="inlineStr">
        <is>
          <t>• Glomazni otpad: jednom godišnje do 3 m³ s kućnog praga besplatno, na poziv 022/332-325.</t>
        </is>
      </c>
    </row>
    <row r="31">
      <c r="A31" s="19" t="inlineStr">
        <is>
          <t>• Reciklažno dvorište Bikarac, Đelalija 12A, Donje Polje, 7–17 h.</t>
        </is>
      </c>
    </row>
    <row r="32">
      <c r="A32" s="19" t="inlineStr">
        <is>
          <t>• Raspored nema godinu; stranica https://zeleni-grad.hr/za-korisnike/ zadnji put je izmijenjena 31.01.2024.</t>
        </is>
      </c>
    </row>
    <row r="33">
      <c r="A33" s="19" t="inlineStr">
        <is>
          <t>• Bez dana odvoza za kućanstva (samo podzemni spremnici) je 119 ulica: Baldekin I 7, Baldekin II 3, Baldekin III 4, Plišac 17, Stari grad 88; nisu u ovom rasporedu.</t>
        </is>
      </c>
    </row>
    <row r="34">
      <c r="A34" s="19" t="inlineStr">
        <is>
          <t>• Korisni otpad Plišac: 2. utorak u mjesecu (ulice imaju samo podzemne spremnike za miješani otpad).</t>
        </is>
      </c>
    </row>
    <row r="35">
      <c r="A35" s="19" t="inlineStr">
        <is>
          <t>• Korisni otpad Rokići: 2. utorak u mjesecu (u tablici ulica nije posebno označen).</t>
        </is>
      </c>
    </row>
    <row r="36">
      <c r="A36" s="19" t="inlineStr">
        <is>
          <t>• Korisni otpad Škopinac: 2. utorak u mjesecu (u tablici ulica nije posebno označen).</t>
        </is>
      </c>
    </row>
    <row r="37">
      <c r="A37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46125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46153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46181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46198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46209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46212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46216</v>
      </c>
      <c r="B66" s="7" t="inlineStr">
        <is>
          <t>ponedjeljak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46219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46240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46244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46247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46268</v>
      </c>
      <c r="B83" s="7" t="inlineStr">
        <is>
          <t>četvrtak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46272</v>
      </c>
      <c r="B84" s="7" t="inlineStr">
        <is>
          <t>ponedjeljak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46273</v>
      </c>
      <c r="B85" s="7" t="inlineStr">
        <is>
          <t>utorak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inlineStr">
        <is>
          <t>x</t>
        </is>
      </c>
      <c r="G85" s="21" t="n"/>
    </row>
    <row r="86">
      <c r="A86" s="6" t="n">
        <v>46275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46282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46303</v>
      </c>
      <c r="B94" s="7" t="inlineStr">
        <is>
          <t>četvrtak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46307</v>
      </c>
      <c r="B95" s="7" t="inlineStr">
        <is>
          <t>ponedjeljak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46308</v>
      </c>
      <c r="B96" s="7" t="inlineStr">
        <is>
          <t>utorak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inlineStr">
        <is>
          <t>x</t>
        </is>
      </c>
      <c r="G96" s="21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46335</v>
      </c>
      <c r="B104" s="7" t="inlineStr">
        <is>
          <t>ponedjeljak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inlineStr">
        <is>
          <t>x</t>
        </is>
      </c>
      <c r="G105" s="21" t="n"/>
    </row>
    <row r="106">
      <c r="A106" s="6" t="n">
        <v>46338</v>
      </c>
      <c r="B106" s="7" t="inlineStr">
        <is>
          <t>četvrtak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46345</v>
      </c>
      <c r="B108" s="7" t="inlineStr">
        <is>
          <t>četvrtak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46359</v>
      </c>
      <c r="B112" s="7" t="inlineStr">
        <is>
          <t>četvrtak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46363</v>
      </c>
      <c r="B113" s="7" t="inlineStr">
        <is>
          <t>ponedjeljak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46364</v>
      </c>
      <c r="B114" s="7" t="inlineStr">
        <is>
          <t>utorak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inlineStr">
        <is>
          <t>x</t>
        </is>
      </c>
      <c r="G114" s="21" t="n"/>
    </row>
    <row r="115">
      <c r="A115" s="6" t="n">
        <v>46366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46373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46380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46387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</sheetData>
  <autoFilter ref="A4:G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A5:G12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2" t="n">
        <v>46035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46063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2" t="n">
        <v>46063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46065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46069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46072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46076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46091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2" t="n">
        <v>46091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46093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46097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46104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46107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46121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46126</v>
      </c>
      <c r="B38" s="15" t="inlineStr">
        <is>
          <t>utorak</t>
        </is>
      </c>
      <c r="C38" s="9" t="inlineStr">
        <is>
          <t>Plastika</t>
        </is>
      </c>
      <c r="D38" s="15" t="n"/>
    </row>
    <row r="39">
      <c r="A39" s="22" t="n">
        <v>46126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2" t="n">
        <v>46128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46132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46135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46142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46153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46154</v>
      </c>
      <c r="B48" s="15" t="inlineStr">
        <is>
          <t>utorak</t>
        </is>
      </c>
      <c r="C48" s="9" t="inlineStr">
        <is>
          <t>Plastika</t>
        </is>
      </c>
      <c r="D48" s="15" t="n"/>
    </row>
    <row r="49">
      <c r="A49" s="22" t="n">
        <v>46154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46156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46160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46163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46167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46170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46182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2" t="n">
        <v>46182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2" t="n">
        <v>46184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46188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46191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46212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46216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46217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2" t="n">
        <v>46217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46219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46240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46244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46245</v>
      </c>
      <c r="B80" s="15" t="inlineStr">
        <is>
          <t>utorak</t>
        </is>
      </c>
      <c r="C80" s="9" t="inlineStr">
        <is>
          <t>Plastika</t>
        </is>
      </c>
      <c r="D80" s="15" t="n"/>
    </row>
    <row r="81">
      <c r="A81" s="22" t="n">
        <v>46245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2" t="n">
        <v>46247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46251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46254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46258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46261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46268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46272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46273</v>
      </c>
      <c r="B90" s="15" t="inlineStr">
        <is>
          <t>utorak</t>
        </is>
      </c>
      <c r="C90" s="9" t="inlineStr">
        <is>
          <t>Plastika</t>
        </is>
      </c>
      <c r="D90" s="15" t="n"/>
    </row>
    <row r="91">
      <c r="A91" s="22" t="n">
        <v>46273</v>
      </c>
      <c r="B91" s="15" t="inlineStr">
        <is>
          <t>utorak</t>
        </is>
      </c>
      <c r="C91" s="10" t="inlineStr">
        <is>
          <t>Papir i karton</t>
        </is>
      </c>
      <c r="D91" s="15" t="n"/>
    </row>
    <row r="92">
      <c r="A92" s="22" t="n">
        <v>46275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46279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46282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46286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46289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46303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46307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46308</v>
      </c>
      <c r="B102" s="15" t="inlineStr">
        <is>
          <t>utorak</t>
        </is>
      </c>
      <c r="C102" s="9" t="inlineStr">
        <is>
          <t>Plastika</t>
        </is>
      </c>
      <c r="D102" s="15" t="n"/>
    </row>
    <row r="103">
      <c r="A103" s="22" t="n">
        <v>46308</v>
      </c>
      <c r="B103" s="15" t="inlineStr">
        <is>
          <t>utorak</t>
        </is>
      </c>
      <c r="C103" s="10" t="inlineStr">
        <is>
          <t>Papir i karton</t>
        </is>
      </c>
      <c r="D103" s="15" t="n"/>
    </row>
    <row r="104">
      <c r="A104" s="22" t="n">
        <v>46310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46314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46317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46331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46335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46336</v>
      </c>
      <c r="B112" s="15" t="inlineStr">
        <is>
          <t>utorak</t>
        </is>
      </c>
      <c r="C112" s="9" t="inlineStr">
        <is>
          <t>Plastika</t>
        </is>
      </c>
      <c r="D112" s="15" t="n"/>
    </row>
    <row r="113">
      <c r="A113" s="22" t="n">
        <v>46336</v>
      </c>
      <c r="B113" s="15" t="inlineStr">
        <is>
          <t>utorak</t>
        </is>
      </c>
      <c r="C113" s="10" t="inlineStr">
        <is>
          <t>Papir i karton</t>
        </is>
      </c>
      <c r="D113" s="15" t="n"/>
    </row>
    <row r="114">
      <c r="A114" s="22" t="n">
        <v>46338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46342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46345</v>
      </c>
      <c r="B116" s="15" t="inlineStr">
        <is>
          <t>četvrtak</t>
        </is>
      </c>
      <c r="C116" s="5" t="inlineStr">
        <is>
          <t>Miješani komunalni otpad</t>
        </is>
      </c>
      <c r="D116" s="15" t="n"/>
    </row>
    <row r="117">
      <c r="A117" s="22" t="n">
        <v>46349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46352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46359</v>
      </c>
      <c r="B120" s="15" t="inlineStr">
        <is>
          <t>četvrtak</t>
        </is>
      </c>
      <c r="C120" s="5" t="inlineStr">
        <is>
          <t>Miješani komunalni otpad</t>
        </is>
      </c>
      <c r="D120" s="15" t="n"/>
    </row>
    <row r="121">
      <c r="A121" s="22" t="n">
        <v>46363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46364</v>
      </c>
      <c r="B122" s="15" t="inlineStr">
        <is>
          <t>utorak</t>
        </is>
      </c>
      <c r="C122" s="9" t="inlineStr">
        <is>
          <t>Plastika</t>
        </is>
      </c>
      <c r="D122" s="15" t="n"/>
    </row>
    <row r="123">
      <c r="A123" s="22" t="n">
        <v>46364</v>
      </c>
      <c r="B123" s="15" t="inlineStr">
        <is>
          <t>utorak</t>
        </is>
      </c>
      <c r="C123" s="10" t="inlineStr">
        <is>
          <t>Papir i karton</t>
        </is>
      </c>
      <c r="D123" s="15" t="n"/>
    </row>
    <row r="124">
      <c r="A124" s="22" t="n">
        <v>46366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46370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46373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  <row r="127">
      <c r="A127" s="22" t="n">
        <v>46377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46380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46387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(Šibenik): ulice i naselja</t>
        </is>
      </c>
    </row>
    <row r="2">
      <c r="A2" s="20" t="inlineStr">
        <is>
          <t>Baldekin II, Baldekin III, Varoš</t>
        </is>
      </c>
    </row>
    <row r="4">
      <c r="A4" s="4" t="inlineStr">
        <is>
          <t>Ulica / naselje</t>
        </is>
      </c>
    </row>
    <row r="5">
      <c r="A5" s="15" t="inlineStr">
        <is>
          <t>Ante Šantića</t>
        </is>
      </c>
    </row>
    <row r="6">
      <c r="A6" s="15" t="inlineStr">
        <is>
          <t>Bosanska</t>
        </is>
      </c>
    </row>
    <row r="7">
      <c r="A7" s="15" t="inlineStr">
        <is>
          <t>Bosiljke Fulgozi</t>
        </is>
      </c>
    </row>
    <row r="8">
      <c r="A8" s="15" t="inlineStr">
        <is>
          <t>Bože Peričića</t>
        </is>
      </c>
    </row>
    <row r="9">
      <c r="A9" s="15" t="inlineStr">
        <is>
          <t>Dubrovačka</t>
        </is>
      </c>
    </row>
    <row r="10">
      <c r="A10" s="15" t="inlineStr">
        <is>
          <t>Frane Supila (Baldekin III)</t>
        </is>
      </c>
    </row>
    <row r="11">
      <c r="A11" s="15" t="inlineStr">
        <is>
          <t>Gospićka ulica</t>
        </is>
      </c>
    </row>
    <row r="12">
      <c r="A12" s="15" t="inlineStr">
        <is>
          <t>Istarska (Varoš)</t>
        </is>
      </c>
    </row>
    <row r="13">
      <c r="A13" s="15" t="inlineStr">
        <is>
          <t>Jadrijska ulica</t>
        </is>
      </c>
    </row>
    <row r="14">
      <c r="A14" s="15" t="inlineStr">
        <is>
          <t>Jurja Štrosmajera</t>
        </is>
      </c>
    </row>
    <row r="15">
      <c r="A15" s="15" t="inlineStr">
        <is>
          <t>Karla Vipauca</t>
        </is>
      </c>
    </row>
    <row r="16">
      <c r="A16" s="15" t="inlineStr">
        <is>
          <t>Mariborska</t>
        </is>
      </c>
    </row>
    <row r="17">
      <c r="A17" s="15" t="inlineStr">
        <is>
          <t>Marka Marulića</t>
        </is>
      </c>
    </row>
    <row r="18">
      <c r="A18" s="15" t="inlineStr">
        <is>
          <t>Matije Gupca</t>
        </is>
      </c>
    </row>
    <row r="19">
      <c r="A19" s="15" t="inlineStr">
        <is>
          <t>Mažurica</t>
        </is>
      </c>
    </row>
    <row r="20">
      <c r="A20" s="15" t="inlineStr">
        <is>
          <t>Miminac</t>
        </is>
      </c>
    </row>
    <row r="21">
      <c r="A21" s="15" t="inlineStr">
        <is>
          <t>Mostarska</t>
        </is>
      </c>
    </row>
    <row r="22">
      <c r="A22" s="15" t="inlineStr">
        <is>
          <t>Petra Grubišića</t>
        </is>
      </c>
    </row>
    <row r="23">
      <c r="A23" s="15" t="inlineStr">
        <is>
          <t>Petra Zoranića</t>
        </is>
      </c>
    </row>
    <row r="24">
      <c r="A24" s="15" t="inlineStr">
        <is>
          <t>Put 1. Šibenskog Partiz. Odreda (Baldekin II)</t>
        </is>
      </c>
    </row>
    <row r="25">
      <c r="A25" s="15" t="inlineStr">
        <is>
          <t>Put Luguša (Baldekin II)</t>
        </is>
      </c>
    </row>
    <row r="26">
      <c r="A26" s="15" t="inlineStr">
        <is>
          <t>Put Rokića</t>
        </is>
      </c>
    </row>
    <row r="27">
      <c r="A27" s="15" t="inlineStr">
        <is>
          <t>Put Vuka Mandušića (Varoš)</t>
        </is>
      </c>
    </row>
    <row r="28">
      <c r="A28" s="15" t="inlineStr">
        <is>
          <t>Ruže Vukman</t>
        </is>
      </c>
    </row>
    <row r="29">
      <c r="A29" s="15" t="inlineStr">
        <is>
          <t>Sedmog Kontinenta (Varoš)</t>
        </is>
      </c>
    </row>
    <row r="30">
      <c r="A30" s="15" t="inlineStr">
        <is>
          <t>Težačka</t>
        </is>
      </c>
    </row>
    <row r="31">
      <c r="A31" s="15" t="inlineStr">
        <is>
          <t>Tijatska (Varoš)</t>
        </is>
      </c>
    </row>
    <row r="32">
      <c r="A32" s="15" t="inlineStr">
        <is>
          <t>Tina Ujevića</t>
        </is>
      </c>
    </row>
    <row r="33">
      <c r="A33" s="15" t="inlineStr">
        <is>
          <t>Triglavska</t>
        </is>
      </c>
    </row>
    <row r="34">
      <c r="A34" s="15" t="inlineStr">
        <is>
          <t>Ulica Majke Klare Žižić</t>
        </is>
      </c>
    </row>
    <row r="35">
      <c r="A35" s="15" t="inlineStr">
        <is>
          <t>Velebitska</t>
        </is>
      </c>
    </row>
    <row r="36">
      <c r="A36" s="15" t="inlineStr">
        <is>
          <t>Velimira Škorpika (Baldekin III)</t>
        </is>
      </c>
    </row>
    <row r="37">
      <c r="A37" s="15" t="inlineStr">
        <is>
          <t>Vukovarska ulica</t>
        </is>
      </c>
    </row>
    <row r="38">
      <c r="A38" s="15" t="inlineStr">
        <is>
          <t>Zadarska (Varoš)</t>
        </is>
      </c>
    </row>
    <row r="39">
      <c r="A39" s="15" t="inlineStr">
        <is>
          <t>Zagorska</t>
        </is>
      </c>
    </row>
    <row r="40">
      <c r="A40" s="15" t="inlineStr">
        <is>
          <t>Zdravke Bege</t>
        </is>
      </c>
    </row>
    <row r="41">
      <c r="A41" s="15" t="inlineStr">
        <is>
          <t>Žirjanska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
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'Raspored'!$A$4:$G$121</definedName>
    <definedName name="_xlnm._FilterDatabase" localSheetId="2" hidden="1">'Po vrsti'!$A$1:$D$130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Plastika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Papir i karton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COUNTIFS(Raspored!$C$5:$C$121,$A12,Raspored!$D$5:$D$121,"x")</f>
        <v/>
      </c>
      <c r="C12" s="7">
        <f>COUNTIFS(Raspored!$C$5:$C$121,$A12,Raspored!$E$5:$E$121,"x")</f>
        <v/>
      </c>
      <c r="D12" s="7">
        <f>COUNTIFS(Raspored!$C$5:$C$121,$A12,Raspored!$F$5:$F$121,"x")</f>
        <v/>
      </c>
    </row>
    <row r="13">
      <c r="A13" s="15" t="inlineStr">
        <is>
          <t>veljača</t>
        </is>
      </c>
      <c r="B13" s="7">
        <f>COUNTIFS(Raspored!$C$5:$C$121,$A13,Raspored!$D$5:$D$121,"x")</f>
        <v/>
      </c>
      <c r="C13" s="7">
        <f>COUNTIFS(Raspored!$C$5:$C$121,$A13,Raspored!$E$5:$E$121,"x")</f>
        <v/>
      </c>
      <c r="D13" s="7">
        <f>COUNTIFS(Raspored!$C$5:$C$121,$A13,Raspored!$F$5:$F$121,"x")</f>
        <v/>
      </c>
    </row>
    <row r="14">
      <c r="A14" s="15" t="inlineStr">
        <is>
          <t>ožujak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</row>
    <row r="15">
      <c r="A15" s="15" t="inlineStr">
        <is>
          <t>travanj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</row>
    <row r="16">
      <c r="A16" s="15" t="inlineStr">
        <is>
          <t>svibanj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</row>
    <row r="17">
      <c r="A17" s="15" t="inlineStr">
        <is>
          <t>lipanj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</row>
    <row r="18">
      <c r="A18" s="15" t="inlineStr">
        <is>
          <t>srpanj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</row>
    <row r="19">
      <c r="A19" s="15" t="inlineStr">
        <is>
          <t>kolovoz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</row>
    <row r="20">
      <c r="A20" s="15" t="inlineStr">
        <is>
          <t>rujan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</row>
    <row r="21">
      <c r="A21" s="15" t="inlineStr">
        <is>
          <t>listopad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</row>
    <row r="22">
      <c r="A22" s="15" t="inlineStr">
        <is>
          <t>studeni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</row>
    <row r="23">
      <c r="A23" s="15" t="inlineStr">
        <is>
          <t>prosinac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19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46086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46121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46147</v>
      </c>
      <c r="B45" s="7" t="inlineStr">
        <is>
          <t>utorak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46175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46177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46198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46209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46212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46219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46240</v>
      </c>
      <c r="B75" s="7" t="inlineStr">
        <is>
          <t>četvrtak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46247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46266</v>
      </c>
      <c r="B83" s="7" t="inlineStr">
        <is>
          <t>utorak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46268</v>
      </c>
      <c r="B84" s="7" t="inlineStr">
        <is>
          <t>četvrtak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46272</v>
      </c>
      <c r="B85" s="7" t="inlineStr">
        <is>
          <t>ponedjeljak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46275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46282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46301</v>
      </c>
      <c r="B94" s="7" t="inlineStr">
        <is>
          <t>utorak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46303</v>
      </c>
      <c r="B95" s="7" t="inlineStr">
        <is>
          <t>četvrtak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46331</v>
      </c>
      <c r="B104" s="7" t="inlineStr">
        <is>
          <t>četvrtak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46335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46338</v>
      </c>
      <c r="B106" s="7" t="inlineStr">
        <is>
          <t>četvrtak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46345</v>
      </c>
      <c r="B108" s="7" t="inlineStr">
        <is>
          <t>četvrtak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46357</v>
      </c>
      <c r="B112" s="7" t="inlineStr">
        <is>
          <t>utorak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46359</v>
      </c>
      <c r="B113" s="7" t="inlineStr">
        <is>
          <t>četvrtak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46363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46366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46373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46380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46387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</sheetData>
  <autoFilter ref="A4:G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A5:G12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9" t="inlineStr">
        <is>
          <t>Plastika</t>
        </is>
      </c>
      <c r="D4" s="15" t="n"/>
    </row>
    <row r="5">
      <c r="A5" s="22" t="n">
        <v>46028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2" t="n">
        <v>46030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46044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46051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46056</v>
      </c>
      <c r="B14" s="15" t="inlineStr">
        <is>
          <t>utorak</t>
        </is>
      </c>
      <c r="C14" s="9" t="inlineStr">
        <is>
          <t>Plastika</t>
        </is>
      </c>
      <c r="D14" s="15" t="n"/>
    </row>
    <row r="15">
      <c r="A15" s="22" t="n">
        <v>46056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46058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46065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46069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46072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46076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46079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46084</v>
      </c>
      <c r="B24" s="15" t="inlineStr">
        <is>
          <t>utorak</t>
        </is>
      </c>
      <c r="C24" s="9" t="inlineStr">
        <is>
          <t>Plastika</t>
        </is>
      </c>
      <c r="D24" s="15" t="n"/>
    </row>
    <row r="25">
      <c r="A25" s="22" t="n">
        <v>46084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46086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46090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46093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46097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46100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46104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46107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46111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46114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46119</v>
      </c>
      <c r="B36" s="15" t="inlineStr">
        <is>
          <t>utorak</t>
        </is>
      </c>
      <c r="C36" s="9" t="inlineStr">
        <is>
          <t>Plastika</t>
        </is>
      </c>
      <c r="D36" s="15" t="n"/>
    </row>
    <row r="37">
      <c r="A37" s="22" t="n">
        <v>46119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46121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46125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46128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46132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46135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46139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46142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46147</v>
      </c>
      <c r="B46" s="15" t="inlineStr">
        <is>
          <t>utorak</t>
        </is>
      </c>
      <c r="C46" s="9" t="inlineStr">
        <is>
          <t>Plastika</t>
        </is>
      </c>
      <c r="D46" s="15" t="n"/>
    </row>
    <row r="47">
      <c r="A47" s="22" t="n">
        <v>46147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2" t="n">
        <v>46149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46153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46156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46160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46163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46167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46170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46175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2" t="n">
        <v>46175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2" t="n">
        <v>46177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46181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46184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46188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46191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46195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46210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2" t="n">
        <v>46210</v>
      </c>
      <c r="B69" s="15" t="inlineStr">
        <is>
          <t>utorak</t>
        </is>
      </c>
      <c r="C69" s="10" t="inlineStr">
        <is>
          <t>Papir i karton</t>
        </is>
      </c>
      <c r="D69" s="15" t="n"/>
    </row>
    <row r="70">
      <c r="A70" s="22" t="n">
        <v>46212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46216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46219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46230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46233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46237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46238</v>
      </c>
      <c r="B78" s="15" t="inlineStr">
        <is>
          <t>utorak</t>
        </is>
      </c>
      <c r="C78" s="9" t="inlineStr">
        <is>
          <t>Plastika</t>
        </is>
      </c>
      <c r="D78" s="15" t="n"/>
    </row>
    <row r="79">
      <c r="A79" s="22" t="n">
        <v>46238</v>
      </c>
      <c r="B79" s="15" t="inlineStr">
        <is>
          <t>utorak</t>
        </is>
      </c>
      <c r="C79" s="10" t="inlineStr">
        <is>
          <t>Papir i karton</t>
        </is>
      </c>
      <c r="D79" s="15" t="n"/>
    </row>
    <row r="80">
      <c r="A80" s="22" t="n">
        <v>46240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46244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46247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46251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46254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46258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46261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46265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46266</v>
      </c>
      <c r="B88" s="15" t="inlineStr">
        <is>
          <t>utorak</t>
        </is>
      </c>
      <c r="C88" s="9" t="inlineStr">
        <is>
          <t>Plastika</t>
        </is>
      </c>
      <c r="D88" s="15" t="n"/>
    </row>
    <row r="89">
      <c r="A89" s="22" t="n">
        <v>46266</v>
      </c>
      <c r="B89" s="15" t="inlineStr">
        <is>
          <t>utorak</t>
        </is>
      </c>
      <c r="C89" s="10" t="inlineStr">
        <is>
          <t>Papir i karton</t>
        </is>
      </c>
      <c r="D89" s="15" t="n"/>
    </row>
    <row r="90">
      <c r="A90" s="22" t="n">
        <v>46268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46272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46275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46279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46282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46286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46289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46293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46300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46301</v>
      </c>
      <c r="B100" s="15" t="inlineStr">
        <is>
          <t>utorak</t>
        </is>
      </c>
      <c r="C100" s="9" t="inlineStr">
        <is>
          <t>Plastika</t>
        </is>
      </c>
      <c r="D100" s="15" t="n"/>
    </row>
    <row r="101">
      <c r="A101" s="22" t="n">
        <v>46301</v>
      </c>
      <c r="B101" s="15" t="inlineStr">
        <is>
          <t>utorak</t>
        </is>
      </c>
      <c r="C101" s="10" t="inlineStr">
        <is>
          <t>Papir i karton</t>
        </is>
      </c>
      <c r="D101" s="15" t="n"/>
    </row>
    <row r="102">
      <c r="A102" s="22" t="n">
        <v>46303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46307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46310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46314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46317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46321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46324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2" t="n">
        <v>46328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46329</v>
      </c>
      <c r="B110" s="15" t="inlineStr">
        <is>
          <t>utorak</t>
        </is>
      </c>
      <c r="C110" s="9" t="inlineStr">
        <is>
          <t>Plastika</t>
        </is>
      </c>
      <c r="D110" s="15" t="n"/>
    </row>
    <row r="111">
      <c r="A111" s="22" t="n">
        <v>46329</v>
      </c>
      <c r="B111" s="15" t="inlineStr">
        <is>
          <t>utorak</t>
        </is>
      </c>
      <c r="C111" s="10" t="inlineStr">
        <is>
          <t>Papir i karton</t>
        </is>
      </c>
      <c r="D111" s="15" t="n"/>
    </row>
    <row r="112">
      <c r="A112" s="22" t="n">
        <v>46331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46335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46338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46342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46345</v>
      </c>
      <c r="B116" s="15" t="inlineStr">
        <is>
          <t>četvrtak</t>
        </is>
      </c>
      <c r="C116" s="5" t="inlineStr">
        <is>
          <t>Miješani komunalni otpad</t>
        </is>
      </c>
      <c r="D116" s="15" t="n"/>
    </row>
    <row r="117">
      <c r="A117" s="22" t="n">
        <v>46349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2" t="n">
        <v>46352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46356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46357</v>
      </c>
      <c r="B120" s="15" t="inlineStr">
        <is>
          <t>utorak</t>
        </is>
      </c>
      <c r="C120" s="9" t="inlineStr">
        <is>
          <t>Plastika</t>
        </is>
      </c>
      <c r="D120" s="15" t="n"/>
    </row>
    <row r="121">
      <c r="A121" s="22" t="n">
        <v>46357</v>
      </c>
      <c r="B121" s="15" t="inlineStr">
        <is>
          <t>utorak</t>
        </is>
      </c>
      <c r="C121" s="10" t="inlineStr">
        <is>
          <t>Papir i karton</t>
        </is>
      </c>
      <c r="D121" s="15" t="n"/>
    </row>
    <row r="122">
      <c r="A122" s="22" t="n">
        <v>46359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46363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46366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46370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46373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  <row r="127">
      <c r="A127" s="22" t="n">
        <v>46377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2" t="n">
        <v>46380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2" t="n">
        <v>46384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46387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</sheetData>
  <autoFilter ref="A1:D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(Šibenik): ulice i naselja</t>
        </is>
      </c>
    </row>
    <row r="2">
      <c r="A2" s="20" t="inlineStr">
        <is>
          <t>Građa, Šubićevac</t>
        </is>
      </c>
    </row>
    <row r="4">
      <c r="A4" s="4" t="inlineStr">
        <is>
          <t>Ulica / naselje</t>
        </is>
      </c>
    </row>
    <row r="5">
      <c r="A5" s="15" t="inlineStr">
        <is>
          <t>72. Bojne Vojne Policije</t>
        </is>
      </c>
    </row>
    <row r="6">
      <c r="A6" s="15" t="inlineStr">
        <is>
          <t>Bana I. Mažuranića</t>
        </is>
      </c>
    </row>
    <row r="7">
      <c r="A7" s="15" t="inlineStr">
        <is>
          <t>Bana Josipa Jelačića</t>
        </is>
      </c>
    </row>
    <row r="8">
      <c r="A8" s="15" t="inlineStr">
        <is>
          <t>Dubravski Put</t>
        </is>
      </c>
    </row>
    <row r="9">
      <c r="A9" s="15" t="inlineStr">
        <is>
          <t>Ivanjski Put</t>
        </is>
      </c>
    </row>
    <row r="10">
      <c r="A10" s="15" t="inlineStr">
        <is>
          <t>Put Jamnjaka</t>
        </is>
      </c>
    </row>
    <row r="11">
      <c r="A11" s="15" t="inlineStr">
        <is>
          <t>Put Jurasa I</t>
        </is>
      </c>
    </row>
    <row r="12">
      <c r="A12" s="15" t="inlineStr">
        <is>
          <t>Put Jurasa II</t>
        </is>
      </c>
    </row>
    <row r="13">
      <c r="A13" s="15" t="inlineStr">
        <is>
          <t>Put Jurasa III</t>
        </is>
      </c>
    </row>
    <row r="14">
      <c r="A14" s="15" t="inlineStr">
        <is>
          <t>Put Luguša (Šubićevac)</t>
        </is>
      </c>
    </row>
    <row r="15">
      <c r="A15" s="15" t="inlineStr">
        <is>
          <t>Put Tanaje (Šubićevac)</t>
        </is>
      </c>
    </row>
    <row r="16">
      <c r="A16" s="15" t="inlineStr">
        <is>
          <t>Sedmog Kontinenta (Šubićevac)</t>
        </is>
      </c>
    </row>
    <row r="17">
      <c r="A17" s="15" t="inlineStr">
        <is>
          <t>Stara cesta (Šubićevac)</t>
        </is>
      </c>
    </row>
    <row r="18">
      <c r="A18" s="15" t="inlineStr">
        <is>
          <t>Ulica 113. Šibenske Brigade HV-a (Šubićevac)</t>
        </is>
      </c>
    </row>
    <row r="19">
      <c r="A19" s="15" t="inlineStr">
        <is>
          <t>Ulica Šibenskih Vatrogasaca</t>
        </is>
      </c>
    </row>
    <row r="20">
      <c r="A20" s="15" t="inlineStr">
        <is>
          <t>Zadarska (Građa)</t>
        </is>
      </c>
    </row>
    <row r="21">
      <c r="A21" s="15" t="inlineStr">
        <is>
          <t>Đure Đakovića</t>
        </is>
      </c>
    </row>
    <row r="22">
      <c r="A22" s="15" t="inlineStr">
        <is>
          <t>Šubićevačko Šetalište (Šubićevac)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
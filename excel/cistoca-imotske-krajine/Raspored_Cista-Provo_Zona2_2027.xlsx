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</definedName>
    <definedName name="_xlnm._FilterDatabase" localSheetId="2" hidden="1">'Po vrsti'!$A$1:$D$9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Plastika (žuta vreća)</t>
        </is>
      </c>
      <c r="B6" s="6">
        <f>IFERROR(1/(1/_xlfn.MINIFS(Raspored!$A$5:$A$8,Raspored!$D$5:$D$8,"x",Raspored!$A$5:$A$8,"&gt;="&amp;$B$3)),"nema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COUNTIF(Raspored!$D$5:$D$8,"x")</f>
        <v/>
      </c>
    </row>
    <row r="7">
      <c r="A7" s="9" t="inlineStr">
        <is>
          <t>Papir (plava vreća)</t>
        </is>
      </c>
      <c r="B7" s="6">
        <f>IFERROR(1/(1/_xlfn.MINIFS(Raspored!$A$5:$A$8,Raspored!$E$5:$E$8,"x",Raspored!$A$5:$A$8,"&gt;="&amp;$B$3)),"nema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COUNTIF(Raspored!$E$5:$E$8,"x")</f>
        <v/>
      </c>
    </row>
    <row r="8">
      <c r="A8" s="10" t="inlineStr">
        <is>
          <t>Staklo (smeđa vreća)</t>
        </is>
      </c>
      <c r="B8" s="6">
        <f>IFERROR(1/(1/_xlfn.MINIFS(Raspored!$A$5:$A$8,Raspored!$F$5:$F$8,"x",Raspored!$A$5:$A$8,"&gt;="&amp;$B$3)),"nema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COUNTIF(Raspored!$F$5:$F$8,"x")</f>
        <v/>
      </c>
    </row>
    <row r="9">
      <c r="A9" s="11" t="inlineStr">
        <is>
          <t>Tekstil (narančasta vreća)</t>
        </is>
      </c>
      <c r="B9" s="6">
        <f>IFERROR(1/(1/_xlfn.MINIFS(Raspored!$A$5:$A$8,Raspored!$G$5:$G$8,"x",Raspored!$A$5:$A$8,"&gt;="&amp;$B$3)),"nema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(žuta vreća)</t>
        </is>
      </c>
      <c r="C12" s="14" t="inlineStr">
        <is>
          <t>Papir (plava vreća)</t>
        </is>
      </c>
      <c r="D12" s="15" t="inlineStr">
        <is>
          <t>Staklo (smeđa vreća)</t>
        </is>
      </c>
      <c r="E12" s="16" t="inlineStr">
        <is>
          <t>Tekstil (narančasta vreća)</t>
        </is>
      </c>
    </row>
    <row r="13">
      <c r="A13" s="17" t="inlineStr">
        <is>
          <t>siječanj</t>
        </is>
      </c>
      <c r="B13" s="7">
        <f>COUNTIFS(Raspored!$C$5:$C$8,$A13,Raspored!$D$5:$D$8,"x")</f>
        <v/>
      </c>
      <c r="C13" s="7">
        <f>COUNTIFS(Raspored!$C$5:$C$8,$A13,Raspored!$E$5:$E$8,"x")</f>
        <v/>
      </c>
      <c r="D13" s="7">
        <f>COUNTIFS(Raspored!$C$5:$C$8,$A13,Raspored!$F$5:$F$8,"x")</f>
        <v/>
      </c>
      <c r="E13" s="7">
        <f>COUNTIFS(Raspored!$C$5:$C$8,$A13,Raspored!$G$5:$G$8,"x")</f>
        <v/>
      </c>
    </row>
    <row r="14">
      <c r="A14" s="17" t="inlineStr">
        <is>
          <t>veljača</t>
        </is>
      </c>
      <c r="B14" s="7">
        <f>COUNTIFS(Raspored!$C$5:$C$8,$A14,Raspored!$D$5:$D$8,"x")</f>
        <v/>
      </c>
      <c r="C14" s="7">
        <f>COUNTIFS(Raspored!$C$5:$C$8,$A14,Raspored!$E$5:$E$8,"x")</f>
        <v/>
      </c>
      <c r="D14" s="7">
        <f>COUNTIFS(Raspored!$C$5:$C$8,$A14,Raspored!$F$5:$F$8,"x")</f>
        <v/>
      </c>
      <c r="E14" s="7">
        <f>COUNTIFS(Raspored!$C$5:$C$8,$A14,Raspored!$G$5:$G$8,"x")</f>
        <v/>
      </c>
    </row>
    <row r="15">
      <c r="A15" s="17" t="inlineStr">
        <is>
          <t>ožujak</t>
        </is>
      </c>
      <c r="B15" s="7">
        <f>COUNTIFS(Raspored!$C$5:$C$8,$A15,Raspored!$D$5:$D$8,"x")</f>
        <v/>
      </c>
      <c r="C15" s="7">
        <f>COUNTIFS(Raspored!$C$5:$C$8,$A15,Raspored!$E$5:$E$8,"x")</f>
        <v/>
      </c>
      <c r="D15" s="7">
        <f>COUNTIFS(Raspored!$C$5:$C$8,$A15,Raspored!$F$5:$F$8,"x")</f>
        <v/>
      </c>
      <c r="E15" s="7">
        <f>COUNTIFS(Raspored!$C$5:$C$8,$A15,Raspored!$G$5:$G$8,"x")</f>
        <v/>
      </c>
    </row>
    <row r="16">
      <c r="A16" s="17" t="inlineStr">
        <is>
          <t>travanj</t>
        </is>
      </c>
      <c r="B16" s="7">
        <f>COUNTIFS(Raspored!$C$5:$C$8,$A16,Raspored!$D$5:$D$8,"x")</f>
        <v/>
      </c>
      <c r="C16" s="7">
        <f>COUNTIFS(Raspored!$C$5:$C$8,$A16,Raspored!$E$5:$E$8,"x")</f>
        <v/>
      </c>
      <c r="D16" s="7">
        <f>COUNTIFS(Raspored!$C$5:$C$8,$A16,Raspored!$F$5:$F$8,"x")</f>
        <v/>
      </c>
      <c r="E16" s="7">
        <f>COUNTIFS(Raspored!$C$5:$C$8,$A16,Raspored!$G$5:$G$8,"x")</f>
        <v/>
      </c>
    </row>
    <row r="17">
      <c r="A17" s="17" t="inlineStr">
        <is>
          <t>svibanj</t>
        </is>
      </c>
      <c r="B17" s="7">
        <f>COUNTIFS(Raspored!$C$5:$C$8,$A17,Raspored!$D$5:$D$8,"x")</f>
        <v/>
      </c>
      <c r="C17" s="7">
        <f>COUNTIFS(Raspored!$C$5:$C$8,$A17,Raspored!$E$5:$E$8,"x")</f>
        <v/>
      </c>
      <c r="D17" s="7">
        <f>COUNTIFS(Raspored!$C$5:$C$8,$A17,Raspored!$F$5:$F$8,"x")</f>
        <v/>
      </c>
      <c r="E17" s="7">
        <f>COUNTIFS(Raspored!$C$5:$C$8,$A17,Raspored!$G$5:$G$8,"x")</f>
        <v/>
      </c>
    </row>
    <row r="18">
      <c r="A18" s="17" t="inlineStr">
        <is>
          <t>lipanj</t>
        </is>
      </c>
      <c r="B18" s="7">
        <f>COUNTIFS(Raspored!$C$5:$C$8,$A18,Raspored!$D$5:$D$8,"x")</f>
        <v/>
      </c>
      <c r="C18" s="7">
        <f>COUNTIFS(Raspored!$C$5:$C$8,$A18,Raspored!$E$5:$E$8,"x")</f>
        <v/>
      </c>
      <c r="D18" s="7">
        <f>COUNTIFS(Raspored!$C$5:$C$8,$A18,Raspored!$F$5:$F$8,"x")</f>
        <v/>
      </c>
      <c r="E18" s="7">
        <f>COUNTIFS(Raspored!$C$5:$C$8,$A18,Raspored!$G$5:$G$8,"x")</f>
        <v/>
      </c>
    </row>
    <row r="19">
      <c r="A19" s="17" t="inlineStr">
        <is>
          <t>srpanj</t>
        </is>
      </c>
      <c r="B19" s="7">
        <f>COUNTIFS(Raspored!$C$5:$C$8,$A19,Raspored!$D$5:$D$8,"x")</f>
        <v/>
      </c>
      <c r="C19" s="7">
        <f>COUNTIFS(Raspored!$C$5:$C$8,$A19,Raspored!$E$5:$E$8,"x")</f>
        <v/>
      </c>
      <c r="D19" s="7">
        <f>COUNTIFS(Raspored!$C$5:$C$8,$A19,Raspored!$F$5:$F$8,"x")</f>
        <v/>
      </c>
      <c r="E19" s="7">
        <f>COUNTIFS(Raspored!$C$5:$C$8,$A19,Raspored!$G$5:$G$8,"x")</f>
        <v/>
      </c>
    </row>
    <row r="20">
      <c r="A20" s="17" t="inlineStr">
        <is>
          <t>kolovoz</t>
        </is>
      </c>
      <c r="B20" s="7">
        <f>COUNTIFS(Raspored!$C$5:$C$8,$A20,Raspored!$D$5:$D$8,"x")</f>
        <v/>
      </c>
      <c r="C20" s="7">
        <f>COUNTIFS(Raspored!$C$5:$C$8,$A20,Raspored!$E$5:$E$8,"x")</f>
        <v/>
      </c>
      <c r="D20" s="7">
        <f>COUNTIFS(Raspored!$C$5:$C$8,$A20,Raspored!$F$5:$F$8,"x")</f>
        <v/>
      </c>
      <c r="E20" s="7">
        <f>COUNTIFS(Raspored!$C$5:$C$8,$A20,Raspored!$G$5:$G$8,"x")</f>
        <v/>
      </c>
    </row>
    <row r="21">
      <c r="A21" s="17" t="inlineStr">
        <is>
          <t>rujan</t>
        </is>
      </c>
      <c r="B21" s="7">
        <f>COUNTIFS(Raspored!$C$5:$C$8,$A21,Raspored!$D$5:$D$8,"x")</f>
        <v/>
      </c>
      <c r="C21" s="7">
        <f>COUNTIFS(Raspored!$C$5:$C$8,$A21,Raspored!$E$5:$E$8,"x")</f>
        <v/>
      </c>
      <c r="D21" s="7">
        <f>COUNTIFS(Raspored!$C$5:$C$8,$A21,Raspored!$F$5:$F$8,"x")</f>
        <v/>
      </c>
      <c r="E21" s="7">
        <f>COUNTIFS(Raspored!$C$5:$C$8,$A21,Raspored!$G$5:$G$8,"x")</f>
        <v/>
      </c>
    </row>
    <row r="22">
      <c r="A22" s="17" t="inlineStr">
        <is>
          <t>listopad</t>
        </is>
      </c>
      <c r="B22" s="7">
        <f>COUNTIFS(Raspored!$C$5:$C$8,$A22,Raspored!$D$5:$D$8,"x")</f>
        <v/>
      </c>
      <c r="C22" s="7">
        <f>COUNTIFS(Raspored!$C$5:$C$8,$A22,Raspored!$E$5:$E$8,"x")</f>
        <v/>
      </c>
      <c r="D22" s="7">
        <f>COUNTIFS(Raspored!$C$5:$C$8,$A22,Raspored!$F$5:$F$8,"x")</f>
        <v/>
      </c>
      <c r="E22" s="7">
        <f>COUNTIFS(Raspored!$C$5:$C$8,$A22,Raspored!$G$5:$G$8,"x")</f>
        <v/>
      </c>
    </row>
    <row r="23">
      <c r="A23" s="17" t="inlineStr">
        <is>
          <t>studeni</t>
        </is>
      </c>
      <c r="B23" s="7">
        <f>COUNTIFS(Raspored!$C$5:$C$8,$A23,Raspored!$D$5:$D$8,"x")</f>
        <v/>
      </c>
      <c r="C23" s="7">
        <f>COUNTIFS(Raspored!$C$5:$C$8,$A23,Raspored!$E$5:$E$8,"x")</f>
        <v/>
      </c>
      <c r="D23" s="7">
        <f>COUNTIFS(Raspored!$C$5:$C$8,$A23,Raspored!$F$5:$F$8,"x")</f>
        <v/>
      </c>
      <c r="E23" s="7">
        <f>COUNTIFS(Raspored!$C$5:$C$8,$A23,Raspored!$G$5:$G$8,"x")</f>
        <v/>
      </c>
    </row>
    <row r="24">
      <c r="A24" s="17" t="inlineStr">
        <is>
          <t>prosinac</t>
        </is>
      </c>
      <c r="B24" s="7">
        <f>COUNTIFS(Raspored!$C$5:$C$8,$A24,Raspored!$D$5:$D$8,"x")</f>
        <v/>
      </c>
      <c r="C24" s="7">
        <f>COUNTIFS(Raspored!$C$5:$C$8,$A24,Raspored!$E$5:$E$8,"x")</f>
        <v/>
      </c>
      <c r="D24" s="7">
        <f>COUNTIFS(Raspored!$C$5:$C$8,$A24,Raspored!$F$5:$F$8,"x")</f>
        <v/>
      </c>
      <c r="E24" s="7">
        <f>COUNTIFS(Raspored!$C$5:$C$8,$A24,Raspored!$G$5:$G$8,"x")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oporabljivog otpada za razdoblje 20.01.2026. – 23.02.2027. Pomaknuti datumi: nema.</t>
        </is>
      </c>
    </row>
    <row r="29">
      <c r="A29" s="21" t="inlineStr">
        <is>
          <t>• Raspored miješanog komunalnog otpada nije objavljen; ovdje su samo datumi odvoza oporabljivog otpada u vrećama (papir i tekstil, plastika i staklo).</t>
        </is>
      </c>
    </row>
    <row r="30">
      <c r="A30" s="21" t="inlineStr">
        <is>
          <t>• Vreće: plava za papir, narančasta za tekstil, žuta za plastiku, smeđa za staklo.</t>
        </is>
      </c>
    </row>
    <row r="31">
      <c r="A31" s="21" t="inlineStr">
        <is>
          <t>• Pomaci zbog blagdana već su ugrađeni u objavljene datume; datumi izvan uobičajenog dana označeni su kao pomaknuti.</t>
        </is>
      </c>
    </row>
    <row r="32">
      <c r="A32" s="21" t="inlineStr">
        <is>
          <t>• Za ostale općine koje opslužuje Čistoća Imotske krajine (Imotski, Lokvičići, Lovreć, Proložac, Zagvozd, Zmijavci) važeći raspored nije objavljen (posljednji objavljeni: Lokvičići do 12/2025, Lovreć do 12/2025, Proložac do 12/2024, Zagvozd do 01/2026, Zmijavci do 11/2025).</t>
        </is>
      </c>
    </row>
    <row r="33">
      <c r="A33" s="21" t="inlineStr">
        <is>
          <t>• Čistoća Imotske krajine d.o.o., Šetalište Stjepana Radića 22, Imotski; 021 540 037.</t>
        </is>
      </c>
    </row>
    <row r="34">
      <c r="A34" s="21" t="inlineStr">
        <is>
          <t>• Izvori: https://cistoca-imotske-krajine.hr/cms/wp-content/uploads/2025/03/OPCINA-PODBABLJE-RASPORED-ODVOZA-OD-05-2025-DO-04-2026.docx, https://cistoca-imotske-krajine.hr/cms/wp-content/uploads/2026/04/OPCINA-PODBABLJE-RASPORED-ODVOZA-OD-05-2026-DO-04-2027.docx, https://cistoca-imotske-krajine.hr/cms/wp-content/uploads/2026/02/OPCINA-CISTA-PROVO-RASPORED-ODVOZA-OD-03-2025-DO-03-2026-1.docx, https://cistoca-imotske-krajine.hr/cms/wp-content/uploads/2026/05/OPCINA-CISTA-PROVO-RASPORED-ODVOZA-OD-03-2026-DO-03-2027.docx, https://cistoca-imotske-krajine.hr/cms/wp-content/uploads/2025/04/OPCINA-RUNOVIC-RASPORED-ODVOZA-OD-06-2025-DO-05-2026.docx, https://cistoca-imotske-krajine.hr/cms/wp-content/uploads/2026/05/OPCINA-RUNOVIC-RASPORED-ODVOZA-OD-06-2026-DO-05-2027.docx.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2 (Cista Provo)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(žuta vreća)</t>
        </is>
      </c>
      <c r="E4" s="14" t="inlineStr">
        <is>
          <t>Papir (plava vreća)</t>
        </is>
      </c>
      <c r="F4" s="15" t="inlineStr">
        <is>
          <t>Staklo (smeđa vreća)</t>
        </is>
      </c>
      <c r="G4" s="16" t="inlineStr">
        <is>
          <t>Tekstil (narančasta vreća)</t>
        </is>
      </c>
      <c r="H4" s="4" t="inlineStr">
        <is>
          <t>Napomena</t>
        </is>
      </c>
    </row>
    <row r="5">
      <c r="A5" s="6" t="n">
        <v>46406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46413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46434</v>
      </c>
      <c r="B7" s="7" t="inlineStr">
        <is>
          <t>utorak</t>
        </is>
      </c>
      <c r="C7" s="7" t="inlineStr">
        <is>
          <t>veljača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46441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</sheetData>
  <autoFilter ref="A4:H8"/>
  <conditionalFormatting sqref="D5:D8">
    <cfRule type="expression" priority="1" dxfId="0">
      <formula>D5="x"</formula>
    </cfRule>
  </conditionalFormatting>
  <conditionalFormatting sqref="E5:E8">
    <cfRule type="expression" priority="2" dxfId="1">
      <formula>E5="x"</formula>
    </cfRule>
  </conditionalFormatting>
  <conditionalFormatting sqref="F5:F8">
    <cfRule type="expression" priority="3" dxfId="2">
      <formula>F5="x"</formula>
    </cfRule>
  </conditionalFormatting>
  <conditionalFormatting sqref="G5:G8">
    <cfRule type="expression" priority="4" dxfId="3">
      <formula>G5="x"</formula>
    </cfRule>
  </conditionalFormatting>
  <conditionalFormatting sqref="A5:H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46406</v>
      </c>
      <c r="B2" s="17" t="inlineStr">
        <is>
          <t>utorak</t>
        </is>
      </c>
      <c r="C2" s="9" t="inlineStr">
        <is>
          <t>Papir (plava vreća)</t>
        </is>
      </c>
      <c r="D2" s="17" t="n"/>
    </row>
    <row r="3">
      <c r="A3" s="24" t="n">
        <v>46406</v>
      </c>
      <c r="B3" s="17" t="inlineStr">
        <is>
          <t>utorak</t>
        </is>
      </c>
      <c r="C3" s="11" t="inlineStr">
        <is>
          <t>Tekstil (narančasta vreća)</t>
        </is>
      </c>
      <c r="D3" s="17" t="n"/>
    </row>
    <row r="4">
      <c r="A4" s="24" t="n">
        <v>46413</v>
      </c>
      <c r="B4" s="17" t="inlineStr">
        <is>
          <t>utorak</t>
        </is>
      </c>
      <c r="C4" s="5" t="inlineStr">
        <is>
          <t>Plastika (žuta vreća)</t>
        </is>
      </c>
      <c r="D4" s="17" t="n"/>
    </row>
    <row r="5">
      <c r="A5" s="24" t="n">
        <v>46413</v>
      </c>
      <c r="B5" s="17" t="inlineStr">
        <is>
          <t>utorak</t>
        </is>
      </c>
      <c r="C5" s="10" t="inlineStr">
        <is>
          <t>Staklo (smeđa vreća)</t>
        </is>
      </c>
      <c r="D5" s="17" t="n"/>
    </row>
    <row r="6">
      <c r="A6" s="24" t="n">
        <v>46434</v>
      </c>
      <c r="B6" s="17" t="inlineStr">
        <is>
          <t>utorak</t>
        </is>
      </c>
      <c r="C6" s="9" t="inlineStr">
        <is>
          <t>Papir (plava vreća)</t>
        </is>
      </c>
      <c r="D6" s="17" t="n"/>
    </row>
    <row r="7">
      <c r="A7" s="24" t="n">
        <v>46434</v>
      </c>
      <c r="B7" s="17" t="inlineStr">
        <is>
          <t>utorak</t>
        </is>
      </c>
      <c r="C7" s="11" t="inlineStr">
        <is>
          <t>Tekstil (narančasta vreća)</t>
        </is>
      </c>
      <c r="D7" s="17" t="n"/>
    </row>
    <row r="8">
      <c r="A8" s="24" t="n">
        <v>46441</v>
      </c>
      <c r="B8" s="17" t="inlineStr">
        <is>
          <t>utorak</t>
        </is>
      </c>
      <c r="C8" s="5" t="inlineStr">
        <is>
          <t>Plastika (žuta vreća)</t>
        </is>
      </c>
      <c r="D8" s="17" t="n"/>
    </row>
    <row r="9">
      <c r="A9" s="24" t="n">
        <v>46441</v>
      </c>
      <c r="B9" s="17" t="inlineStr">
        <is>
          <t>utorak</t>
        </is>
      </c>
      <c r="C9" s="10" t="inlineStr">
        <is>
          <t>Staklo (smeđa vreća)</t>
        </is>
      </c>
      <c r="D9" s="17" t="n"/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(Cista Provo): ulice i naselja</t>
        </is>
      </c>
    </row>
    <row r="4">
      <c r="A4" s="4" t="inlineStr">
        <is>
          <t>Ulica / naselje</t>
        </is>
      </c>
    </row>
    <row r="5">
      <c r="A5" s="17" t="inlineStr">
        <is>
          <t>Cista Provo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2026-10-07T18:33:48Z</dcterms:created>
  <dcterms:modified xmlns:dcterms="http://purl.org/dc/terms/" xmlns:xsi="http://www.w3.org/2001/XMLSchema-instance" xsi:type="dcterms:W3CDTF">2026-10-07T18:33:48Z</dcterms:modified>
</cp:coreProperties>
</file>
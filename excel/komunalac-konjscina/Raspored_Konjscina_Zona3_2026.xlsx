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IFERROR(1/(1/_xlfn.MINIFS(Raspored!$A$5:$A$106,Raspored!$D$5:$D$106,"x",Raspored!$A$5:$A$106,"&gt;="&amp;$B$3)),"nema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COUNTIF(Raspored!$D$5:$D$106,"x")</f>
        <v/>
      </c>
    </row>
    <row r="7">
      <c r="A7" s="9" t="inlineStr">
        <is>
          <t>Biootpad</t>
        </is>
      </c>
      <c r="B7" s="6">
        <f>IFERROR(1/(1/_xlfn.MINIFS(Raspored!$A$5:$A$106,Raspored!$E$5:$E$106,"x",Raspored!$A$5:$A$106,"&gt;="&amp;$B$3)),"nema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COUNTIF(Raspored!$E$5:$E$106,"x")</f>
        <v/>
      </c>
    </row>
    <row r="8">
      <c r="A8" s="10" t="inlineStr">
        <is>
          <t>Korisni otpad</t>
        </is>
      </c>
      <c r="B8" s="6">
        <f>IFERROR(1/(1/_xlfn.MINIFS(Raspored!$A$5:$A$106,Raspored!$F$5:$F$106,"x",Raspored!$A$5:$A$106,"&gt;="&amp;$B$3)),"nema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COUNTIF(Raspored!$F$5:$F$106,"x")</f>
        <v/>
      </c>
    </row>
    <row r="9">
      <c r="A9" s="11" t="inlineStr">
        <is>
          <t>Papir i karton</t>
        </is>
      </c>
      <c r="B9" s="6">
        <f>IFERROR(1/(1/_xlfn.MINIFS(Raspored!$A$5:$A$106,Raspored!$G$5:$G$106,"x",Raspored!$A$5:$A$106,"&gt;="&amp;$B$3)),"nema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Korisni otpad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COUNTIFS(Raspored!$C$5:$C$106,$A13,Raspored!$D$5:$D$106,"x")</f>
        <v/>
      </c>
      <c r="C13" s="7">
        <f>COUNTIFS(Raspored!$C$5:$C$106,$A13,Raspored!$E$5:$E$106,"x")</f>
        <v/>
      </c>
      <c r="D13" s="7">
        <f>COUNTIFS(Raspored!$C$5:$C$106,$A13,Raspored!$F$5:$F$106,"x")</f>
        <v/>
      </c>
      <c r="E13" s="7">
        <f>COUNTIFS(Raspored!$C$5:$C$106,$A13,Raspored!$G$5:$G$106,"x")</f>
        <v/>
      </c>
    </row>
    <row r="14">
      <c r="A14" s="17" t="inlineStr">
        <is>
          <t>veljača</t>
        </is>
      </c>
      <c r="B14" s="7">
        <f>COUNTIFS(Raspored!$C$5:$C$106,$A14,Raspored!$D$5:$D$106,"x")</f>
        <v/>
      </c>
      <c r="C14" s="7">
        <f>COUNTIFS(Raspored!$C$5:$C$106,$A14,Raspored!$E$5:$E$106,"x")</f>
        <v/>
      </c>
      <c r="D14" s="7">
        <f>COUNTIFS(Raspored!$C$5:$C$106,$A14,Raspored!$F$5:$F$106,"x")</f>
        <v/>
      </c>
      <c r="E14" s="7">
        <f>COUNTIFS(Raspored!$C$5:$C$106,$A14,Raspored!$G$5:$G$106,"x")</f>
        <v/>
      </c>
    </row>
    <row r="15">
      <c r="A15" s="17" t="inlineStr">
        <is>
          <t>ožujak</t>
        </is>
      </c>
      <c r="B15" s="7">
        <f>COUNTIFS(Raspored!$C$5:$C$106,$A15,Raspored!$D$5:$D$106,"x")</f>
        <v/>
      </c>
      <c r="C15" s="7">
        <f>COUNTIFS(Raspored!$C$5:$C$106,$A15,Raspored!$E$5:$E$106,"x")</f>
        <v/>
      </c>
      <c r="D15" s="7">
        <f>COUNTIFS(Raspored!$C$5:$C$106,$A15,Raspored!$F$5:$F$106,"x")</f>
        <v/>
      </c>
      <c r="E15" s="7">
        <f>COUNTIFS(Raspored!$C$5:$C$106,$A15,Raspored!$G$5:$G$106,"x")</f>
        <v/>
      </c>
    </row>
    <row r="16">
      <c r="A16" s="17" t="inlineStr">
        <is>
          <t>travanj</t>
        </is>
      </c>
      <c r="B16" s="7">
        <f>COUNTIFS(Raspored!$C$5:$C$106,$A16,Raspored!$D$5:$D$106,"x")</f>
        <v/>
      </c>
      <c r="C16" s="7">
        <f>COUNTIFS(Raspored!$C$5:$C$106,$A16,Raspored!$E$5:$E$106,"x")</f>
        <v/>
      </c>
      <c r="D16" s="7">
        <f>COUNTIFS(Raspored!$C$5:$C$106,$A16,Raspored!$F$5:$F$106,"x")</f>
        <v/>
      </c>
      <c r="E16" s="7">
        <f>COUNTIFS(Raspored!$C$5:$C$106,$A16,Raspored!$G$5:$G$106,"x")</f>
        <v/>
      </c>
    </row>
    <row r="17">
      <c r="A17" s="17" t="inlineStr">
        <is>
          <t>svibanj</t>
        </is>
      </c>
      <c r="B17" s="7">
        <f>COUNTIFS(Raspored!$C$5:$C$106,$A17,Raspored!$D$5:$D$106,"x")</f>
        <v/>
      </c>
      <c r="C17" s="7">
        <f>COUNTIFS(Raspored!$C$5:$C$106,$A17,Raspored!$E$5:$E$106,"x")</f>
        <v/>
      </c>
      <c r="D17" s="7">
        <f>COUNTIFS(Raspored!$C$5:$C$106,$A17,Raspored!$F$5:$F$106,"x")</f>
        <v/>
      </c>
      <c r="E17" s="7">
        <f>COUNTIFS(Raspored!$C$5:$C$106,$A17,Raspored!$G$5:$G$106,"x")</f>
        <v/>
      </c>
    </row>
    <row r="18">
      <c r="A18" s="17" t="inlineStr">
        <is>
          <t>lipanj</t>
        </is>
      </c>
      <c r="B18" s="7">
        <f>COUNTIFS(Raspored!$C$5:$C$106,$A18,Raspored!$D$5:$D$106,"x")</f>
        <v/>
      </c>
      <c r="C18" s="7">
        <f>COUNTIFS(Raspored!$C$5:$C$106,$A18,Raspored!$E$5:$E$106,"x")</f>
        <v/>
      </c>
      <c r="D18" s="7">
        <f>COUNTIFS(Raspored!$C$5:$C$106,$A18,Raspored!$F$5:$F$106,"x")</f>
        <v/>
      </c>
      <c r="E18" s="7">
        <f>COUNTIFS(Raspored!$C$5:$C$106,$A18,Raspored!$G$5:$G$106,"x")</f>
        <v/>
      </c>
    </row>
    <row r="19">
      <c r="A19" s="17" t="inlineStr">
        <is>
          <t>srpanj</t>
        </is>
      </c>
      <c r="B19" s="7">
        <f>COUNTIFS(Raspored!$C$5:$C$106,$A19,Raspored!$D$5:$D$106,"x")</f>
        <v/>
      </c>
      <c r="C19" s="7">
        <f>COUNTIFS(Raspored!$C$5:$C$106,$A19,Raspored!$E$5:$E$106,"x")</f>
        <v/>
      </c>
      <c r="D19" s="7">
        <f>COUNTIFS(Raspored!$C$5:$C$106,$A19,Raspored!$F$5:$F$106,"x")</f>
        <v/>
      </c>
      <c r="E19" s="7">
        <f>COUNTIFS(Raspored!$C$5:$C$106,$A19,Raspored!$G$5:$G$106,"x")</f>
        <v/>
      </c>
    </row>
    <row r="20">
      <c r="A20" s="17" t="inlineStr">
        <is>
          <t>kolovoz</t>
        </is>
      </c>
      <c r="B20" s="7">
        <f>COUNTIFS(Raspored!$C$5:$C$106,$A20,Raspored!$D$5:$D$106,"x")</f>
        <v/>
      </c>
      <c r="C20" s="7">
        <f>COUNTIFS(Raspored!$C$5:$C$106,$A20,Raspored!$E$5:$E$106,"x")</f>
        <v/>
      </c>
      <c r="D20" s="7">
        <f>COUNTIFS(Raspored!$C$5:$C$106,$A20,Raspored!$F$5:$F$106,"x")</f>
        <v/>
      </c>
      <c r="E20" s="7">
        <f>COUNTIFS(Raspored!$C$5:$C$106,$A20,Raspored!$G$5:$G$106,"x")</f>
        <v/>
      </c>
    </row>
    <row r="21">
      <c r="A21" s="17" t="inlineStr">
        <is>
          <t>rujan</t>
        </is>
      </c>
      <c r="B21" s="7">
        <f>COUNTIFS(Raspored!$C$5:$C$106,$A21,Raspored!$D$5:$D$106,"x")</f>
        <v/>
      </c>
      <c r="C21" s="7">
        <f>COUNTIFS(Raspored!$C$5:$C$106,$A21,Raspored!$E$5:$E$106,"x")</f>
        <v/>
      </c>
      <c r="D21" s="7">
        <f>COUNTIFS(Raspored!$C$5:$C$106,$A21,Raspored!$F$5:$F$106,"x")</f>
        <v/>
      </c>
      <c r="E21" s="7">
        <f>COUNTIFS(Raspored!$C$5:$C$106,$A21,Raspored!$G$5:$G$106,"x")</f>
        <v/>
      </c>
    </row>
    <row r="22">
      <c r="A22" s="17" t="inlineStr">
        <is>
          <t>listopad</t>
        </is>
      </c>
      <c r="B22" s="7">
        <f>COUNTIFS(Raspored!$C$5:$C$106,$A22,Raspored!$D$5:$D$106,"x")</f>
        <v/>
      </c>
      <c r="C22" s="7">
        <f>COUNTIFS(Raspored!$C$5:$C$106,$A22,Raspored!$E$5:$E$106,"x")</f>
        <v/>
      </c>
      <c r="D22" s="7">
        <f>COUNTIFS(Raspored!$C$5:$C$106,$A22,Raspored!$F$5:$F$106,"x")</f>
        <v/>
      </c>
      <c r="E22" s="7">
        <f>COUNTIFS(Raspored!$C$5:$C$106,$A22,Raspored!$G$5:$G$106,"x")</f>
        <v/>
      </c>
    </row>
    <row r="23">
      <c r="A23" s="17" t="inlineStr">
        <is>
          <t>studeni</t>
        </is>
      </c>
      <c r="B23" s="7">
        <f>COUNTIFS(Raspored!$C$5:$C$106,$A23,Raspored!$D$5:$D$106,"x")</f>
        <v/>
      </c>
      <c r="C23" s="7">
        <f>COUNTIFS(Raspored!$C$5:$C$106,$A23,Raspored!$E$5:$E$106,"x")</f>
        <v/>
      </c>
      <c r="D23" s="7">
        <f>COUNTIFS(Raspored!$C$5:$C$106,$A23,Raspored!$F$5:$F$106,"x")</f>
        <v/>
      </c>
      <c r="E23" s="7">
        <f>COUNTIFS(Raspored!$C$5:$C$106,$A23,Raspored!$G$5:$G$106,"x")</f>
        <v/>
      </c>
    </row>
    <row r="24">
      <c r="A24" s="17" t="inlineStr">
        <is>
          <t>prosinac</t>
        </is>
      </c>
      <c r="B24" s="7">
        <f>COUNTIFS(Raspored!$C$5:$C$106,$A24,Raspored!$D$5:$D$106,"x")</f>
        <v/>
      </c>
      <c r="C24" s="7">
        <f>COUNTIFS(Raspored!$C$5:$C$106,$A24,Raspored!$E$5:$E$106,"x")</f>
        <v/>
      </c>
      <c r="D24" s="7">
        <f>COUNTIFS(Raspored!$C$5:$C$106,$A24,Raspored!$F$5:$F$106,"x")</f>
        <v/>
      </c>
      <c r="E24" s="7">
        <f>COUNTIFS(Raspored!$C$5:$C$106,$A24,Raspored!$G$5:$G$106,"x")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u Gradu Zlataru te općinama Konjščina i Zlatar Bistrica.</t>
        </is>
      </c>
    </row>
    <row r="30">
      <c r="A30" s="21" t="inlineStr">
        <is>
          <t>• Posude i/ili vreće s otpadom iznijeti na dan odvoza, najkasnije do 6:30 h.</t>
        </is>
      </c>
    </row>
    <row r="31">
      <c r="A31" s="21" t="inlineStr">
        <is>
          <t>• Pomaknuti datumi su odvozi premješteni zbog blagdana, kako su označeni u kalendaru.</t>
        </is>
      </c>
    </row>
    <row r="32">
      <c r="A32" s="21" t="inlineStr">
        <is>
          <t>• Glomazni otpad: besplatan odvoz uz kupon za 2026. (dostaviti do 13. 2. 2026.), termin javlja Komunalac.</t>
        </is>
      </c>
    </row>
    <row r="33">
      <c r="A33" s="21" t="inlineStr">
        <is>
          <t>• Mobilno reciklažno dvorište: raspored rada na stranici kalendara.</t>
        </is>
      </c>
    </row>
    <row r="34">
      <c r="A34" s="21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(Konjščina)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Korisni otpad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24" t="n">
        <v>46119</v>
      </c>
      <c r="B31" s="25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inlineStr">
        <is>
          <t>Pomaknuto zbog neradnog dana u tjednu</t>
        </is>
      </c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24" t="n">
        <v>46196</v>
      </c>
      <c r="B53" s="25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inlineStr">
        <is>
          <t>Pomaknuto zbog neradnog dana u tjednu</t>
        </is>
      </c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24" t="n">
        <v>46244</v>
      </c>
      <c r="B66" s="25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inlineStr">
        <is>
          <t>Pomaknuto zbog neradnog dana u tjednu</t>
        </is>
      </c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46251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46253</v>
      </c>
      <c r="B69" s="7" t="inlineStr">
        <is>
          <t>srijeda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46258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46260</v>
      </c>
      <c r="B71" s="7" t="inlineStr">
        <is>
          <t>srijeda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46265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46267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46272</v>
      </c>
      <c r="B74" s="7" t="inlineStr">
        <is>
          <t>ponedjeljak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46274</v>
      </c>
      <c r="B75" s="7" t="inlineStr">
        <is>
          <t>srijeda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46279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46281</v>
      </c>
      <c r="B77" s="7" t="inlineStr">
        <is>
          <t>srijeda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46286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46288</v>
      </c>
      <c r="B79" s="7" t="inlineStr">
        <is>
          <t>srijeda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46293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46295</v>
      </c>
      <c r="B81" s="7" t="inlineStr">
        <is>
          <t>srijeda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46300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46302</v>
      </c>
      <c r="B83" s="7" t="inlineStr">
        <is>
          <t>srijeda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46307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46309</v>
      </c>
      <c r="B85" s="7" t="inlineStr">
        <is>
          <t>srijeda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46314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46316</v>
      </c>
      <c r="B87" s="7" t="inlineStr">
        <is>
          <t>srijeda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46321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46323</v>
      </c>
      <c r="B89" s="7" t="inlineStr">
        <is>
          <t>srijeda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46328</v>
      </c>
      <c r="B90" s="7" t="inlineStr">
        <is>
          <t>ponedjeljak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46330</v>
      </c>
      <c r="B91" s="7" t="inlineStr">
        <is>
          <t>srijeda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46335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46337</v>
      </c>
      <c r="B93" s="7" t="inlineStr">
        <is>
          <t>srijeda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46342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24" t="n">
        <v>46349</v>
      </c>
      <c r="B95" s="25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inlineStr">
        <is>
          <t>Pomaknuto zbog neradnog dana u tjednu</t>
        </is>
      </c>
    </row>
    <row r="96">
      <c r="A96" s="6" t="n">
        <v>46351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46356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46358</v>
      </c>
      <c r="B98" s="7" t="inlineStr">
        <is>
          <t>srijeda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46363</v>
      </c>
      <c r="B99" s="7" t="inlineStr">
        <is>
          <t>ponedjeljak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46365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46370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46372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46377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46379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46384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46386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</sheetData>
  <autoFilter ref="A4:H106"/>
  <conditionalFormatting sqref="D5:D106">
    <cfRule type="expression" priority="1" dxfId="0">
      <formula>D5="x"</formula>
    </cfRule>
  </conditionalFormatting>
  <conditionalFormatting sqref="E5:E106">
    <cfRule type="expression" priority="2" dxfId="1">
      <formula>E5="x"</formula>
    </cfRule>
  </conditionalFormatting>
  <conditionalFormatting sqref="F5:F106">
    <cfRule type="expression" priority="3" dxfId="2">
      <formula>F5="x"</formula>
    </cfRule>
  </conditionalFormatting>
  <conditionalFormatting sqref="G5:G106">
    <cfRule type="expression" priority="4" dxfId="3">
      <formula>G5="x"</formula>
    </cfRule>
  </conditionalFormatting>
  <conditionalFormatting sqref="A5:H10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Korisni otpad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46050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6" t="n">
        <v>46055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46064</v>
      </c>
      <c r="B13" s="17" t="inlineStr">
        <is>
          <t>srijeda</t>
        </is>
      </c>
      <c r="C13" s="10" t="inlineStr">
        <is>
          <t>Korisni otpad</t>
        </is>
      </c>
      <c r="D13" s="17" t="n"/>
    </row>
    <row r="14">
      <c r="A14" s="26" t="n">
        <v>46069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46076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46083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46090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46092</v>
      </c>
      <c r="B21" s="17" t="inlineStr">
        <is>
          <t>srijeda</t>
        </is>
      </c>
      <c r="C21" s="10" t="inlineStr">
        <is>
          <t>Korisni otpad</t>
        </is>
      </c>
      <c r="D21" s="17" t="n"/>
    </row>
    <row r="22">
      <c r="A22" s="26" t="n">
        <v>46097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6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46104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46111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46119</v>
      </c>
      <c r="B28" s="17" t="inlineStr">
        <is>
          <t>utorak</t>
        </is>
      </c>
      <c r="C28" s="9" t="inlineStr">
        <is>
          <t>Biootpad</t>
        </is>
      </c>
      <c r="D28" s="17" t="inlineStr">
        <is>
          <t>Pomaknuto zbog neradnog dana u tjednu</t>
        </is>
      </c>
    </row>
    <row r="29">
      <c r="A29" s="26" t="n">
        <v>46120</v>
      </c>
      <c r="B29" s="17" t="inlineStr">
        <is>
          <t>srijeda</t>
        </is>
      </c>
      <c r="C29" s="10" t="inlineStr">
        <is>
          <t>Korisni otpad</t>
        </is>
      </c>
      <c r="D29" s="17" t="n"/>
    </row>
    <row r="30">
      <c r="A30" s="26" t="n">
        <v>46125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46127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46132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11" t="inlineStr">
        <is>
          <t>Papir i karton</t>
        </is>
      </c>
      <c r="D33" s="17" t="n"/>
    </row>
    <row r="34">
      <c r="A34" s="26" t="n">
        <v>46139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46146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46148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46153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46155</v>
      </c>
      <c r="B39" s="17" t="inlineStr">
        <is>
          <t>srijeda</t>
        </is>
      </c>
      <c r="C39" s="10" t="inlineStr">
        <is>
          <t>Korisni otpad</t>
        </is>
      </c>
      <c r="D39" s="17" t="n"/>
    </row>
    <row r="40">
      <c r="A40" s="26" t="n">
        <v>46160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46167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46169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6" t="n">
        <v>46174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46176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46181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6" t="n">
        <v>46183</v>
      </c>
      <c r="B47" s="17" t="inlineStr">
        <is>
          <t>srijeda</t>
        </is>
      </c>
      <c r="C47" s="10" t="inlineStr">
        <is>
          <t>Korisni otpad</t>
        </is>
      </c>
      <c r="D47" s="17" t="n"/>
    </row>
    <row r="48">
      <c r="A48" s="26" t="n">
        <v>46188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46196</v>
      </c>
      <c r="B50" s="17" t="inlineStr">
        <is>
          <t>utorak</t>
        </is>
      </c>
      <c r="C50" s="9" t="inlineStr">
        <is>
          <t>Biootpad</t>
        </is>
      </c>
      <c r="D50" s="17" t="inlineStr">
        <is>
          <t>Pomaknuto zbog neradnog dana u tjednu</t>
        </is>
      </c>
    </row>
    <row r="51">
      <c r="A51" s="26" t="n">
        <v>46197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6" t="n">
        <v>46202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46204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46209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46211</v>
      </c>
      <c r="B55" s="17" t="inlineStr">
        <is>
          <t>srijeda</t>
        </is>
      </c>
      <c r="C55" s="10" t="inlineStr">
        <is>
          <t>Korisni otpad</t>
        </is>
      </c>
      <c r="D55" s="17" t="n"/>
    </row>
    <row r="56">
      <c r="A56" s="26" t="n">
        <v>46216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46223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46225</v>
      </c>
      <c r="B59" s="17" t="inlineStr">
        <is>
          <t>srijeda</t>
        </is>
      </c>
      <c r="C59" s="11" t="inlineStr">
        <is>
          <t>Papir i karton</t>
        </is>
      </c>
      <c r="D59" s="17" t="n"/>
    </row>
    <row r="60">
      <c r="A60" s="26" t="n">
        <v>46230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46232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6" t="n">
        <v>46244</v>
      </c>
      <c r="B63" s="17" t="inlineStr">
        <is>
          <t>ponedjeljak</t>
        </is>
      </c>
      <c r="C63" s="5" t="inlineStr">
        <is>
          <t>Miješani komunalni otpad</t>
        </is>
      </c>
      <c r="D63" s="17" t="inlineStr">
        <is>
          <t>Pomaknuto zbog neradnog dana u tjednu</t>
        </is>
      </c>
    </row>
    <row r="64">
      <c r="A64" s="26" t="n">
        <v>46244</v>
      </c>
      <c r="B64" s="17" t="inlineStr">
        <is>
          <t>ponedjeljak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46246</v>
      </c>
      <c r="B65" s="17" t="inlineStr">
        <is>
          <t>srijeda</t>
        </is>
      </c>
      <c r="C65" s="10" t="inlineStr">
        <is>
          <t>Korisni otpad</t>
        </is>
      </c>
      <c r="D65" s="17" t="n"/>
    </row>
    <row r="66">
      <c r="A66" s="26" t="n">
        <v>46251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46258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46260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46267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46272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46274</v>
      </c>
      <c r="B73" s="17" t="inlineStr">
        <is>
          <t>srijeda</t>
        </is>
      </c>
      <c r="C73" s="10" t="inlineStr">
        <is>
          <t>Korisni otpad</t>
        </is>
      </c>
      <c r="D73" s="17" t="n"/>
    </row>
    <row r="74">
      <c r="A74" s="26" t="n">
        <v>46279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46286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46288</v>
      </c>
      <c r="B77" s="17" t="inlineStr">
        <is>
          <t>srijeda</t>
        </is>
      </c>
      <c r="C77" s="11" t="inlineStr">
        <is>
          <t>Papir i karton</t>
        </is>
      </c>
      <c r="D77" s="17" t="n"/>
    </row>
    <row r="78">
      <c r="A78" s="26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46295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46300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46307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6" t="n">
        <v>46309</v>
      </c>
      <c r="B83" s="17" t="inlineStr">
        <is>
          <t>srijeda</t>
        </is>
      </c>
      <c r="C83" s="10" t="inlineStr">
        <is>
          <t>Korisni otpad</t>
        </is>
      </c>
      <c r="D83" s="17" t="n"/>
    </row>
    <row r="84">
      <c r="A84" s="26" t="n">
        <v>46314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46316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46323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6" t="n">
        <v>46328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46335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46337</v>
      </c>
      <c r="B91" s="17" t="inlineStr">
        <is>
          <t>srijeda</t>
        </is>
      </c>
      <c r="C91" s="10" t="inlineStr">
        <is>
          <t>Korisni otpad</t>
        </is>
      </c>
      <c r="D91" s="17" t="n"/>
    </row>
    <row r="92">
      <c r="A92" s="26" t="n">
        <v>46342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inlineStr">
        <is>
          <t>Pomaknuto zbog neradnog dana u tjednu</t>
        </is>
      </c>
    </row>
    <row r="94">
      <c r="A94" s="26" t="n">
        <v>46349</v>
      </c>
      <c r="B94" s="17" t="inlineStr">
        <is>
          <t>ponedjeljak</t>
        </is>
      </c>
      <c r="C94" s="9" t="inlineStr">
        <is>
          <t>Biootpad</t>
        </is>
      </c>
      <c r="D94" s="17" t="inlineStr">
        <is>
          <t>Pomaknuto zbog neradnog dana u tjednu</t>
        </is>
      </c>
    </row>
    <row r="95">
      <c r="A95" s="26" t="n">
        <v>46351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6" t="n">
        <v>46356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46363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46365</v>
      </c>
      <c r="B99" s="17" t="inlineStr">
        <is>
          <t>srijeda</t>
        </is>
      </c>
      <c r="C99" s="10" t="inlineStr">
        <is>
          <t>Korisni otpad</t>
        </is>
      </c>
      <c r="D99" s="17" t="n"/>
    </row>
    <row r="100">
      <c r="A100" s="26" t="n">
        <v>46370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46372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6" t="n">
        <v>46379</v>
      </c>
      <c r="B103" s="17" t="inlineStr">
        <is>
          <t>srijeda</t>
        </is>
      </c>
      <c r="C103" s="11" t="inlineStr">
        <is>
          <t>Papir i karton</t>
        </is>
      </c>
      <c r="D103" s="17" t="n"/>
    </row>
    <row r="104">
      <c r="A104" s="26" t="n">
        <v>46384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(Konjščina): ulice i naselja</t>
        </is>
      </c>
    </row>
    <row r="4">
      <c r="A4" s="4" t="inlineStr">
        <is>
          <t>Ulica / naselje</t>
        </is>
      </c>
    </row>
    <row r="5">
      <c r="A5" s="17" t="inlineStr">
        <is>
          <t>Konjščina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
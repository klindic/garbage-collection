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'Raspored'!$A$4:$G$66</definedName>
    <definedName name="_xlnm._FilterDatabase" localSheetId="2" hidden="1">'Po vrsti'!$A$1:$D$72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IFERROR(1/(1/_xlfn.MINIFS(Raspored!$A$5:$A$66,Raspored!$D$5:$D$66,"x",Raspored!$A$5:$A$66,"&gt;="&amp;$B$3)),"nema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COUNTIF(Raspored!$D$5:$D$66,"x")</f>
        <v/>
      </c>
    </row>
    <row r="7">
      <c r="A7" s="9" t="inlineStr">
        <is>
          <t>Plastika i metal (žuta)</t>
        </is>
      </c>
      <c r="B7" s="6">
        <f>IFERROR(1/(1/_xlfn.MINIFS(Raspored!$A$5:$A$66,Raspored!$E$5:$E$66,"x",Raspored!$A$5:$A$66,"&gt;="&amp;$B$3)),"nema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COUNTIF(Raspored!$E$5:$E$66,"x")</f>
        <v/>
      </c>
    </row>
    <row r="8">
      <c r="A8" s="10" t="inlineStr">
        <is>
          <t>Papir (plava)</t>
        </is>
      </c>
      <c r="B8" s="6">
        <f>IFERROR(1/(1/_xlfn.MINIFS(Raspored!$A$5:$A$66,Raspored!$F$5:$F$66,"x",Raspored!$A$5:$A$66,"&gt;="&amp;$B$3)),"nema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(žuta)</t>
        </is>
      </c>
      <c r="D11" s="14" t="inlineStr">
        <is>
          <t>Papir (plava)</t>
        </is>
      </c>
    </row>
    <row r="12">
      <c r="A12" s="15" t="inlineStr">
        <is>
          <t>siječanj</t>
        </is>
      </c>
      <c r="B12" s="7">
        <f>COUNTIFS(Raspored!$C$5:$C$66,$A12,Raspored!$D$5:$D$66,"x")</f>
        <v/>
      </c>
      <c r="C12" s="7">
        <f>COUNTIFS(Raspored!$C$5:$C$66,$A12,Raspored!$E$5:$E$66,"x")</f>
        <v/>
      </c>
      <c r="D12" s="7">
        <f>COUNTIFS(Raspored!$C$5:$C$66,$A12,Raspored!$F$5:$F$66,"x")</f>
        <v/>
      </c>
    </row>
    <row r="13">
      <c r="A13" s="15" t="inlineStr">
        <is>
          <t>veljača</t>
        </is>
      </c>
      <c r="B13" s="7">
        <f>COUNTIFS(Raspored!$C$5:$C$66,$A13,Raspored!$D$5:$D$66,"x")</f>
        <v/>
      </c>
      <c r="C13" s="7">
        <f>COUNTIFS(Raspored!$C$5:$C$66,$A13,Raspored!$E$5:$E$66,"x")</f>
        <v/>
      </c>
      <c r="D13" s="7">
        <f>COUNTIFS(Raspored!$C$5:$C$66,$A13,Raspored!$F$5:$F$66,"x")</f>
        <v/>
      </c>
    </row>
    <row r="14">
      <c r="A14" s="15" t="inlineStr">
        <is>
          <t>ožujak</t>
        </is>
      </c>
      <c r="B14" s="7">
        <f>COUNTIFS(Raspored!$C$5:$C$66,$A14,Raspored!$D$5:$D$66,"x")</f>
        <v/>
      </c>
      <c r="C14" s="7">
        <f>COUNTIFS(Raspored!$C$5:$C$66,$A14,Raspored!$E$5:$E$66,"x")</f>
        <v/>
      </c>
      <c r="D14" s="7">
        <f>COUNTIFS(Raspored!$C$5:$C$66,$A14,Raspored!$F$5:$F$66,"x")</f>
        <v/>
      </c>
    </row>
    <row r="15">
      <c r="A15" s="15" t="inlineStr">
        <is>
          <t>travanj</t>
        </is>
      </c>
      <c r="B15" s="7">
        <f>COUNTIFS(Raspored!$C$5:$C$66,$A15,Raspored!$D$5:$D$66,"x")</f>
        <v/>
      </c>
      <c r="C15" s="7">
        <f>COUNTIFS(Raspored!$C$5:$C$66,$A15,Raspored!$E$5:$E$66,"x")</f>
        <v/>
      </c>
      <c r="D15" s="7">
        <f>COUNTIFS(Raspored!$C$5:$C$66,$A15,Raspored!$F$5:$F$66,"x")</f>
        <v/>
      </c>
    </row>
    <row r="16">
      <c r="A16" s="15" t="inlineStr">
        <is>
          <t>svibanj</t>
        </is>
      </c>
      <c r="B16" s="7">
        <f>COUNTIFS(Raspored!$C$5:$C$66,$A16,Raspored!$D$5:$D$66,"x")</f>
        <v/>
      </c>
      <c r="C16" s="7">
        <f>COUNTIFS(Raspored!$C$5:$C$66,$A16,Raspored!$E$5:$E$66,"x")</f>
        <v/>
      </c>
      <c r="D16" s="7">
        <f>COUNTIFS(Raspored!$C$5:$C$66,$A16,Raspored!$F$5:$F$66,"x")</f>
        <v/>
      </c>
    </row>
    <row r="17">
      <c r="A17" s="15" t="inlineStr">
        <is>
          <t>lipanj</t>
        </is>
      </c>
      <c r="B17" s="7">
        <f>COUNTIFS(Raspored!$C$5:$C$66,$A17,Raspored!$D$5:$D$66,"x")</f>
        <v/>
      </c>
      <c r="C17" s="7">
        <f>COUNTIFS(Raspored!$C$5:$C$66,$A17,Raspored!$E$5:$E$66,"x")</f>
        <v/>
      </c>
      <c r="D17" s="7">
        <f>COUNTIFS(Raspored!$C$5:$C$66,$A17,Raspored!$F$5:$F$66,"x")</f>
        <v/>
      </c>
    </row>
    <row r="18">
      <c r="A18" s="15" t="inlineStr">
        <is>
          <t>srpanj</t>
        </is>
      </c>
      <c r="B18" s="7">
        <f>COUNTIFS(Raspored!$C$5:$C$66,$A18,Raspored!$D$5:$D$66,"x")</f>
        <v/>
      </c>
      <c r="C18" s="7">
        <f>COUNTIFS(Raspored!$C$5:$C$66,$A18,Raspored!$E$5:$E$66,"x")</f>
        <v/>
      </c>
      <c r="D18" s="7">
        <f>COUNTIFS(Raspored!$C$5:$C$66,$A18,Raspored!$F$5:$F$66,"x")</f>
        <v/>
      </c>
    </row>
    <row r="19">
      <c r="A19" s="15" t="inlineStr">
        <is>
          <t>kolovoz</t>
        </is>
      </c>
      <c r="B19" s="7">
        <f>COUNTIFS(Raspored!$C$5:$C$66,$A19,Raspored!$D$5:$D$66,"x")</f>
        <v/>
      </c>
      <c r="C19" s="7">
        <f>COUNTIFS(Raspored!$C$5:$C$66,$A19,Raspored!$E$5:$E$66,"x")</f>
        <v/>
      </c>
      <c r="D19" s="7">
        <f>COUNTIFS(Raspored!$C$5:$C$66,$A19,Raspored!$F$5:$F$66,"x")</f>
        <v/>
      </c>
    </row>
    <row r="20">
      <c r="A20" s="15" t="inlineStr">
        <is>
          <t>rujan</t>
        </is>
      </c>
      <c r="B20" s="7">
        <f>COUNTIFS(Raspored!$C$5:$C$66,$A20,Raspored!$D$5:$D$66,"x")</f>
        <v/>
      </c>
      <c r="C20" s="7">
        <f>COUNTIFS(Raspored!$C$5:$C$66,$A20,Raspored!$E$5:$E$66,"x")</f>
        <v/>
      </c>
      <c r="D20" s="7">
        <f>COUNTIFS(Raspored!$C$5:$C$66,$A20,Raspored!$F$5:$F$66,"x")</f>
        <v/>
      </c>
    </row>
    <row r="21">
      <c r="A21" s="15" t="inlineStr">
        <is>
          <t>listopad</t>
        </is>
      </c>
      <c r="B21" s="7">
        <f>COUNTIFS(Raspored!$C$5:$C$66,$A21,Raspored!$D$5:$D$66,"x")</f>
        <v/>
      </c>
      <c r="C21" s="7">
        <f>COUNTIFS(Raspored!$C$5:$C$66,$A21,Raspored!$E$5:$E$66,"x")</f>
        <v/>
      </c>
      <c r="D21" s="7">
        <f>COUNTIFS(Raspored!$C$5:$C$66,$A21,Raspored!$F$5:$F$66,"x")</f>
        <v/>
      </c>
    </row>
    <row r="22">
      <c r="A22" s="15" t="inlineStr">
        <is>
          <t>studeni</t>
        </is>
      </c>
      <c r="B22" s="7">
        <f>COUNTIFS(Raspored!$C$5:$C$66,$A22,Raspored!$D$5:$D$66,"x")</f>
        <v/>
      </c>
      <c r="C22" s="7">
        <f>COUNTIFS(Raspored!$C$5:$C$66,$A22,Raspored!$E$5:$E$66,"x")</f>
        <v/>
      </c>
      <c r="D22" s="7">
        <f>COUNTIFS(Raspored!$C$5:$C$66,$A22,Raspored!$F$5:$F$66,"x")</f>
        <v/>
      </c>
    </row>
    <row r="23">
      <c r="A23" s="15" t="inlineStr">
        <is>
          <t>prosinac</t>
        </is>
      </c>
      <c r="B23" s="7">
        <f>COUNTIFS(Raspored!$C$5:$C$66,$A23,Raspored!$D$5:$D$66,"x")</f>
        <v/>
      </c>
      <c r="C23" s="7">
        <f>COUNTIFS(Raspored!$C$5:$C$66,$A23,Raspored!$E$5:$E$66,"x")</f>
        <v/>
      </c>
      <c r="D23" s="7">
        <f>COUNTIFS(Raspored!$C$5:$C$66,$A23,Raspored!$F$5:$F$66,"x")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jednom tjedno prema utvrđenom planu odvoza (dan u tjednu po ulicama i naseljima); posude treba iznijeti ispred ulaza objekta na dan odvoza.</t>
        </is>
      </c>
    </row>
    <row r="29">
      <c r="A29" s="19" t="inlineStr">
        <is>
          <t>• Papir i plastika/metal odvoze se isti dan za cijeli grad. Objavljen je raspored samo za srpanj–prosinac 2026.; za siječanj–lipanj 2026. raspored nije pronađen.</t>
        </is>
      </c>
    </row>
    <row r="30">
      <c r="A30" s="19" t="inlineStr">
        <is>
          <t>• Blagdani: kad se odvoz pomiče, Lipa objavljuje obavijest (npr. 5.8.2026.: srijeda → četvrtak, četvrtak → petak); takvi pomaci su upisani i označeni. Za ostale blagdane obavijest nije objavljena i datumi nisu pomaknuti.</t>
        </is>
      </c>
    </row>
    <row r="31">
      <c r="A31" s="19" t="inlineStr">
        <is>
          <t>• Glomazni otpad: kontejner (5 m³) na zahtjev, jednom godišnje besplatno na adresi korisnika, tel. 047 801 815; glomazni otpad može se odložiti i u reciklažnom dvorištu Grada Slunja (pon–sub).</t>
        </is>
      </c>
    </row>
    <row r="32">
      <c r="A32" s="19" t="inlineStr">
        <is>
          <t>• Komunalno društvo Lipa d.o.o., Petra Svačića 5, Slunj, tel. 047 777 790.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(Slunj)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(žuta)</t>
        </is>
      </c>
      <c r="F4" s="14" t="inlineStr">
        <is>
          <t>Papir (plava)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46219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46226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46234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22" t="n">
        <v>46241</v>
      </c>
      <c r="B38" s="23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inlineStr">
        <is>
          <t>Pomaknuto zbog neradnog dana u tjednu</t>
        </is>
      </c>
    </row>
    <row r="39">
      <c r="A39" s="6" t="n">
        <v>46247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46248</v>
      </c>
      <c r="B40" s="7" t="inlineStr">
        <is>
          <t>petak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46254</v>
      </c>
      <c r="B41" s="7" t="inlineStr">
        <is>
          <t>četvrtak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46268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46275</v>
      </c>
      <c r="B45" s="7" t="inlineStr">
        <is>
          <t>četvrtak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46276</v>
      </c>
      <c r="B46" s="7" t="inlineStr">
        <is>
          <t>petak</t>
        </is>
      </c>
      <c r="C46" s="7" t="inlineStr">
        <is>
          <t>rujan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46282</v>
      </c>
      <c r="B47" s="7" t="inlineStr">
        <is>
          <t>četvrtak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46289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46290</v>
      </c>
      <c r="B49" s="7" t="inlineStr">
        <is>
          <t>petak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46296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46303</v>
      </c>
      <c r="B51" s="7" t="inlineStr">
        <is>
          <t>četvrtak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46310</v>
      </c>
      <c r="B52" s="7" t="inlineStr">
        <is>
          <t>četvrtak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46317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46324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46325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46331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46338</v>
      </c>
      <c r="B57" s="7" t="inlineStr">
        <is>
          <t>četvrtak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46345</v>
      </c>
      <c r="B58" s="7" t="inlineStr">
        <is>
          <t>četvrtak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46352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46353</v>
      </c>
      <c r="B60" s="7" t="inlineStr">
        <is>
          <t>petak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46359</v>
      </c>
      <c r="B61" s="7" t="inlineStr">
        <is>
          <t>četvrtak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46366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46373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46374</v>
      </c>
      <c r="B64" s="7" t="inlineStr">
        <is>
          <t>petak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46380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46387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</sheetData>
  <autoFilter ref="A4:G66"/>
  <conditionalFormatting sqref="D5:D66">
    <cfRule type="expression" priority="1" dxfId="0">
      <formula>D5="x"</formula>
    </cfRule>
  </conditionalFormatting>
  <conditionalFormatting sqref="E5:E66">
    <cfRule type="expression" priority="2" dxfId="1">
      <formula>E5="x"</formula>
    </cfRule>
  </conditionalFormatting>
  <conditionalFormatting sqref="F5:F66">
    <cfRule type="expression" priority="3" dxfId="2">
      <formula>F5="x"</formula>
    </cfRule>
  </conditionalFormatting>
  <conditionalFormatting sqref="A5:G6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46058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46065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46072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46079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46086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46093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46100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46107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46114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46121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46128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46135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46142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46149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46156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46163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46170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46177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46184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46191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46198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46205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46212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46213</v>
      </c>
      <c r="B30" s="15" t="inlineStr">
        <is>
          <t>petak</t>
        </is>
      </c>
      <c r="C30" s="9" t="inlineStr">
        <is>
          <t>Plastika i metal (žuta)</t>
        </is>
      </c>
      <c r="D30" s="15" t="n"/>
    </row>
    <row r="31">
      <c r="A31" s="24" t="n">
        <v>46213</v>
      </c>
      <c r="B31" s="15" t="inlineStr">
        <is>
          <t>petak</t>
        </is>
      </c>
      <c r="C31" s="10" t="inlineStr">
        <is>
          <t>Papir (plava)</t>
        </is>
      </c>
      <c r="D31" s="15" t="n"/>
    </row>
    <row r="32">
      <c r="A32" s="24" t="n">
        <v>46219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46226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46233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46234</v>
      </c>
      <c r="B35" s="15" t="inlineStr">
        <is>
          <t>petak</t>
        </is>
      </c>
      <c r="C35" s="9" t="inlineStr">
        <is>
          <t>Plastika i metal (žuta)</t>
        </is>
      </c>
      <c r="D35" s="15" t="n"/>
    </row>
    <row r="36">
      <c r="A36" s="24" t="n">
        <v>46234</v>
      </c>
      <c r="B36" s="15" t="inlineStr">
        <is>
          <t>petak</t>
        </is>
      </c>
      <c r="C36" s="10" t="inlineStr">
        <is>
          <t>Papir (plava)</t>
        </is>
      </c>
      <c r="D36" s="15" t="n"/>
    </row>
    <row r="37">
      <c r="A37" s="24" t="n">
        <v>46241</v>
      </c>
      <c r="B37" s="15" t="inlineStr">
        <is>
          <t>petak</t>
        </is>
      </c>
      <c r="C37" s="5" t="inlineStr">
        <is>
          <t>Miješani komunalni otpad</t>
        </is>
      </c>
      <c r="D37" s="15" t="inlineStr">
        <is>
          <t>Pomaknuto zbog neradnog dana u tjednu</t>
        </is>
      </c>
    </row>
    <row r="38">
      <c r="A38" s="24" t="n">
        <v>46247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46248</v>
      </c>
      <c r="B39" s="15" t="inlineStr">
        <is>
          <t>petak</t>
        </is>
      </c>
      <c r="C39" s="9" t="inlineStr">
        <is>
          <t>Plastika i metal (žuta)</t>
        </is>
      </c>
      <c r="D39" s="15" t="n"/>
    </row>
    <row r="40">
      <c r="A40" s="24" t="n">
        <v>46248</v>
      </c>
      <c r="B40" s="15" t="inlineStr">
        <is>
          <t>petak</t>
        </is>
      </c>
      <c r="C40" s="10" t="inlineStr">
        <is>
          <t>Papir (plava)</t>
        </is>
      </c>
      <c r="D40" s="15" t="n"/>
    </row>
    <row r="41">
      <c r="A41" s="24" t="n">
        <v>46254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46261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46262</v>
      </c>
      <c r="B43" s="15" t="inlineStr">
        <is>
          <t>petak</t>
        </is>
      </c>
      <c r="C43" s="9" t="inlineStr">
        <is>
          <t>Plastika i metal (žuta)</t>
        </is>
      </c>
      <c r="D43" s="15" t="n"/>
    </row>
    <row r="44">
      <c r="A44" s="24" t="n">
        <v>46262</v>
      </c>
      <c r="B44" s="15" t="inlineStr">
        <is>
          <t>petak</t>
        </is>
      </c>
      <c r="C44" s="10" t="inlineStr">
        <is>
          <t>Papir (plava)</t>
        </is>
      </c>
      <c r="D44" s="15" t="n"/>
    </row>
    <row r="45">
      <c r="A45" s="24" t="n">
        <v>46268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46275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46276</v>
      </c>
      <c r="B47" s="15" t="inlineStr">
        <is>
          <t>petak</t>
        </is>
      </c>
      <c r="C47" s="9" t="inlineStr">
        <is>
          <t>Plastika i metal (žuta)</t>
        </is>
      </c>
      <c r="D47" s="15" t="n"/>
    </row>
    <row r="48">
      <c r="A48" s="24" t="n">
        <v>46276</v>
      </c>
      <c r="B48" s="15" t="inlineStr">
        <is>
          <t>petak</t>
        </is>
      </c>
      <c r="C48" s="10" t="inlineStr">
        <is>
          <t>Papir (plava)</t>
        </is>
      </c>
      <c r="D48" s="15" t="n"/>
    </row>
    <row r="49">
      <c r="A49" s="24" t="n">
        <v>46282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46289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46290</v>
      </c>
      <c r="B51" s="15" t="inlineStr">
        <is>
          <t>petak</t>
        </is>
      </c>
      <c r="C51" s="9" t="inlineStr">
        <is>
          <t>Plastika i metal (žuta)</t>
        </is>
      </c>
      <c r="D51" s="15" t="n"/>
    </row>
    <row r="52">
      <c r="A52" s="24" t="n">
        <v>46290</v>
      </c>
      <c r="B52" s="15" t="inlineStr">
        <is>
          <t>petak</t>
        </is>
      </c>
      <c r="C52" s="10" t="inlineStr">
        <is>
          <t>Papir (plava)</t>
        </is>
      </c>
      <c r="D52" s="15" t="n"/>
    </row>
    <row r="53">
      <c r="A53" s="24" t="n">
        <v>46296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46303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46310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46317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46324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46325</v>
      </c>
      <c r="B58" s="15" t="inlineStr">
        <is>
          <t>petak</t>
        </is>
      </c>
      <c r="C58" s="9" t="inlineStr">
        <is>
          <t>Plastika i metal (žuta)</t>
        </is>
      </c>
      <c r="D58" s="15" t="n"/>
    </row>
    <row r="59">
      <c r="A59" s="24" t="n">
        <v>46325</v>
      </c>
      <c r="B59" s="15" t="inlineStr">
        <is>
          <t>petak</t>
        </is>
      </c>
      <c r="C59" s="10" t="inlineStr">
        <is>
          <t>Papir (plava)</t>
        </is>
      </c>
      <c r="D59" s="15" t="n"/>
    </row>
    <row r="60">
      <c r="A60" s="24" t="n">
        <v>46331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46338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46345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46352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46353</v>
      </c>
      <c r="B64" s="15" t="inlineStr">
        <is>
          <t>petak</t>
        </is>
      </c>
      <c r="C64" s="9" t="inlineStr">
        <is>
          <t>Plastika i metal (žuta)</t>
        </is>
      </c>
      <c r="D64" s="15" t="n"/>
    </row>
    <row r="65">
      <c r="A65" s="24" t="n">
        <v>46353</v>
      </c>
      <c r="B65" s="15" t="inlineStr">
        <is>
          <t>petak</t>
        </is>
      </c>
      <c r="C65" s="10" t="inlineStr">
        <is>
          <t>Papir (plava)</t>
        </is>
      </c>
      <c r="D65" s="15" t="n"/>
    </row>
    <row r="66">
      <c r="A66" s="24" t="n">
        <v>46359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46366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46373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46374</v>
      </c>
      <c r="B69" s="15" t="inlineStr">
        <is>
          <t>petak</t>
        </is>
      </c>
      <c r="C69" s="9" t="inlineStr">
        <is>
          <t>Plastika i metal (žuta)</t>
        </is>
      </c>
      <c r="D69" s="15" t="n"/>
    </row>
    <row r="70">
      <c r="A70" s="24" t="n">
        <v>46374</v>
      </c>
      <c r="B70" s="15" t="inlineStr">
        <is>
          <t>petak</t>
        </is>
      </c>
      <c r="C70" s="10" t="inlineStr">
        <is>
          <t>Papir (plava)</t>
        </is>
      </c>
      <c r="D70" s="15" t="n"/>
    </row>
    <row r="71">
      <c r="A71" s="24" t="n">
        <v>46380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46387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</sheetData>
  <autoFilter ref="A1:D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(Slunj): ulice i naselja</t>
        </is>
      </c>
    </row>
    <row r="2">
      <c r="A2" s="20" t="inlineStr">
        <is>
          <t>Lumbardenik, Donji Popovac, Gornji Popovac, Donji Furjan, Sastavak, Arapovac, Čamerovac, Gornji Lađevac, G. Šuška, N. Zrinskog, Frankopanska, Gornji Furjan, Donji Lađevac</t>
        </is>
      </c>
    </row>
    <row r="4">
      <c r="A4" s="4" t="inlineStr">
        <is>
          <t>Ulica / naselje</t>
        </is>
      </c>
    </row>
    <row r="5">
      <c r="A5" s="15" t="inlineStr">
        <is>
          <t>Lumbardenik</t>
        </is>
      </c>
    </row>
    <row r="6">
      <c r="A6" s="15" t="inlineStr">
        <is>
          <t>Donji Popovac</t>
        </is>
      </c>
    </row>
    <row r="7">
      <c r="A7" s="15" t="inlineStr">
        <is>
          <t>Gornji Popovac</t>
        </is>
      </c>
    </row>
    <row r="8">
      <c r="A8" s="15" t="inlineStr">
        <is>
          <t>Donji Furjan</t>
        </is>
      </c>
    </row>
    <row r="9">
      <c r="A9" s="15" t="inlineStr">
        <is>
          <t>Sastavak</t>
        </is>
      </c>
    </row>
    <row r="10">
      <c r="A10" s="15" t="inlineStr">
        <is>
          <t>Arapovac</t>
        </is>
      </c>
    </row>
    <row r="11">
      <c r="A11" s="15" t="inlineStr">
        <is>
          <t>Čamerovac</t>
        </is>
      </c>
    </row>
    <row r="12">
      <c r="A12" s="15" t="inlineStr">
        <is>
          <t>Gornji Lađevac</t>
        </is>
      </c>
    </row>
    <row r="13">
      <c r="A13" s="15" t="inlineStr">
        <is>
          <t>G. Šuška</t>
        </is>
      </c>
    </row>
    <row r="14">
      <c r="A14" s="15" t="inlineStr">
        <is>
          <t>N. Zrinskog</t>
        </is>
      </c>
    </row>
    <row r="15">
      <c r="A15" s="15" t="inlineStr">
        <is>
          <t>Frankopanska</t>
        </is>
      </c>
    </row>
    <row r="16">
      <c r="A16" s="15" t="inlineStr">
        <is>
          <t>Gornji Furjan</t>
        </is>
      </c>
    </row>
    <row r="17">
      <c r="A17" s="15" t="inlineStr">
        <is>
          <t>Donji Lađevac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2026-10-08T06:22:31Z</dcterms:created>
  <dcterms:modified xmlns:dcterms="http://purl.org/dc/terms/" xmlns:xsi="http://www.w3.org/2001/XMLSchema-instance" xsi:type="dcterms:W3CDTF">2026-10-08T06:22:31Z</dcterms:modified>
</cp:coreProperties>
</file>
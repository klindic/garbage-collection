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'Raspored'!$A$4:$G$65</definedName>
    <definedName name="_xlnm._FilterDatabase" localSheetId="2" hidden="1">'Po vrsti'!$A$1:$D$71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IFERROR(1/(1/_xlfn.MINIFS(Raspored!$A$5:$A$65,Raspored!$D$5:$D$65,"x",Raspored!$A$5:$A$65,"&gt;="&amp;$B$3)),"nema više u 2026.")</f>
        <v/>
      </c>
      <c r="C6" s="7">
        <f>IF(ISNUMBER(B6),INDEX({"nedjelja","ponedjeljak","utorak","srijeda","četvrtak","petak","subota"},WEEKDAY(B6)),"")</f>
        <v/>
      </c>
      <c r="D6" s="8">
        <f>IF(ISNUMBER(B6),B6-$B$3,"")</f>
        <v/>
      </c>
      <c r="E6" s="7">
        <f>COUNTIF(Raspored!$D$5:$D$65,"x")</f>
        <v/>
      </c>
    </row>
    <row r="7">
      <c r="A7" s="9" t="inlineStr">
        <is>
          <t>Plastika i metal (žuta)</t>
        </is>
      </c>
      <c r="B7" s="6">
        <f>IFERROR(1/(1/_xlfn.MINIFS(Raspored!$A$5:$A$65,Raspored!$E$5:$E$65,"x",Raspored!$A$5:$A$65,"&gt;="&amp;$B$3)),"nema više u 2026.")</f>
        <v/>
      </c>
      <c r="C7" s="7">
        <f>IF(ISNUMBER(B7),INDEX({"nedjelja","ponedjeljak","utorak","srijeda","četvrtak","petak","subota"},WEEKDAY(B7)),"")</f>
        <v/>
      </c>
      <c r="D7" s="8">
        <f>IF(ISNUMBER(B7),B7-$B$3,"")</f>
        <v/>
      </c>
      <c r="E7" s="7">
        <f>COUNTIF(Raspored!$E$5:$E$65,"x")</f>
        <v/>
      </c>
    </row>
    <row r="8">
      <c r="A8" s="10" t="inlineStr">
        <is>
          <t>Papir (plava)</t>
        </is>
      </c>
      <c r="B8" s="6">
        <f>IFERROR(1/(1/_xlfn.MINIFS(Raspored!$A$5:$A$65,Raspored!$F$5:$F$65,"x",Raspored!$A$5:$A$65,"&gt;="&amp;$B$3)),"nema više u 2026.")</f>
        <v/>
      </c>
      <c r="C8" s="7">
        <f>IF(ISNUMBER(B8),INDEX({"nedjelja","ponedjeljak","utorak","srijeda","četvrtak","petak","subota"},WEEKDAY(B8)),"")</f>
        <v/>
      </c>
      <c r="D8" s="8">
        <f>IF(ISNUMBER(B8),B8-$B$3,"")</f>
        <v/>
      </c>
      <c r="E8" s="7">
        <f>COUNTIF(Raspored!$F$5:$F$65,"x")</f>
        <v/>
      </c>
    </row>
    <row r="10">
      <c r="A10" s="11" t="inlineStr">
        <is>
          <t>Broj odvoza po mjesecu</t>
        </is>
      </c>
    </row>
    <row r="11" ht="30" customHeight="1">
      <c r="A11" s="4" t="inlineStr">
        <is>
          <t>Mjesec</t>
        </is>
      </c>
      <c r="B11" s="12" t="inlineStr">
        <is>
          <t>Miješani komunalni otpad</t>
        </is>
      </c>
      <c r="C11" s="13" t="inlineStr">
        <is>
          <t>Plastika i metal (žuta)</t>
        </is>
      </c>
      <c r="D11" s="14" t="inlineStr">
        <is>
          <t>Papir (plava)</t>
        </is>
      </c>
    </row>
    <row r="12">
      <c r="A12" s="15" t="inlineStr">
        <is>
          <t>siječanj</t>
        </is>
      </c>
      <c r="B12" s="7">
        <f>COUNTIFS(Raspored!$C$5:$C$65,$A12,Raspored!$D$5:$D$65,"x")</f>
        <v/>
      </c>
      <c r="C12" s="7">
        <f>COUNTIFS(Raspored!$C$5:$C$65,$A12,Raspored!$E$5:$E$65,"x")</f>
        <v/>
      </c>
      <c r="D12" s="7">
        <f>COUNTIFS(Raspored!$C$5:$C$65,$A12,Raspored!$F$5:$F$65,"x")</f>
        <v/>
      </c>
    </row>
    <row r="13">
      <c r="A13" s="15" t="inlineStr">
        <is>
          <t>veljača</t>
        </is>
      </c>
      <c r="B13" s="7">
        <f>COUNTIFS(Raspored!$C$5:$C$65,$A13,Raspored!$D$5:$D$65,"x")</f>
        <v/>
      </c>
      <c r="C13" s="7">
        <f>COUNTIFS(Raspored!$C$5:$C$65,$A13,Raspored!$E$5:$E$65,"x")</f>
        <v/>
      </c>
      <c r="D13" s="7">
        <f>COUNTIFS(Raspored!$C$5:$C$65,$A13,Raspored!$F$5:$F$65,"x")</f>
        <v/>
      </c>
    </row>
    <row r="14">
      <c r="A14" s="15" t="inlineStr">
        <is>
          <t>ožujak</t>
        </is>
      </c>
      <c r="B14" s="7">
        <f>COUNTIFS(Raspored!$C$5:$C$65,$A14,Raspored!$D$5:$D$65,"x")</f>
        <v/>
      </c>
      <c r="C14" s="7">
        <f>COUNTIFS(Raspored!$C$5:$C$65,$A14,Raspored!$E$5:$E$65,"x")</f>
        <v/>
      </c>
      <c r="D14" s="7">
        <f>COUNTIFS(Raspored!$C$5:$C$65,$A14,Raspored!$F$5:$F$65,"x")</f>
        <v/>
      </c>
    </row>
    <row r="15">
      <c r="A15" s="15" t="inlineStr">
        <is>
          <t>travanj</t>
        </is>
      </c>
      <c r="B15" s="7">
        <f>COUNTIFS(Raspored!$C$5:$C$65,$A15,Raspored!$D$5:$D$65,"x")</f>
        <v/>
      </c>
      <c r="C15" s="7">
        <f>COUNTIFS(Raspored!$C$5:$C$65,$A15,Raspored!$E$5:$E$65,"x")</f>
        <v/>
      </c>
      <c r="D15" s="7">
        <f>COUNTIFS(Raspored!$C$5:$C$65,$A15,Raspored!$F$5:$F$65,"x")</f>
        <v/>
      </c>
    </row>
    <row r="16">
      <c r="A16" s="15" t="inlineStr">
        <is>
          <t>svibanj</t>
        </is>
      </c>
      <c r="B16" s="7">
        <f>COUNTIFS(Raspored!$C$5:$C$65,$A16,Raspored!$D$5:$D$65,"x")</f>
        <v/>
      </c>
      <c r="C16" s="7">
        <f>COUNTIFS(Raspored!$C$5:$C$65,$A16,Raspored!$E$5:$E$65,"x")</f>
        <v/>
      </c>
      <c r="D16" s="7">
        <f>COUNTIFS(Raspored!$C$5:$C$65,$A16,Raspored!$F$5:$F$65,"x")</f>
        <v/>
      </c>
    </row>
    <row r="17">
      <c r="A17" s="15" t="inlineStr">
        <is>
          <t>lipanj</t>
        </is>
      </c>
      <c r="B17" s="7">
        <f>COUNTIFS(Raspored!$C$5:$C$65,$A17,Raspored!$D$5:$D$65,"x")</f>
        <v/>
      </c>
      <c r="C17" s="7">
        <f>COUNTIFS(Raspored!$C$5:$C$65,$A17,Raspored!$E$5:$E$65,"x")</f>
        <v/>
      </c>
      <c r="D17" s="7">
        <f>COUNTIFS(Raspored!$C$5:$C$65,$A17,Raspored!$F$5:$F$65,"x")</f>
        <v/>
      </c>
    </row>
    <row r="18">
      <c r="A18" s="15" t="inlineStr">
        <is>
          <t>srpanj</t>
        </is>
      </c>
      <c r="B18" s="7">
        <f>COUNTIFS(Raspored!$C$5:$C$65,$A18,Raspored!$D$5:$D$65,"x")</f>
        <v/>
      </c>
      <c r="C18" s="7">
        <f>COUNTIFS(Raspored!$C$5:$C$65,$A18,Raspored!$E$5:$E$65,"x")</f>
        <v/>
      </c>
      <c r="D18" s="7">
        <f>COUNTIFS(Raspored!$C$5:$C$65,$A18,Raspored!$F$5:$F$65,"x")</f>
        <v/>
      </c>
    </row>
    <row r="19">
      <c r="A19" s="15" t="inlineStr">
        <is>
          <t>kolovoz</t>
        </is>
      </c>
      <c r="B19" s="7">
        <f>COUNTIFS(Raspored!$C$5:$C$65,$A19,Raspored!$D$5:$D$65,"x")</f>
        <v/>
      </c>
      <c r="C19" s="7">
        <f>COUNTIFS(Raspored!$C$5:$C$65,$A19,Raspored!$E$5:$E$65,"x")</f>
        <v/>
      </c>
      <c r="D19" s="7">
        <f>COUNTIFS(Raspored!$C$5:$C$65,$A19,Raspored!$F$5:$F$65,"x")</f>
        <v/>
      </c>
    </row>
    <row r="20">
      <c r="A20" s="15" t="inlineStr">
        <is>
          <t>rujan</t>
        </is>
      </c>
      <c r="B20" s="7">
        <f>COUNTIFS(Raspored!$C$5:$C$65,$A20,Raspored!$D$5:$D$65,"x")</f>
        <v/>
      </c>
      <c r="C20" s="7">
        <f>COUNTIFS(Raspored!$C$5:$C$65,$A20,Raspored!$E$5:$E$65,"x")</f>
        <v/>
      </c>
      <c r="D20" s="7">
        <f>COUNTIFS(Raspored!$C$5:$C$65,$A20,Raspored!$F$5:$F$65,"x")</f>
        <v/>
      </c>
    </row>
    <row r="21">
      <c r="A21" s="15" t="inlineStr">
        <is>
          <t>listopad</t>
        </is>
      </c>
      <c r="B21" s="7">
        <f>COUNTIFS(Raspored!$C$5:$C$65,$A21,Raspored!$D$5:$D$65,"x")</f>
        <v/>
      </c>
      <c r="C21" s="7">
        <f>COUNTIFS(Raspored!$C$5:$C$65,$A21,Raspored!$E$5:$E$65,"x")</f>
        <v/>
      </c>
      <c r="D21" s="7">
        <f>COUNTIFS(Raspored!$C$5:$C$65,$A21,Raspored!$F$5:$F$65,"x")</f>
        <v/>
      </c>
    </row>
    <row r="22">
      <c r="A22" s="15" t="inlineStr">
        <is>
          <t>studeni</t>
        </is>
      </c>
      <c r="B22" s="7">
        <f>COUNTIFS(Raspored!$C$5:$C$65,$A22,Raspored!$D$5:$D$65,"x")</f>
        <v/>
      </c>
      <c r="C22" s="7">
        <f>COUNTIFS(Raspored!$C$5:$C$65,$A22,Raspored!$E$5:$E$65,"x")</f>
        <v/>
      </c>
      <c r="D22" s="7">
        <f>COUNTIFS(Raspored!$C$5:$C$65,$A22,Raspored!$F$5:$F$65,"x")</f>
        <v/>
      </c>
    </row>
    <row r="23">
      <c r="A23" s="15" t="inlineStr">
        <is>
          <t>prosinac</t>
        </is>
      </c>
      <c r="B23" s="7">
        <f>COUNTIFS(Raspored!$C$5:$C$65,$A23,Raspored!$D$5:$D$65,"x")</f>
        <v/>
      </c>
      <c r="C23" s="7">
        <f>COUNTIFS(Raspored!$C$5:$C$65,$A23,Raspored!$E$5:$E$65,"x")</f>
        <v/>
      </c>
      <c r="D23" s="7">
        <f>COUNTIFS(Raspored!$C$5:$C$65,$A23,Raspored!$F$5:$F$65,"x")</f>
        <v/>
      </c>
    </row>
    <row r="24">
      <c r="A24" s="16" t="inlineStr">
        <is>
          <t>Ukupno</t>
        </is>
      </c>
      <c r="B24" s="17">
        <f>SUM(B12:B23)</f>
        <v/>
      </c>
      <c r="C24" s="17">
        <f>SUM(C12:C23)</f>
        <v/>
      </c>
      <c r="D24" s="17">
        <f>SUM(D12:D23)</f>
        <v/>
      </c>
    </row>
    <row r="26">
      <c r="A26" s="18" t="inlineStr">
        <is>
          <t>Napomene:</t>
        </is>
      </c>
    </row>
    <row r="27">
      <c r="A27" s="19" t="inlineStr">
        <is>
          <t>• Miješani komunalni otpad odvozi se jednom tjedno prema utvrđenom planu odvoza (dan u tjednu po ulicama i naseljima); posude treba iznijeti ispred ulaza objekta na dan odvoza.</t>
        </is>
      </c>
    </row>
    <row r="28">
      <c r="A28" s="19" t="inlineStr">
        <is>
          <t>• Papir i plastika/metal odvoze se isti dan za cijeli grad. Objavljen je raspored samo za srpanj–prosinac 2026.; za siječanj–lipanj 2026. raspored nije pronađen.</t>
        </is>
      </c>
    </row>
    <row r="29">
      <c r="A29" s="19" t="inlineStr">
        <is>
          <t>• Blagdani: kad se odvoz pomiče, Lipa objavljuje obavijest (npr. 5.8.2026.: srijeda → četvrtak, četvrtak → petak); takvi pomaci su upisani i označeni. Za ostale blagdane obavijest nije objavljena i datumi nisu pomaknuti.</t>
        </is>
      </c>
    </row>
    <row r="30">
      <c r="A30" s="19" t="inlineStr">
        <is>
          <t>• Glomazni otpad: kontejner (5 m³) na zahtjev, jednom godišnje besplatno na adresi korisnika, tel. 047 801 815; glomazni otpad može se odložiti i u reciklažnom dvorištu Grada Slunja (pon–sub).</t>
        </is>
      </c>
    </row>
    <row r="31">
      <c r="A31" s="19" t="inlineStr">
        <is>
          <t>• Komunalno društvo Lipa d.o.o., Petra Svačića 5, Slunj, tel. 047 777 790.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1 (Slunj)</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 (žuta)</t>
        </is>
      </c>
      <c r="F4" s="14" t="inlineStr">
        <is>
          <t>Papir (plava)</t>
        </is>
      </c>
      <c r="G4" s="4" t="inlineStr">
        <is>
          <t>Napomena</t>
        </is>
      </c>
    </row>
    <row r="5">
      <c r="A5" s="6" t="n">
        <v>46027</v>
      </c>
      <c r="B5" s="7" t="inlineStr">
        <is>
          <t>ponedjeljak</t>
        </is>
      </c>
      <c r="C5" s="7" t="inlineStr">
        <is>
          <t>siječanj</t>
        </is>
      </c>
      <c r="D5" s="7" t="inlineStr">
        <is>
          <t>x</t>
        </is>
      </c>
      <c r="E5" s="7" t="n"/>
      <c r="F5" s="7" t="n"/>
      <c r="G5" s="21" t="n"/>
    </row>
    <row r="6">
      <c r="A6" s="6" t="n">
        <v>46034</v>
      </c>
      <c r="B6" s="7" t="inlineStr">
        <is>
          <t>ponedjeljak</t>
        </is>
      </c>
      <c r="C6" s="7" t="inlineStr">
        <is>
          <t>siječanj</t>
        </is>
      </c>
      <c r="D6" s="7" t="inlineStr">
        <is>
          <t>x</t>
        </is>
      </c>
      <c r="E6" s="7" t="n"/>
      <c r="F6" s="7" t="n"/>
      <c r="G6" s="21" t="n"/>
    </row>
    <row r="7">
      <c r="A7" s="6" t="n">
        <v>46041</v>
      </c>
      <c r="B7" s="7" t="inlineStr">
        <is>
          <t>ponedjeljak</t>
        </is>
      </c>
      <c r="C7" s="7" t="inlineStr">
        <is>
          <t>siječanj</t>
        </is>
      </c>
      <c r="D7" s="7" t="inlineStr">
        <is>
          <t>x</t>
        </is>
      </c>
      <c r="E7" s="7" t="n"/>
      <c r="F7" s="7" t="n"/>
      <c r="G7" s="21" t="n"/>
    </row>
    <row r="8">
      <c r="A8" s="6" t="n">
        <v>46048</v>
      </c>
      <c r="B8" s="7" t="inlineStr">
        <is>
          <t>ponedjeljak</t>
        </is>
      </c>
      <c r="C8" s="7" t="inlineStr">
        <is>
          <t>siječanj</t>
        </is>
      </c>
      <c r="D8" s="7" t="inlineStr">
        <is>
          <t>x</t>
        </is>
      </c>
      <c r="E8" s="7" t="n"/>
      <c r="F8" s="7" t="n"/>
      <c r="G8" s="21" t="n"/>
    </row>
    <row r="9">
      <c r="A9" s="6" t="n">
        <v>46055</v>
      </c>
      <c r="B9" s="7" t="inlineStr">
        <is>
          <t>ponedjeljak</t>
        </is>
      </c>
      <c r="C9" s="7" t="inlineStr">
        <is>
          <t>veljača</t>
        </is>
      </c>
      <c r="D9" s="7" t="inlineStr">
        <is>
          <t>x</t>
        </is>
      </c>
      <c r="E9" s="7" t="n"/>
      <c r="F9" s="7" t="n"/>
      <c r="G9" s="21" t="n"/>
    </row>
    <row r="10">
      <c r="A10" s="6" t="n">
        <v>46062</v>
      </c>
      <c r="B10" s="7" t="inlineStr">
        <is>
          <t>ponedjeljak</t>
        </is>
      </c>
      <c r="C10" s="7" t="inlineStr">
        <is>
          <t>veljača</t>
        </is>
      </c>
      <c r="D10" s="7" t="inlineStr">
        <is>
          <t>x</t>
        </is>
      </c>
      <c r="E10" s="7" t="n"/>
      <c r="F10" s="7" t="n"/>
      <c r="G10" s="21" t="n"/>
    </row>
    <row r="11">
      <c r="A11" s="6" t="n">
        <v>46069</v>
      </c>
      <c r="B11" s="7" t="inlineStr">
        <is>
          <t>ponedjeljak</t>
        </is>
      </c>
      <c r="C11" s="7" t="inlineStr">
        <is>
          <t>veljača</t>
        </is>
      </c>
      <c r="D11" s="7" t="inlineStr">
        <is>
          <t>x</t>
        </is>
      </c>
      <c r="E11" s="7" t="n"/>
      <c r="F11" s="7" t="n"/>
      <c r="G11" s="21" t="n"/>
    </row>
    <row r="12">
      <c r="A12" s="6" t="n">
        <v>46076</v>
      </c>
      <c r="B12" s="7" t="inlineStr">
        <is>
          <t>ponedjeljak</t>
        </is>
      </c>
      <c r="C12" s="7" t="inlineStr">
        <is>
          <t>veljača</t>
        </is>
      </c>
      <c r="D12" s="7" t="inlineStr">
        <is>
          <t>x</t>
        </is>
      </c>
      <c r="E12" s="7" t="n"/>
      <c r="F12" s="7" t="n"/>
      <c r="G12" s="21" t="n"/>
    </row>
    <row r="13">
      <c r="A13" s="6" t="n">
        <v>46083</v>
      </c>
      <c r="B13" s="7" t="inlineStr">
        <is>
          <t>ponedjeljak</t>
        </is>
      </c>
      <c r="C13" s="7" t="inlineStr">
        <is>
          <t>ožujak</t>
        </is>
      </c>
      <c r="D13" s="7" t="inlineStr">
        <is>
          <t>x</t>
        </is>
      </c>
      <c r="E13" s="7" t="n"/>
      <c r="F13" s="7" t="n"/>
      <c r="G13" s="21" t="n"/>
    </row>
    <row r="14">
      <c r="A14" s="6" t="n">
        <v>46090</v>
      </c>
      <c r="B14" s="7" t="inlineStr">
        <is>
          <t>ponedjeljak</t>
        </is>
      </c>
      <c r="C14" s="7" t="inlineStr">
        <is>
          <t>ožujak</t>
        </is>
      </c>
      <c r="D14" s="7" t="inlineStr">
        <is>
          <t>x</t>
        </is>
      </c>
      <c r="E14" s="7" t="n"/>
      <c r="F14" s="7" t="n"/>
      <c r="G14" s="21" t="n"/>
    </row>
    <row r="15">
      <c r="A15" s="6" t="n">
        <v>46097</v>
      </c>
      <c r="B15" s="7" t="inlineStr">
        <is>
          <t>ponedjeljak</t>
        </is>
      </c>
      <c r="C15" s="7" t="inlineStr">
        <is>
          <t>ožujak</t>
        </is>
      </c>
      <c r="D15" s="7" t="inlineStr">
        <is>
          <t>x</t>
        </is>
      </c>
      <c r="E15" s="7" t="n"/>
      <c r="F15" s="7" t="n"/>
      <c r="G15" s="21" t="n"/>
    </row>
    <row r="16">
      <c r="A16" s="6" t="n">
        <v>46104</v>
      </c>
      <c r="B16" s="7" t="inlineStr">
        <is>
          <t>ponedjeljak</t>
        </is>
      </c>
      <c r="C16" s="7" t="inlineStr">
        <is>
          <t>ožujak</t>
        </is>
      </c>
      <c r="D16" s="7" t="inlineStr">
        <is>
          <t>x</t>
        </is>
      </c>
      <c r="E16" s="7" t="n"/>
      <c r="F16" s="7" t="n"/>
      <c r="G16" s="21" t="n"/>
    </row>
    <row r="17">
      <c r="A17" s="6" t="n">
        <v>46111</v>
      </c>
      <c r="B17" s="7" t="inlineStr">
        <is>
          <t>ponedjeljak</t>
        </is>
      </c>
      <c r="C17" s="7" t="inlineStr">
        <is>
          <t>ožujak</t>
        </is>
      </c>
      <c r="D17" s="7" t="inlineStr">
        <is>
          <t>x</t>
        </is>
      </c>
      <c r="E17" s="7" t="n"/>
      <c r="F17" s="7" t="n"/>
      <c r="G17" s="21" t="n"/>
    </row>
    <row r="18">
      <c r="A18" s="6" t="n">
        <v>46118</v>
      </c>
      <c r="B18" s="7" t="inlineStr">
        <is>
          <t>ponedjeljak</t>
        </is>
      </c>
      <c r="C18" s="7" t="inlineStr">
        <is>
          <t>travanj</t>
        </is>
      </c>
      <c r="D18" s="7" t="inlineStr">
        <is>
          <t>x</t>
        </is>
      </c>
      <c r="E18" s="7" t="n"/>
      <c r="F18" s="7" t="n"/>
      <c r="G18" s="21" t="n"/>
    </row>
    <row r="19">
      <c r="A19" s="6" t="n">
        <v>46125</v>
      </c>
      <c r="B19" s="7" t="inlineStr">
        <is>
          <t>ponedjeljak</t>
        </is>
      </c>
      <c r="C19" s="7" t="inlineStr">
        <is>
          <t>travanj</t>
        </is>
      </c>
      <c r="D19" s="7" t="inlineStr">
        <is>
          <t>x</t>
        </is>
      </c>
      <c r="E19" s="7" t="n"/>
      <c r="F19" s="7" t="n"/>
      <c r="G19" s="21" t="n"/>
    </row>
    <row r="20">
      <c r="A20" s="6" t="n">
        <v>46132</v>
      </c>
      <c r="B20" s="7" t="inlineStr">
        <is>
          <t>ponedjeljak</t>
        </is>
      </c>
      <c r="C20" s="7" t="inlineStr">
        <is>
          <t>travanj</t>
        </is>
      </c>
      <c r="D20" s="7" t="inlineStr">
        <is>
          <t>x</t>
        </is>
      </c>
      <c r="E20" s="7" t="n"/>
      <c r="F20" s="7" t="n"/>
      <c r="G20" s="21" t="n"/>
    </row>
    <row r="21">
      <c r="A21" s="6" t="n">
        <v>46139</v>
      </c>
      <c r="B21" s="7" t="inlineStr">
        <is>
          <t>ponedjeljak</t>
        </is>
      </c>
      <c r="C21" s="7" t="inlineStr">
        <is>
          <t>travanj</t>
        </is>
      </c>
      <c r="D21" s="7" t="inlineStr">
        <is>
          <t>x</t>
        </is>
      </c>
      <c r="E21" s="7" t="n"/>
      <c r="F21" s="7" t="n"/>
      <c r="G21" s="21" t="n"/>
    </row>
    <row r="22">
      <c r="A22" s="6" t="n">
        <v>46146</v>
      </c>
      <c r="B22" s="7" t="inlineStr">
        <is>
          <t>ponedjeljak</t>
        </is>
      </c>
      <c r="C22" s="7" t="inlineStr">
        <is>
          <t>svibanj</t>
        </is>
      </c>
      <c r="D22" s="7" t="inlineStr">
        <is>
          <t>x</t>
        </is>
      </c>
      <c r="E22" s="7" t="n"/>
      <c r="F22" s="7" t="n"/>
      <c r="G22" s="21" t="n"/>
    </row>
    <row r="23">
      <c r="A23" s="6" t="n">
        <v>46153</v>
      </c>
      <c r="B23" s="7" t="inlineStr">
        <is>
          <t>ponedjeljak</t>
        </is>
      </c>
      <c r="C23" s="7" t="inlineStr">
        <is>
          <t>svibanj</t>
        </is>
      </c>
      <c r="D23" s="7" t="inlineStr">
        <is>
          <t>x</t>
        </is>
      </c>
      <c r="E23" s="7" t="n"/>
      <c r="F23" s="7" t="n"/>
      <c r="G23" s="21" t="n"/>
    </row>
    <row r="24">
      <c r="A24" s="6" t="n">
        <v>46160</v>
      </c>
      <c r="B24" s="7" t="inlineStr">
        <is>
          <t>ponedjeljak</t>
        </is>
      </c>
      <c r="C24" s="7" t="inlineStr">
        <is>
          <t>svibanj</t>
        </is>
      </c>
      <c r="D24" s="7" t="inlineStr">
        <is>
          <t>x</t>
        </is>
      </c>
      <c r="E24" s="7" t="n"/>
      <c r="F24" s="7" t="n"/>
      <c r="G24" s="21" t="n"/>
    </row>
    <row r="25">
      <c r="A25" s="6" t="n">
        <v>46167</v>
      </c>
      <c r="B25" s="7" t="inlineStr">
        <is>
          <t>ponedjeljak</t>
        </is>
      </c>
      <c r="C25" s="7" t="inlineStr">
        <is>
          <t>svibanj</t>
        </is>
      </c>
      <c r="D25" s="7" t="inlineStr">
        <is>
          <t>x</t>
        </is>
      </c>
      <c r="E25" s="7" t="n"/>
      <c r="F25" s="7" t="n"/>
      <c r="G25" s="21" t="n"/>
    </row>
    <row r="26">
      <c r="A26" s="6" t="n">
        <v>46174</v>
      </c>
      <c r="B26" s="7" t="inlineStr">
        <is>
          <t>ponedjeljak</t>
        </is>
      </c>
      <c r="C26" s="7" t="inlineStr">
        <is>
          <t>lipanj</t>
        </is>
      </c>
      <c r="D26" s="7" t="inlineStr">
        <is>
          <t>x</t>
        </is>
      </c>
      <c r="E26" s="7" t="n"/>
      <c r="F26" s="7" t="n"/>
      <c r="G26" s="21" t="n"/>
    </row>
    <row r="27">
      <c r="A27" s="6" t="n">
        <v>46181</v>
      </c>
      <c r="B27" s="7" t="inlineStr">
        <is>
          <t>ponedjeljak</t>
        </is>
      </c>
      <c r="C27" s="7" t="inlineStr">
        <is>
          <t>lipanj</t>
        </is>
      </c>
      <c r="D27" s="7" t="inlineStr">
        <is>
          <t>x</t>
        </is>
      </c>
      <c r="E27" s="7" t="n"/>
      <c r="F27" s="7" t="n"/>
      <c r="G27" s="21" t="n"/>
    </row>
    <row r="28">
      <c r="A28" s="6" t="n">
        <v>46188</v>
      </c>
      <c r="B28" s="7" t="inlineStr">
        <is>
          <t>ponedjeljak</t>
        </is>
      </c>
      <c r="C28" s="7" t="inlineStr">
        <is>
          <t>lipanj</t>
        </is>
      </c>
      <c r="D28" s="7" t="inlineStr">
        <is>
          <t>x</t>
        </is>
      </c>
      <c r="E28" s="7" t="n"/>
      <c r="F28" s="7" t="n"/>
      <c r="G28" s="21" t="n"/>
    </row>
    <row r="29">
      <c r="A29" s="6" t="n">
        <v>46195</v>
      </c>
      <c r="B29" s="7" t="inlineStr">
        <is>
          <t>ponedjeljak</t>
        </is>
      </c>
      <c r="C29" s="7" t="inlineStr">
        <is>
          <t>lipanj</t>
        </is>
      </c>
      <c r="D29" s="7" t="inlineStr">
        <is>
          <t>x</t>
        </is>
      </c>
      <c r="E29" s="7" t="n"/>
      <c r="F29" s="7" t="n"/>
      <c r="G29" s="21" t="n"/>
    </row>
    <row r="30">
      <c r="A30" s="6" t="n">
        <v>46202</v>
      </c>
      <c r="B30" s="7" t="inlineStr">
        <is>
          <t>ponedjeljak</t>
        </is>
      </c>
      <c r="C30" s="7" t="inlineStr">
        <is>
          <t>lipanj</t>
        </is>
      </c>
      <c r="D30" s="7" t="inlineStr">
        <is>
          <t>x</t>
        </is>
      </c>
      <c r="E30" s="7" t="n"/>
      <c r="F30" s="7" t="n"/>
      <c r="G30" s="21" t="n"/>
    </row>
    <row r="31">
      <c r="A31" s="6" t="n">
        <v>46209</v>
      </c>
      <c r="B31" s="7" t="inlineStr">
        <is>
          <t>ponedjeljak</t>
        </is>
      </c>
      <c r="C31" s="7" t="inlineStr">
        <is>
          <t>srpanj</t>
        </is>
      </c>
      <c r="D31" s="7" t="inlineStr">
        <is>
          <t>x</t>
        </is>
      </c>
      <c r="E31" s="7" t="n"/>
      <c r="F31" s="7" t="n"/>
      <c r="G31" s="21" t="n"/>
    </row>
    <row r="32">
      <c r="A32" s="6" t="n">
        <v>46213</v>
      </c>
      <c r="B32" s="7" t="inlineStr">
        <is>
          <t>petak</t>
        </is>
      </c>
      <c r="C32" s="7" t="inlineStr">
        <is>
          <t>srpanj</t>
        </is>
      </c>
      <c r="D32" s="7" t="n"/>
      <c r="E32" s="7" t="inlineStr">
        <is>
          <t>x</t>
        </is>
      </c>
      <c r="F32" s="7" t="inlineStr">
        <is>
          <t>x</t>
        </is>
      </c>
      <c r="G32" s="21" t="n"/>
    </row>
    <row r="33">
      <c r="A33" s="6" t="n">
        <v>46216</v>
      </c>
      <c r="B33" s="7" t="inlineStr">
        <is>
          <t>ponedjeljak</t>
        </is>
      </c>
      <c r="C33" s="7" t="inlineStr">
        <is>
          <t>srpanj</t>
        </is>
      </c>
      <c r="D33" s="7" t="inlineStr">
        <is>
          <t>x</t>
        </is>
      </c>
      <c r="E33" s="7" t="n"/>
      <c r="F33" s="7" t="n"/>
      <c r="G33" s="21" t="n"/>
    </row>
    <row r="34">
      <c r="A34" s="6" t="n">
        <v>46223</v>
      </c>
      <c r="B34" s="7" t="inlineStr">
        <is>
          <t>ponedjeljak</t>
        </is>
      </c>
      <c r="C34" s="7" t="inlineStr">
        <is>
          <t>srpanj</t>
        </is>
      </c>
      <c r="D34" s="7" t="inlineStr">
        <is>
          <t>x</t>
        </is>
      </c>
      <c r="E34" s="7" t="n"/>
      <c r="F34" s="7" t="n"/>
      <c r="G34" s="21" t="n"/>
    </row>
    <row r="35">
      <c r="A35" s="6" t="n">
        <v>46230</v>
      </c>
      <c r="B35" s="7" t="inlineStr">
        <is>
          <t>ponedjeljak</t>
        </is>
      </c>
      <c r="C35" s="7" t="inlineStr">
        <is>
          <t>srpanj</t>
        </is>
      </c>
      <c r="D35" s="7" t="inlineStr">
        <is>
          <t>x</t>
        </is>
      </c>
      <c r="E35" s="7" t="n"/>
      <c r="F35" s="7" t="n"/>
      <c r="G35" s="21" t="n"/>
    </row>
    <row r="36">
      <c r="A36" s="6" t="n">
        <v>46234</v>
      </c>
      <c r="B36" s="7" t="inlineStr">
        <is>
          <t>petak</t>
        </is>
      </c>
      <c r="C36" s="7" t="inlineStr">
        <is>
          <t>srpanj</t>
        </is>
      </c>
      <c r="D36" s="7" t="n"/>
      <c r="E36" s="7" t="inlineStr">
        <is>
          <t>x</t>
        </is>
      </c>
      <c r="F36" s="7" t="inlineStr">
        <is>
          <t>x</t>
        </is>
      </c>
      <c r="G36" s="21" t="n"/>
    </row>
    <row r="37">
      <c r="A37" s="6" t="n">
        <v>46237</v>
      </c>
      <c r="B37" s="7" t="inlineStr">
        <is>
          <t>ponedjeljak</t>
        </is>
      </c>
      <c r="C37" s="7" t="inlineStr">
        <is>
          <t>kolovoz</t>
        </is>
      </c>
      <c r="D37" s="7" t="inlineStr">
        <is>
          <t>x</t>
        </is>
      </c>
      <c r="E37" s="7" t="n"/>
      <c r="F37" s="7" t="n"/>
      <c r="G37" s="21" t="n"/>
    </row>
    <row r="38">
      <c r="A38" s="6" t="n">
        <v>46244</v>
      </c>
      <c r="B38" s="7" t="inlineStr">
        <is>
          <t>ponedjeljak</t>
        </is>
      </c>
      <c r="C38" s="7" t="inlineStr">
        <is>
          <t>kolovoz</t>
        </is>
      </c>
      <c r="D38" s="7" t="inlineStr">
        <is>
          <t>x</t>
        </is>
      </c>
      <c r="E38" s="7" t="n"/>
      <c r="F38" s="7" t="n"/>
      <c r="G38" s="21" t="n"/>
    </row>
    <row r="39">
      <c r="A39" s="6" t="n">
        <v>46248</v>
      </c>
      <c r="B39" s="7" t="inlineStr">
        <is>
          <t>petak</t>
        </is>
      </c>
      <c r="C39" s="7" t="inlineStr">
        <is>
          <t>kolovoz</t>
        </is>
      </c>
      <c r="D39" s="7" t="n"/>
      <c r="E39" s="7" t="inlineStr">
        <is>
          <t>x</t>
        </is>
      </c>
      <c r="F39" s="7" t="inlineStr">
        <is>
          <t>x</t>
        </is>
      </c>
      <c r="G39" s="21" t="n"/>
    </row>
    <row r="40">
      <c r="A40" s="6" t="n">
        <v>46251</v>
      </c>
      <c r="B40" s="7" t="inlineStr">
        <is>
          <t>ponedjeljak</t>
        </is>
      </c>
      <c r="C40" s="7" t="inlineStr">
        <is>
          <t>kolovoz</t>
        </is>
      </c>
      <c r="D40" s="7" t="inlineStr">
        <is>
          <t>x</t>
        </is>
      </c>
      <c r="E40" s="7" t="n"/>
      <c r="F40" s="7" t="n"/>
      <c r="G40" s="21" t="n"/>
    </row>
    <row r="41">
      <c r="A41" s="6" t="n">
        <v>46258</v>
      </c>
      <c r="B41" s="7" t="inlineStr">
        <is>
          <t>ponedjeljak</t>
        </is>
      </c>
      <c r="C41" s="7" t="inlineStr">
        <is>
          <t>kolovoz</t>
        </is>
      </c>
      <c r="D41" s="7" t="inlineStr">
        <is>
          <t>x</t>
        </is>
      </c>
      <c r="E41" s="7" t="n"/>
      <c r="F41" s="7" t="n"/>
      <c r="G41" s="21" t="n"/>
    </row>
    <row r="42">
      <c r="A42" s="6" t="n">
        <v>46262</v>
      </c>
      <c r="B42" s="7" t="inlineStr">
        <is>
          <t>petak</t>
        </is>
      </c>
      <c r="C42" s="7" t="inlineStr">
        <is>
          <t>kolovoz</t>
        </is>
      </c>
      <c r="D42" s="7" t="n"/>
      <c r="E42" s="7" t="inlineStr">
        <is>
          <t>x</t>
        </is>
      </c>
      <c r="F42" s="7" t="inlineStr">
        <is>
          <t>x</t>
        </is>
      </c>
      <c r="G42" s="21" t="n"/>
    </row>
    <row r="43">
      <c r="A43" s="6" t="n">
        <v>46265</v>
      </c>
      <c r="B43" s="7" t="inlineStr">
        <is>
          <t>ponedjeljak</t>
        </is>
      </c>
      <c r="C43" s="7" t="inlineStr">
        <is>
          <t>kolovoz</t>
        </is>
      </c>
      <c r="D43" s="7" t="inlineStr">
        <is>
          <t>x</t>
        </is>
      </c>
      <c r="E43" s="7" t="n"/>
      <c r="F43" s="7" t="n"/>
      <c r="G43" s="21" t="n"/>
    </row>
    <row r="44">
      <c r="A44" s="6" t="n">
        <v>46272</v>
      </c>
      <c r="B44" s="7" t="inlineStr">
        <is>
          <t>ponedjeljak</t>
        </is>
      </c>
      <c r="C44" s="7" t="inlineStr">
        <is>
          <t>rujan</t>
        </is>
      </c>
      <c r="D44" s="7" t="inlineStr">
        <is>
          <t>x</t>
        </is>
      </c>
      <c r="E44" s="7" t="n"/>
      <c r="F44" s="7" t="n"/>
      <c r="G44" s="21" t="n"/>
    </row>
    <row r="45">
      <c r="A45" s="6" t="n">
        <v>46276</v>
      </c>
      <c r="B45" s="7" t="inlineStr">
        <is>
          <t>petak</t>
        </is>
      </c>
      <c r="C45" s="7" t="inlineStr">
        <is>
          <t>rujan</t>
        </is>
      </c>
      <c r="D45" s="7" t="n"/>
      <c r="E45" s="7" t="inlineStr">
        <is>
          <t>x</t>
        </is>
      </c>
      <c r="F45" s="7" t="inlineStr">
        <is>
          <t>x</t>
        </is>
      </c>
      <c r="G45" s="21" t="n"/>
    </row>
    <row r="46">
      <c r="A46" s="6" t="n">
        <v>46279</v>
      </c>
      <c r="B46" s="7" t="inlineStr">
        <is>
          <t>ponedjeljak</t>
        </is>
      </c>
      <c r="C46" s="7" t="inlineStr">
        <is>
          <t>rujan</t>
        </is>
      </c>
      <c r="D46" s="7" t="inlineStr">
        <is>
          <t>x</t>
        </is>
      </c>
      <c r="E46" s="7" t="n"/>
      <c r="F46" s="7" t="n"/>
      <c r="G46" s="21" t="n"/>
    </row>
    <row r="47">
      <c r="A47" s="6" t="n">
        <v>46286</v>
      </c>
      <c r="B47" s="7" t="inlineStr">
        <is>
          <t>ponedjeljak</t>
        </is>
      </c>
      <c r="C47" s="7" t="inlineStr">
        <is>
          <t>rujan</t>
        </is>
      </c>
      <c r="D47" s="7" t="inlineStr">
        <is>
          <t>x</t>
        </is>
      </c>
      <c r="E47" s="7" t="n"/>
      <c r="F47" s="7" t="n"/>
      <c r="G47" s="21" t="n"/>
    </row>
    <row r="48">
      <c r="A48" s="6" t="n">
        <v>46290</v>
      </c>
      <c r="B48" s="7" t="inlineStr">
        <is>
          <t>petak</t>
        </is>
      </c>
      <c r="C48" s="7" t="inlineStr">
        <is>
          <t>rujan</t>
        </is>
      </c>
      <c r="D48" s="7" t="n"/>
      <c r="E48" s="7" t="inlineStr">
        <is>
          <t>x</t>
        </is>
      </c>
      <c r="F48" s="7" t="inlineStr">
        <is>
          <t>x</t>
        </is>
      </c>
      <c r="G48" s="21" t="n"/>
    </row>
    <row r="49">
      <c r="A49" s="6" t="n">
        <v>46293</v>
      </c>
      <c r="B49" s="7" t="inlineStr">
        <is>
          <t>ponedjeljak</t>
        </is>
      </c>
      <c r="C49" s="7" t="inlineStr">
        <is>
          <t>rujan</t>
        </is>
      </c>
      <c r="D49" s="7" t="inlineStr">
        <is>
          <t>x</t>
        </is>
      </c>
      <c r="E49" s="7" t="n"/>
      <c r="F49" s="7" t="n"/>
      <c r="G49" s="21" t="n"/>
    </row>
    <row r="50">
      <c r="A50" s="6" t="n">
        <v>46300</v>
      </c>
      <c r="B50" s="7" t="inlineStr">
        <is>
          <t>ponedjeljak</t>
        </is>
      </c>
      <c r="C50" s="7" t="inlineStr">
        <is>
          <t>listopad</t>
        </is>
      </c>
      <c r="D50" s="7" t="inlineStr">
        <is>
          <t>x</t>
        </is>
      </c>
      <c r="E50" s="7" t="n"/>
      <c r="F50" s="7" t="n"/>
      <c r="G50" s="21" t="n"/>
    </row>
    <row r="51">
      <c r="A51" s="6" t="n">
        <v>46307</v>
      </c>
      <c r="B51" s="7" t="inlineStr">
        <is>
          <t>ponedjeljak</t>
        </is>
      </c>
      <c r="C51" s="7" t="inlineStr">
        <is>
          <t>listopad</t>
        </is>
      </c>
      <c r="D51" s="7" t="inlineStr">
        <is>
          <t>x</t>
        </is>
      </c>
      <c r="E51" s="7" t="n"/>
      <c r="F51" s="7" t="n"/>
      <c r="G51" s="21" t="n"/>
    </row>
    <row r="52">
      <c r="A52" s="6" t="n">
        <v>46314</v>
      </c>
      <c r="B52" s="7" t="inlineStr">
        <is>
          <t>ponedjeljak</t>
        </is>
      </c>
      <c r="C52" s="7" t="inlineStr">
        <is>
          <t>listopad</t>
        </is>
      </c>
      <c r="D52" s="7" t="inlineStr">
        <is>
          <t>x</t>
        </is>
      </c>
      <c r="E52" s="7" t="n"/>
      <c r="F52" s="7" t="n"/>
      <c r="G52" s="21" t="n"/>
    </row>
    <row r="53">
      <c r="A53" s="6" t="n">
        <v>46321</v>
      </c>
      <c r="B53" s="7" t="inlineStr">
        <is>
          <t>ponedjeljak</t>
        </is>
      </c>
      <c r="C53" s="7" t="inlineStr">
        <is>
          <t>listopad</t>
        </is>
      </c>
      <c r="D53" s="7" t="inlineStr">
        <is>
          <t>x</t>
        </is>
      </c>
      <c r="E53" s="7" t="n"/>
      <c r="F53" s="7" t="n"/>
      <c r="G53" s="21" t="n"/>
    </row>
    <row r="54">
      <c r="A54" s="6" t="n">
        <v>46325</v>
      </c>
      <c r="B54" s="7" t="inlineStr">
        <is>
          <t>petak</t>
        </is>
      </c>
      <c r="C54" s="7" t="inlineStr">
        <is>
          <t>listopad</t>
        </is>
      </c>
      <c r="D54" s="7" t="n"/>
      <c r="E54" s="7" t="inlineStr">
        <is>
          <t>x</t>
        </is>
      </c>
      <c r="F54" s="7" t="inlineStr">
        <is>
          <t>x</t>
        </is>
      </c>
      <c r="G54" s="21" t="n"/>
    </row>
    <row r="55">
      <c r="A55" s="6" t="n">
        <v>46328</v>
      </c>
      <c r="B55" s="7" t="inlineStr">
        <is>
          <t>ponedjeljak</t>
        </is>
      </c>
      <c r="C55" s="7" t="inlineStr">
        <is>
          <t>studeni</t>
        </is>
      </c>
      <c r="D55" s="7" t="inlineStr">
        <is>
          <t>x</t>
        </is>
      </c>
      <c r="E55" s="7" t="n"/>
      <c r="F55" s="7" t="n"/>
      <c r="G55" s="21" t="n"/>
    </row>
    <row r="56">
      <c r="A56" s="6" t="n">
        <v>46335</v>
      </c>
      <c r="B56" s="7" t="inlineStr">
        <is>
          <t>ponedjeljak</t>
        </is>
      </c>
      <c r="C56" s="7" t="inlineStr">
        <is>
          <t>studeni</t>
        </is>
      </c>
      <c r="D56" s="7" t="inlineStr">
        <is>
          <t>x</t>
        </is>
      </c>
      <c r="E56" s="7" t="n"/>
      <c r="F56" s="7" t="n"/>
      <c r="G56" s="21" t="n"/>
    </row>
    <row r="57">
      <c r="A57" s="6" t="n">
        <v>46342</v>
      </c>
      <c r="B57" s="7" t="inlineStr">
        <is>
          <t>ponedjeljak</t>
        </is>
      </c>
      <c r="C57" s="7" t="inlineStr">
        <is>
          <t>studeni</t>
        </is>
      </c>
      <c r="D57" s="7" t="inlineStr">
        <is>
          <t>x</t>
        </is>
      </c>
      <c r="E57" s="7" t="n"/>
      <c r="F57" s="7" t="n"/>
      <c r="G57" s="21" t="n"/>
    </row>
    <row r="58">
      <c r="A58" s="6" t="n">
        <v>46349</v>
      </c>
      <c r="B58" s="7" t="inlineStr">
        <is>
          <t>ponedjeljak</t>
        </is>
      </c>
      <c r="C58" s="7" t="inlineStr">
        <is>
          <t>studeni</t>
        </is>
      </c>
      <c r="D58" s="7" t="inlineStr">
        <is>
          <t>x</t>
        </is>
      </c>
      <c r="E58" s="7" t="n"/>
      <c r="F58" s="7" t="n"/>
      <c r="G58" s="21" t="n"/>
    </row>
    <row r="59">
      <c r="A59" s="6" t="n">
        <v>46353</v>
      </c>
      <c r="B59" s="7" t="inlineStr">
        <is>
          <t>petak</t>
        </is>
      </c>
      <c r="C59" s="7" t="inlineStr">
        <is>
          <t>studeni</t>
        </is>
      </c>
      <c r="D59" s="7" t="n"/>
      <c r="E59" s="7" t="inlineStr">
        <is>
          <t>x</t>
        </is>
      </c>
      <c r="F59" s="7" t="inlineStr">
        <is>
          <t>x</t>
        </is>
      </c>
      <c r="G59" s="21" t="n"/>
    </row>
    <row r="60">
      <c r="A60" s="6" t="n">
        <v>46356</v>
      </c>
      <c r="B60" s="7" t="inlineStr">
        <is>
          <t>ponedjeljak</t>
        </is>
      </c>
      <c r="C60" s="7" t="inlineStr">
        <is>
          <t>studeni</t>
        </is>
      </c>
      <c r="D60" s="7" t="inlineStr">
        <is>
          <t>x</t>
        </is>
      </c>
      <c r="E60" s="7" t="n"/>
      <c r="F60" s="7" t="n"/>
      <c r="G60" s="21" t="n"/>
    </row>
    <row r="61">
      <c r="A61" s="6" t="n">
        <v>46363</v>
      </c>
      <c r="B61" s="7" t="inlineStr">
        <is>
          <t>ponedjeljak</t>
        </is>
      </c>
      <c r="C61" s="7" t="inlineStr">
        <is>
          <t>prosinac</t>
        </is>
      </c>
      <c r="D61" s="7" t="inlineStr">
        <is>
          <t>x</t>
        </is>
      </c>
      <c r="E61" s="7" t="n"/>
      <c r="F61" s="7" t="n"/>
      <c r="G61" s="21" t="n"/>
    </row>
    <row r="62">
      <c r="A62" s="6" t="n">
        <v>46370</v>
      </c>
      <c r="B62" s="7" t="inlineStr">
        <is>
          <t>ponedjeljak</t>
        </is>
      </c>
      <c r="C62" s="7" t="inlineStr">
        <is>
          <t>prosinac</t>
        </is>
      </c>
      <c r="D62" s="7" t="inlineStr">
        <is>
          <t>x</t>
        </is>
      </c>
      <c r="E62" s="7" t="n"/>
      <c r="F62" s="7" t="n"/>
      <c r="G62" s="21" t="n"/>
    </row>
    <row r="63">
      <c r="A63" s="6" t="n">
        <v>46374</v>
      </c>
      <c r="B63" s="7" t="inlineStr">
        <is>
          <t>petak</t>
        </is>
      </c>
      <c r="C63" s="7" t="inlineStr">
        <is>
          <t>prosinac</t>
        </is>
      </c>
      <c r="D63" s="7" t="n"/>
      <c r="E63" s="7" t="inlineStr">
        <is>
          <t>x</t>
        </is>
      </c>
      <c r="F63" s="7" t="inlineStr">
        <is>
          <t>x</t>
        </is>
      </c>
      <c r="G63" s="21" t="n"/>
    </row>
    <row r="64">
      <c r="A64" s="6" t="n">
        <v>46377</v>
      </c>
      <c r="B64" s="7" t="inlineStr">
        <is>
          <t>ponedjeljak</t>
        </is>
      </c>
      <c r="C64" s="7" t="inlineStr">
        <is>
          <t>prosinac</t>
        </is>
      </c>
      <c r="D64" s="7" t="inlineStr">
        <is>
          <t>x</t>
        </is>
      </c>
      <c r="E64" s="7" t="n"/>
      <c r="F64" s="7" t="n"/>
      <c r="G64" s="21" t="n"/>
    </row>
    <row r="65">
      <c r="A65" s="6" t="n">
        <v>46384</v>
      </c>
      <c r="B65" s="7" t="inlineStr">
        <is>
          <t>ponedjeljak</t>
        </is>
      </c>
      <c r="C65" s="7" t="inlineStr">
        <is>
          <t>prosinac</t>
        </is>
      </c>
      <c r="D65" s="7" t="inlineStr">
        <is>
          <t>x</t>
        </is>
      </c>
      <c r="E65" s="7" t="n"/>
      <c r="F65" s="7" t="n"/>
      <c r="G65" s="21" t="n"/>
    </row>
  </sheetData>
  <autoFilter ref="A4:G65"/>
  <conditionalFormatting sqref="D5:D65">
    <cfRule type="expression" priority="1" dxfId="0">
      <formula>D5="x"</formula>
    </cfRule>
  </conditionalFormatting>
  <conditionalFormatting sqref="E5:E65">
    <cfRule type="expression" priority="2" dxfId="1">
      <formula>E5="x"</formula>
    </cfRule>
  </conditionalFormatting>
  <conditionalFormatting sqref="F5:F65">
    <cfRule type="expression" priority="3" dxfId="2">
      <formula>F5="x"</formula>
    </cfRule>
  </conditionalFormatting>
  <conditionalFormatting sqref="A5:G65">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46027</v>
      </c>
      <c r="B2" s="15" t="inlineStr">
        <is>
          <t>ponedjeljak</t>
        </is>
      </c>
      <c r="C2" s="5" t="inlineStr">
        <is>
          <t>Miješani komunalni otpad</t>
        </is>
      </c>
      <c r="D2" s="15" t="n"/>
    </row>
    <row r="3">
      <c r="A3" s="22" t="n">
        <v>46034</v>
      </c>
      <c r="B3" s="15" t="inlineStr">
        <is>
          <t>ponedjeljak</t>
        </is>
      </c>
      <c r="C3" s="5" t="inlineStr">
        <is>
          <t>Miješani komunalni otpad</t>
        </is>
      </c>
      <c r="D3" s="15" t="n"/>
    </row>
    <row r="4">
      <c r="A4" s="22" t="n">
        <v>46041</v>
      </c>
      <c r="B4" s="15" t="inlineStr">
        <is>
          <t>ponedjeljak</t>
        </is>
      </c>
      <c r="C4" s="5" t="inlineStr">
        <is>
          <t>Miješani komunalni otpad</t>
        </is>
      </c>
      <c r="D4" s="15" t="n"/>
    </row>
    <row r="5">
      <c r="A5" s="22" t="n">
        <v>46048</v>
      </c>
      <c r="B5" s="15" t="inlineStr">
        <is>
          <t>ponedjeljak</t>
        </is>
      </c>
      <c r="C5" s="5" t="inlineStr">
        <is>
          <t>Miješani komunalni otpad</t>
        </is>
      </c>
      <c r="D5" s="15" t="n"/>
    </row>
    <row r="6">
      <c r="A6" s="22" t="n">
        <v>46055</v>
      </c>
      <c r="B6" s="15" t="inlineStr">
        <is>
          <t>ponedjeljak</t>
        </is>
      </c>
      <c r="C6" s="5" t="inlineStr">
        <is>
          <t>Miješani komunalni otpad</t>
        </is>
      </c>
      <c r="D6" s="15" t="n"/>
    </row>
    <row r="7">
      <c r="A7" s="22" t="n">
        <v>46062</v>
      </c>
      <c r="B7" s="15" t="inlineStr">
        <is>
          <t>ponedjeljak</t>
        </is>
      </c>
      <c r="C7" s="5" t="inlineStr">
        <is>
          <t>Miješani komunalni otpad</t>
        </is>
      </c>
      <c r="D7" s="15" t="n"/>
    </row>
    <row r="8">
      <c r="A8" s="22" t="n">
        <v>46069</v>
      </c>
      <c r="B8" s="15" t="inlineStr">
        <is>
          <t>ponedjeljak</t>
        </is>
      </c>
      <c r="C8" s="5" t="inlineStr">
        <is>
          <t>Miješani komunalni otpad</t>
        </is>
      </c>
      <c r="D8" s="15" t="n"/>
    </row>
    <row r="9">
      <c r="A9" s="22" t="n">
        <v>46076</v>
      </c>
      <c r="B9" s="15" t="inlineStr">
        <is>
          <t>ponedjeljak</t>
        </is>
      </c>
      <c r="C9" s="5" t="inlineStr">
        <is>
          <t>Miješani komunalni otpad</t>
        </is>
      </c>
      <c r="D9" s="15" t="n"/>
    </row>
    <row r="10">
      <c r="A10" s="22" t="n">
        <v>46083</v>
      </c>
      <c r="B10" s="15" t="inlineStr">
        <is>
          <t>ponedjeljak</t>
        </is>
      </c>
      <c r="C10" s="5" t="inlineStr">
        <is>
          <t>Miješani komunalni otpad</t>
        </is>
      </c>
      <c r="D10" s="15" t="n"/>
    </row>
    <row r="11">
      <c r="A11" s="22" t="n">
        <v>46090</v>
      </c>
      <c r="B11" s="15" t="inlineStr">
        <is>
          <t>ponedjeljak</t>
        </is>
      </c>
      <c r="C11" s="5" t="inlineStr">
        <is>
          <t>Miješani komunalni otpad</t>
        </is>
      </c>
      <c r="D11" s="15" t="n"/>
    </row>
    <row r="12">
      <c r="A12" s="22" t="n">
        <v>46097</v>
      </c>
      <c r="B12" s="15" t="inlineStr">
        <is>
          <t>ponedjeljak</t>
        </is>
      </c>
      <c r="C12" s="5" t="inlineStr">
        <is>
          <t>Miješani komunalni otpad</t>
        </is>
      </c>
      <c r="D12" s="15" t="n"/>
    </row>
    <row r="13">
      <c r="A13" s="22" t="n">
        <v>46104</v>
      </c>
      <c r="B13" s="15" t="inlineStr">
        <is>
          <t>ponedjeljak</t>
        </is>
      </c>
      <c r="C13" s="5" t="inlineStr">
        <is>
          <t>Miješani komunalni otpad</t>
        </is>
      </c>
      <c r="D13" s="15" t="n"/>
    </row>
    <row r="14">
      <c r="A14" s="22" t="n">
        <v>46111</v>
      </c>
      <c r="B14" s="15" t="inlineStr">
        <is>
          <t>ponedjeljak</t>
        </is>
      </c>
      <c r="C14" s="5" t="inlineStr">
        <is>
          <t>Miješani komunalni otpad</t>
        </is>
      </c>
      <c r="D14" s="15" t="n"/>
    </row>
    <row r="15">
      <c r="A15" s="22" t="n">
        <v>46118</v>
      </c>
      <c r="B15" s="15" t="inlineStr">
        <is>
          <t>ponedjeljak</t>
        </is>
      </c>
      <c r="C15" s="5" t="inlineStr">
        <is>
          <t>Miješani komunalni otpad</t>
        </is>
      </c>
      <c r="D15" s="15" t="n"/>
    </row>
    <row r="16">
      <c r="A16" s="22" t="n">
        <v>46125</v>
      </c>
      <c r="B16" s="15" t="inlineStr">
        <is>
          <t>ponedjeljak</t>
        </is>
      </c>
      <c r="C16" s="5" t="inlineStr">
        <is>
          <t>Miješani komunalni otpad</t>
        </is>
      </c>
      <c r="D16" s="15" t="n"/>
    </row>
    <row r="17">
      <c r="A17" s="22" t="n">
        <v>46132</v>
      </c>
      <c r="B17" s="15" t="inlineStr">
        <is>
          <t>ponedjeljak</t>
        </is>
      </c>
      <c r="C17" s="5" t="inlineStr">
        <is>
          <t>Miješani komunalni otpad</t>
        </is>
      </c>
      <c r="D17" s="15" t="n"/>
    </row>
    <row r="18">
      <c r="A18" s="22" t="n">
        <v>46139</v>
      </c>
      <c r="B18" s="15" t="inlineStr">
        <is>
          <t>ponedjeljak</t>
        </is>
      </c>
      <c r="C18" s="5" t="inlineStr">
        <is>
          <t>Miješani komunalni otpad</t>
        </is>
      </c>
      <c r="D18" s="15" t="n"/>
    </row>
    <row r="19">
      <c r="A19" s="22" t="n">
        <v>46146</v>
      </c>
      <c r="B19" s="15" t="inlineStr">
        <is>
          <t>ponedjeljak</t>
        </is>
      </c>
      <c r="C19" s="5" t="inlineStr">
        <is>
          <t>Miješani komunalni otpad</t>
        </is>
      </c>
      <c r="D19" s="15" t="n"/>
    </row>
    <row r="20">
      <c r="A20" s="22" t="n">
        <v>46153</v>
      </c>
      <c r="B20" s="15" t="inlineStr">
        <is>
          <t>ponedjeljak</t>
        </is>
      </c>
      <c r="C20" s="5" t="inlineStr">
        <is>
          <t>Miješani komunalni otpad</t>
        </is>
      </c>
      <c r="D20" s="15" t="n"/>
    </row>
    <row r="21">
      <c r="A21" s="22" t="n">
        <v>46160</v>
      </c>
      <c r="B21" s="15" t="inlineStr">
        <is>
          <t>ponedjeljak</t>
        </is>
      </c>
      <c r="C21" s="5" t="inlineStr">
        <is>
          <t>Miješani komunalni otpad</t>
        </is>
      </c>
      <c r="D21" s="15" t="n"/>
    </row>
    <row r="22">
      <c r="A22" s="22" t="n">
        <v>46167</v>
      </c>
      <c r="B22" s="15" t="inlineStr">
        <is>
          <t>ponedjeljak</t>
        </is>
      </c>
      <c r="C22" s="5" t="inlineStr">
        <is>
          <t>Miješani komunalni otpad</t>
        </is>
      </c>
      <c r="D22" s="15" t="n"/>
    </row>
    <row r="23">
      <c r="A23" s="22" t="n">
        <v>46174</v>
      </c>
      <c r="B23" s="15" t="inlineStr">
        <is>
          <t>ponedjeljak</t>
        </is>
      </c>
      <c r="C23" s="5" t="inlineStr">
        <is>
          <t>Miješani komunalni otpad</t>
        </is>
      </c>
      <c r="D23" s="15" t="n"/>
    </row>
    <row r="24">
      <c r="A24" s="22" t="n">
        <v>46181</v>
      </c>
      <c r="B24" s="15" t="inlineStr">
        <is>
          <t>ponedjeljak</t>
        </is>
      </c>
      <c r="C24" s="5" t="inlineStr">
        <is>
          <t>Miješani komunalni otpad</t>
        </is>
      </c>
      <c r="D24" s="15" t="n"/>
    </row>
    <row r="25">
      <c r="A25" s="22" t="n">
        <v>46188</v>
      </c>
      <c r="B25" s="15" t="inlineStr">
        <is>
          <t>ponedjeljak</t>
        </is>
      </c>
      <c r="C25" s="5" t="inlineStr">
        <is>
          <t>Miješani komunalni otpad</t>
        </is>
      </c>
      <c r="D25" s="15" t="n"/>
    </row>
    <row r="26">
      <c r="A26" s="22" t="n">
        <v>46195</v>
      </c>
      <c r="B26" s="15" t="inlineStr">
        <is>
          <t>ponedjeljak</t>
        </is>
      </c>
      <c r="C26" s="5" t="inlineStr">
        <is>
          <t>Miješani komunalni otpad</t>
        </is>
      </c>
      <c r="D26" s="15" t="n"/>
    </row>
    <row r="27">
      <c r="A27" s="22" t="n">
        <v>46202</v>
      </c>
      <c r="B27" s="15" t="inlineStr">
        <is>
          <t>ponedjeljak</t>
        </is>
      </c>
      <c r="C27" s="5" t="inlineStr">
        <is>
          <t>Miješani komunalni otpad</t>
        </is>
      </c>
      <c r="D27" s="15" t="n"/>
    </row>
    <row r="28">
      <c r="A28" s="22" t="n">
        <v>46209</v>
      </c>
      <c r="B28" s="15" t="inlineStr">
        <is>
          <t>ponedjeljak</t>
        </is>
      </c>
      <c r="C28" s="5" t="inlineStr">
        <is>
          <t>Miješani komunalni otpad</t>
        </is>
      </c>
      <c r="D28" s="15" t="n"/>
    </row>
    <row r="29">
      <c r="A29" s="22" t="n">
        <v>46213</v>
      </c>
      <c r="B29" s="15" t="inlineStr">
        <is>
          <t>petak</t>
        </is>
      </c>
      <c r="C29" s="9" t="inlineStr">
        <is>
          <t>Plastika i metal (žuta)</t>
        </is>
      </c>
      <c r="D29" s="15" t="n"/>
    </row>
    <row r="30">
      <c r="A30" s="22" t="n">
        <v>46213</v>
      </c>
      <c r="B30" s="15" t="inlineStr">
        <is>
          <t>petak</t>
        </is>
      </c>
      <c r="C30" s="10" t="inlineStr">
        <is>
          <t>Papir (plava)</t>
        </is>
      </c>
      <c r="D30" s="15" t="n"/>
    </row>
    <row r="31">
      <c r="A31" s="22" t="n">
        <v>46216</v>
      </c>
      <c r="B31" s="15" t="inlineStr">
        <is>
          <t>ponedjeljak</t>
        </is>
      </c>
      <c r="C31" s="5" t="inlineStr">
        <is>
          <t>Miješani komunalni otpad</t>
        </is>
      </c>
      <c r="D31" s="15" t="n"/>
    </row>
    <row r="32">
      <c r="A32" s="22" t="n">
        <v>46223</v>
      </c>
      <c r="B32" s="15" t="inlineStr">
        <is>
          <t>ponedjeljak</t>
        </is>
      </c>
      <c r="C32" s="5" t="inlineStr">
        <is>
          <t>Miješani komunalni otpad</t>
        </is>
      </c>
      <c r="D32" s="15" t="n"/>
    </row>
    <row r="33">
      <c r="A33" s="22" t="n">
        <v>46230</v>
      </c>
      <c r="B33" s="15" t="inlineStr">
        <is>
          <t>ponedjeljak</t>
        </is>
      </c>
      <c r="C33" s="5" t="inlineStr">
        <is>
          <t>Miješani komunalni otpad</t>
        </is>
      </c>
      <c r="D33" s="15" t="n"/>
    </row>
    <row r="34">
      <c r="A34" s="22" t="n">
        <v>46234</v>
      </c>
      <c r="B34" s="15" t="inlineStr">
        <is>
          <t>petak</t>
        </is>
      </c>
      <c r="C34" s="9" t="inlineStr">
        <is>
          <t>Plastika i metal (žuta)</t>
        </is>
      </c>
      <c r="D34" s="15" t="n"/>
    </row>
    <row r="35">
      <c r="A35" s="22" t="n">
        <v>46234</v>
      </c>
      <c r="B35" s="15" t="inlineStr">
        <is>
          <t>petak</t>
        </is>
      </c>
      <c r="C35" s="10" t="inlineStr">
        <is>
          <t>Papir (plava)</t>
        </is>
      </c>
      <c r="D35" s="15" t="n"/>
    </row>
    <row r="36">
      <c r="A36" s="22" t="n">
        <v>46237</v>
      </c>
      <c r="B36" s="15" t="inlineStr">
        <is>
          <t>ponedjeljak</t>
        </is>
      </c>
      <c r="C36" s="5" t="inlineStr">
        <is>
          <t>Miješani komunalni otpad</t>
        </is>
      </c>
      <c r="D36" s="15" t="n"/>
    </row>
    <row r="37">
      <c r="A37" s="22" t="n">
        <v>46244</v>
      </c>
      <c r="B37" s="15" t="inlineStr">
        <is>
          <t>ponedjeljak</t>
        </is>
      </c>
      <c r="C37" s="5" t="inlineStr">
        <is>
          <t>Miješani komunalni otpad</t>
        </is>
      </c>
      <c r="D37" s="15" t="n"/>
    </row>
    <row r="38">
      <c r="A38" s="22" t="n">
        <v>46248</v>
      </c>
      <c r="B38" s="15" t="inlineStr">
        <is>
          <t>petak</t>
        </is>
      </c>
      <c r="C38" s="9" t="inlineStr">
        <is>
          <t>Plastika i metal (žuta)</t>
        </is>
      </c>
      <c r="D38" s="15" t="n"/>
    </row>
    <row r="39">
      <c r="A39" s="22" t="n">
        <v>46248</v>
      </c>
      <c r="B39" s="15" t="inlineStr">
        <is>
          <t>petak</t>
        </is>
      </c>
      <c r="C39" s="10" t="inlineStr">
        <is>
          <t>Papir (plava)</t>
        </is>
      </c>
      <c r="D39" s="15" t="n"/>
    </row>
    <row r="40">
      <c r="A40" s="22" t="n">
        <v>46251</v>
      </c>
      <c r="B40" s="15" t="inlineStr">
        <is>
          <t>ponedjeljak</t>
        </is>
      </c>
      <c r="C40" s="5" t="inlineStr">
        <is>
          <t>Miješani komunalni otpad</t>
        </is>
      </c>
      <c r="D40" s="15" t="n"/>
    </row>
    <row r="41">
      <c r="A41" s="22" t="n">
        <v>46258</v>
      </c>
      <c r="B41" s="15" t="inlineStr">
        <is>
          <t>ponedjeljak</t>
        </is>
      </c>
      <c r="C41" s="5" t="inlineStr">
        <is>
          <t>Miješani komunalni otpad</t>
        </is>
      </c>
      <c r="D41" s="15" t="n"/>
    </row>
    <row r="42">
      <c r="A42" s="22" t="n">
        <v>46262</v>
      </c>
      <c r="B42" s="15" t="inlineStr">
        <is>
          <t>petak</t>
        </is>
      </c>
      <c r="C42" s="9" t="inlineStr">
        <is>
          <t>Plastika i metal (žuta)</t>
        </is>
      </c>
      <c r="D42" s="15" t="n"/>
    </row>
    <row r="43">
      <c r="A43" s="22" t="n">
        <v>46262</v>
      </c>
      <c r="B43" s="15" t="inlineStr">
        <is>
          <t>petak</t>
        </is>
      </c>
      <c r="C43" s="10" t="inlineStr">
        <is>
          <t>Papir (plava)</t>
        </is>
      </c>
      <c r="D43" s="15" t="n"/>
    </row>
    <row r="44">
      <c r="A44" s="22" t="n">
        <v>46265</v>
      </c>
      <c r="B44" s="15" t="inlineStr">
        <is>
          <t>ponedjeljak</t>
        </is>
      </c>
      <c r="C44" s="5" t="inlineStr">
        <is>
          <t>Miješani komunalni otpad</t>
        </is>
      </c>
      <c r="D44" s="15" t="n"/>
    </row>
    <row r="45">
      <c r="A45" s="22" t="n">
        <v>46272</v>
      </c>
      <c r="B45" s="15" t="inlineStr">
        <is>
          <t>ponedjeljak</t>
        </is>
      </c>
      <c r="C45" s="5" t="inlineStr">
        <is>
          <t>Miješani komunalni otpad</t>
        </is>
      </c>
      <c r="D45" s="15" t="n"/>
    </row>
    <row r="46">
      <c r="A46" s="22" t="n">
        <v>46276</v>
      </c>
      <c r="B46" s="15" t="inlineStr">
        <is>
          <t>petak</t>
        </is>
      </c>
      <c r="C46" s="9" t="inlineStr">
        <is>
          <t>Plastika i metal (žuta)</t>
        </is>
      </c>
      <c r="D46" s="15" t="n"/>
    </row>
    <row r="47">
      <c r="A47" s="22" t="n">
        <v>46276</v>
      </c>
      <c r="B47" s="15" t="inlineStr">
        <is>
          <t>petak</t>
        </is>
      </c>
      <c r="C47" s="10" t="inlineStr">
        <is>
          <t>Papir (plava)</t>
        </is>
      </c>
      <c r="D47" s="15" t="n"/>
    </row>
    <row r="48">
      <c r="A48" s="22" t="n">
        <v>46279</v>
      </c>
      <c r="B48" s="15" t="inlineStr">
        <is>
          <t>ponedjeljak</t>
        </is>
      </c>
      <c r="C48" s="5" t="inlineStr">
        <is>
          <t>Miješani komunalni otpad</t>
        </is>
      </c>
      <c r="D48" s="15" t="n"/>
    </row>
    <row r="49">
      <c r="A49" s="22" t="n">
        <v>46286</v>
      </c>
      <c r="B49" s="15" t="inlineStr">
        <is>
          <t>ponedjeljak</t>
        </is>
      </c>
      <c r="C49" s="5" t="inlineStr">
        <is>
          <t>Miješani komunalni otpad</t>
        </is>
      </c>
      <c r="D49" s="15" t="n"/>
    </row>
    <row r="50">
      <c r="A50" s="22" t="n">
        <v>46290</v>
      </c>
      <c r="B50" s="15" t="inlineStr">
        <is>
          <t>petak</t>
        </is>
      </c>
      <c r="C50" s="9" t="inlineStr">
        <is>
          <t>Plastika i metal (žuta)</t>
        </is>
      </c>
      <c r="D50" s="15" t="n"/>
    </row>
    <row r="51">
      <c r="A51" s="22" t="n">
        <v>46290</v>
      </c>
      <c r="B51" s="15" t="inlineStr">
        <is>
          <t>petak</t>
        </is>
      </c>
      <c r="C51" s="10" t="inlineStr">
        <is>
          <t>Papir (plava)</t>
        </is>
      </c>
      <c r="D51" s="15" t="n"/>
    </row>
    <row r="52">
      <c r="A52" s="22" t="n">
        <v>46293</v>
      </c>
      <c r="B52" s="15" t="inlineStr">
        <is>
          <t>ponedjeljak</t>
        </is>
      </c>
      <c r="C52" s="5" t="inlineStr">
        <is>
          <t>Miješani komunalni otpad</t>
        </is>
      </c>
      <c r="D52" s="15" t="n"/>
    </row>
    <row r="53">
      <c r="A53" s="22" t="n">
        <v>46300</v>
      </c>
      <c r="B53" s="15" t="inlineStr">
        <is>
          <t>ponedjeljak</t>
        </is>
      </c>
      <c r="C53" s="5" t="inlineStr">
        <is>
          <t>Miješani komunalni otpad</t>
        </is>
      </c>
      <c r="D53" s="15" t="n"/>
    </row>
    <row r="54">
      <c r="A54" s="22" t="n">
        <v>46307</v>
      </c>
      <c r="B54" s="15" t="inlineStr">
        <is>
          <t>ponedjeljak</t>
        </is>
      </c>
      <c r="C54" s="5" t="inlineStr">
        <is>
          <t>Miješani komunalni otpad</t>
        </is>
      </c>
      <c r="D54" s="15" t="n"/>
    </row>
    <row r="55">
      <c r="A55" s="22" t="n">
        <v>46314</v>
      </c>
      <c r="B55" s="15" t="inlineStr">
        <is>
          <t>ponedjeljak</t>
        </is>
      </c>
      <c r="C55" s="5" t="inlineStr">
        <is>
          <t>Miješani komunalni otpad</t>
        </is>
      </c>
      <c r="D55" s="15" t="n"/>
    </row>
    <row r="56">
      <c r="A56" s="22" t="n">
        <v>46321</v>
      </c>
      <c r="B56" s="15" t="inlineStr">
        <is>
          <t>ponedjeljak</t>
        </is>
      </c>
      <c r="C56" s="5" t="inlineStr">
        <is>
          <t>Miješani komunalni otpad</t>
        </is>
      </c>
      <c r="D56" s="15" t="n"/>
    </row>
    <row r="57">
      <c r="A57" s="22" t="n">
        <v>46325</v>
      </c>
      <c r="B57" s="15" t="inlineStr">
        <is>
          <t>petak</t>
        </is>
      </c>
      <c r="C57" s="9" t="inlineStr">
        <is>
          <t>Plastika i metal (žuta)</t>
        </is>
      </c>
      <c r="D57" s="15" t="n"/>
    </row>
    <row r="58">
      <c r="A58" s="22" t="n">
        <v>46325</v>
      </c>
      <c r="B58" s="15" t="inlineStr">
        <is>
          <t>petak</t>
        </is>
      </c>
      <c r="C58" s="10" t="inlineStr">
        <is>
          <t>Papir (plava)</t>
        </is>
      </c>
      <c r="D58" s="15" t="n"/>
    </row>
    <row r="59">
      <c r="A59" s="22" t="n">
        <v>46328</v>
      </c>
      <c r="B59" s="15" t="inlineStr">
        <is>
          <t>ponedjeljak</t>
        </is>
      </c>
      <c r="C59" s="5" t="inlineStr">
        <is>
          <t>Miješani komunalni otpad</t>
        </is>
      </c>
      <c r="D59" s="15" t="n"/>
    </row>
    <row r="60">
      <c r="A60" s="22" t="n">
        <v>46335</v>
      </c>
      <c r="B60" s="15" t="inlineStr">
        <is>
          <t>ponedjeljak</t>
        </is>
      </c>
      <c r="C60" s="5" t="inlineStr">
        <is>
          <t>Miješani komunalni otpad</t>
        </is>
      </c>
      <c r="D60" s="15" t="n"/>
    </row>
    <row r="61">
      <c r="A61" s="22" t="n">
        <v>46342</v>
      </c>
      <c r="B61" s="15" t="inlineStr">
        <is>
          <t>ponedjeljak</t>
        </is>
      </c>
      <c r="C61" s="5" t="inlineStr">
        <is>
          <t>Miješani komunalni otpad</t>
        </is>
      </c>
      <c r="D61" s="15" t="n"/>
    </row>
    <row r="62">
      <c r="A62" s="22" t="n">
        <v>46349</v>
      </c>
      <c r="B62" s="15" t="inlineStr">
        <is>
          <t>ponedjeljak</t>
        </is>
      </c>
      <c r="C62" s="5" t="inlineStr">
        <is>
          <t>Miješani komunalni otpad</t>
        </is>
      </c>
      <c r="D62" s="15" t="n"/>
    </row>
    <row r="63">
      <c r="A63" s="22" t="n">
        <v>46353</v>
      </c>
      <c r="B63" s="15" t="inlineStr">
        <is>
          <t>petak</t>
        </is>
      </c>
      <c r="C63" s="9" t="inlineStr">
        <is>
          <t>Plastika i metal (žuta)</t>
        </is>
      </c>
      <c r="D63" s="15" t="n"/>
    </row>
    <row r="64">
      <c r="A64" s="22" t="n">
        <v>46353</v>
      </c>
      <c r="B64" s="15" t="inlineStr">
        <is>
          <t>petak</t>
        </is>
      </c>
      <c r="C64" s="10" t="inlineStr">
        <is>
          <t>Papir (plava)</t>
        </is>
      </c>
      <c r="D64" s="15" t="n"/>
    </row>
    <row r="65">
      <c r="A65" s="22" t="n">
        <v>46356</v>
      </c>
      <c r="B65" s="15" t="inlineStr">
        <is>
          <t>ponedjeljak</t>
        </is>
      </c>
      <c r="C65" s="5" t="inlineStr">
        <is>
          <t>Miješani komunalni otpad</t>
        </is>
      </c>
      <c r="D65" s="15" t="n"/>
    </row>
    <row r="66">
      <c r="A66" s="22" t="n">
        <v>46363</v>
      </c>
      <c r="B66" s="15" t="inlineStr">
        <is>
          <t>ponedjeljak</t>
        </is>
      </c>
      <c r="C66" s="5" t="inlineStr">
        <is>
          <t>Miješani komunalni otpad</t>
        </is>
      </c>
      <c r="D66" s="15" t="n"/>
    </row>
    <row r="67">
      <c r="A67" s="22" t="n">
        <v>46370</v>
      </c>
      <c r="B67" s="15" t="inlineStr">
        <is>
          <t>ponedjeljak</t>
        </is>
      </c>
      <c r="C67" s="5" t="inlineStr">
        <is>
          <t>Miješani komunalni otpad</t>
        </is>
      </c>
      <c r="D67" s="15" t="n"/>
    </row>
    <row r="68">
      <c r="A68" s="22" t="n">
        <v>46374</v>
      </c>
      <c r="B68" s="15" t="inlineStr">
        <is>
          <t>petak</t>
        </is>
      </c>
      <c r="C68" s="9" t="inlineStr">
        <is>
          <t>Plastika i metal (žuta)</t>
        </is>
      </c>
      <c r="D68" s="15" t="n"/>
    </row>
    <row r="69">
      <c r="A69" s="22" t="n">
        <v>46374</v>
      </c>
      <c r="B69" s="15" t="inlineStr">
        <is>
          <t>petak</t>
        </is>
      </c>
      <c r="C69" s="10" t="inlineStr">
        <is>
          <t>Papir (plava)</t>
        </is>
      </c>
      <c r="D69" s="15" t="n"/>
    </row>
    <row r="70">
      <c r="A70" s="22" t="n">
        <v>46377</v>
      </c>
      <c r="B70" s="15" t="inlineStr">
        <is>
          <t>ponedjeljak</t>
        </is>
      </c>
      <c r="C70" s="5" t="inlineStr">
        <is>
          <t>Miješani komunalni otpad</t>
        </is>
      </c>
      <c r="D70" s="15" t="n"/>
    </row>
    <row r="71">
      <c r="A71" s="22" t="n">
        <v>46384</v>
      </c>
      <c r="B71" s="15" t="inlineStr">
        <is>
          <t>ponedjeljak</t>
        </is>
      </c>
      <c r="C71" s="5" t="inlineStr">
        <is>
          <t>Miješani komunalni otpad</t>
        </is>
      </c>
      <c r="D71" s="15" t="n"/>
    </row>
  </sheetData>
  <autoFilter ref="A1:D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9"/>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(Slunj): ulice i naselja</t>
        </is>
      </c>
    </row>
    <row r="2">
      <c r="A2" s="20" t="inlineStr">
        <is>
          <t>Veljun, Točak, Lapovac, Jure Belkovića, 14. Domobranske Pukovnije dio, Plitvička, A. Šenoe, I.G. Kovačića, Kordunska, Rakovačka, Mile Cindrića, Novo Selo, Novo Naselje, Kralja Zvonimira, V. Karasa, K. Blagajskih, Ivšić Brdo, Koranska, Prilaz Centrali, Stara Cesta, I. Trnskog, V. Nazora, Školska, Melnička, Trg dr. Franje Tuđmana</t>
        </is>
      </c>
    </row>
    <row r="4">
      <c r="A4" s="4" t="inlineStr">
        <is>
          <t>Ulica / naselje</t>
        </is>
      </c>
    </row>
    <row r="5">
      <c r="A5" s="15" t="inlineStr">
        <is>
          <t>Veljun</t>
        </is>
      </c>
    </row>
    <row r="6">
      <c r="A6" s="15" t="inlineStr">
        <is>
          <t>Točak</t>
        </is>
      </c>
    </row>
    <row r="7">
      <c r="A7" s="15" t="inlineStr">
        <is>
          <t>Lapovac</t>
        </is>
      </c>
    </row>
    <row r="8">
      <c r="A8" s="15" t="inlineStr">
        <is>
          <t>Jure Belkovića</t>
        </is>
      </c>
    </row>
    <row r="9">
      <c r="A9" s="15" t="inlineStr">
        <is>
          <t>14. Domobranske Pukovnije dio</t>
        </is>
      </c>
    </row>
    <row r="10">
      <c r="A10" s="15" t="inlineStr">
        <is>
          <t>Plitvička</t>
        </is>
      </c>
    </row>
    <row r="11">
      <c r="A11" s="15" t="inlineStr">
        <is>
          <t>A. Šenoe</t>
        </is>
      </c>
    </row>
    <row r="12">
      <c r="A12" s="15" t="inlineStr">
        <is>
          <t>I.G. Kovačića</t>
        </is>
      </c>
    </row>
    <row r="13">
      <c r="A13" s="15" t="inlineStr">
        <is>
          <t>Kordunska</t>
        </is>
      </c>
    </row>
    <row r="14">
      <c r="A14" s="15" t="inlineStr">
        <is>
          <t>Rakovačka</t>
        </is>
      </c>
    </row>
    <row r="15">
      <c r="A15" s="15" t="inlineStr">
        <is>
          <t>Mile Cindrića</t>
        </is>
      </c>
    </row>
    <row r="16">
      <c r="A16" s="15" t="inlineStr">
        <is>
          <t>Novo Selo</t>
        </is>
      </c>
    </row>
    <row r="17">
      <c r="A17" s="15" t="inlineStr">
        <is>
          <t>Novo Naselje</t>
        </is>
      </c>
    </row>
    <row r="18">
      <c r="A18" s="15" t="inlineStr">
        <is>
          <t>Kralja Zvonimira</t>
        </is>
      </c>
    </row>
    <row r="19">
      <c r="A19" s="15" t="inlineStr">
        <is>
          <t>V. Karasa</t>
        </is>
      </c>
    </row>
    <row r="20">
      <c r="A20" s="15" t="inlineStr">
        <is>
          <t>K. Blagajskih</t>
        </is>
      </c>
    </row>
    <row r="21">
      <c r="A21" s="15" t="inlineStr">
        <is>
          <t>Ivšić Brdo</t>
        </is>
      </c>
    </row>
    <row r="22">
      <c r="A22" s="15" t="inlineStr">
        <is>
          <t>Koranska</t>
        </is>
      </c>
    </row>
    <row r="23">
      <c r="A23" s="15" t="inlineStr">
        <is>
          <t>Prilaz Centrali</t>
        </is>
      </c>
    </row>
    <row r="24">
      <c r="A24" s="15" t="inlineStr">
        <is>
          <t>Stara Cesta</t>
        </is>
      </c>
    </row>
    <row r="25">
      <c r="A25" s="15" t="inlineStr">
        <is>
          <t>I. Trnskog</t>
        </is>
      </c>
    </row>
    <row r="26">
      <c r="A26" s="15" t="inlineStr">
        <is>
          <t>V. Nazora</t>
        </is>
      </c>
    </row>
    <row r="27">
      <c r="A27" s="15" t="inlineStr">
        <is>
          <t>Školska</t>
        </is>
      </c>
    </row>
    <row r="28">
      <c r="A28" s="15" t="inlineStr">
        <is>
          <t>Melnička</t>
        </is>
      </c>
    </row>
    <row r="29">
      <c r="A29" s="15" t="inlineStr">
        <is>
          <t>Trg dr. Franje Tuđmana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2026-10-08T06:22:31Z</dcterms:created>
  <dcterms:modified xmlns:dcterms="http://purl.org/dc/terms/" xmlns:xsi="http://www.w3.org/2001/XMLSchema-instance" xsi:type="dcterms:W3CDTF">2026-10-08T06:22:31Z</dcterms:modified>
</cp:coreProperties>
</file>
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</definedName>
    <definedName name="_xlnm._FilterDatabase" localSheetId="2" hidden="1">'Po vrsti'!$A$1:$D$32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Plastika i folija (žuta kanta)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Papir i karton (plava kanta)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Staklena ambalaža (roza vreće)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COUNTIFS(Raspored!$C$5:$C$18,$A13,Raspored!$D$5:$D$18,"x")</f>
        <v/>
      </c>
      <c r="C13" s="7">
        <f>COUNTIFS(Raspored!$C$5:$C$18,$A13,Raspored!$E$5:$E$18,"x")</f>
        <v/>
      </c>
      <c r="D13" s="7">
        <f>COUNTIFS(Raspored!$C$5:$C$18,$A13,Raspored!$F$5:$F$18,"x")</f>
        <v/>
      </c>
      <c r="E13" s="7">
        <f>COUNTIFS(Raspored!$C$5:$C$18,$A13,Raspored!$G$5:$G$18,"x")</f>
        <v/>
      </c>
    </row>
    <row r="14">
      <c r="A14" s="17" t="inlineStr">
        <is>
          <t>veljača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</row>
    <row r="15">
      <c r="A15" s="17" t="inlineStr">
        <is>
          <t>ožujak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</row>
    <row r="16">
      <c r="A16" s="17" t="inlineStr">
        <is>
          <t>travanj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</row>
    <row r="17">
      <c r="A17" s="17" t="inlineStr">
        <is>
          <t>svibanj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</row>
    <row r="18">
      <c r="A18" s="17" t="inlineStr">
        <is>
          <t>lipanj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</row>
    <row r="19">
      <c r="A19" s="17" t="inlineStr">
        <is>
          <t>srpanj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</row>
    <row r="20">
      <c r="A20" s="17" t="inlineStr">
        <is>
          <t>kolovoz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</row>
    <row r="21">
      <c r="A21" s="17" t="inlineStr">
        <is>
          <t>rujan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</row>
    <row r="22">
      <c r="A22" s="17" t="inlineStr">
        <is>
          <t>listopad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</row>
    <row r="23">
      <c r="A23" s="17" t="inlineStr">
        <is>
          <t>studeni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</row>
    <row r="24">
      <c r="A24" s="17" t="inlineStr">
        <is>
          <t>prosinac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46303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46317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46324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46359</v>
      </c>
      <c r="B14" s="7" t="inlineStr">
        <is>
          <t>četvrtak</t>
        </is>
      </c>
      <c r="C14" s="7" t="inlineStr">
        <is>
          <t>prosinac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46366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46380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46387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</sheetData>
  <autoFilter ref="A4:H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A5:H1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46296</v>
      </c>
      <c r="B2" s="17" t="inlineStr">
        <is>
          <t>četvrtak</t>
        </is>
      </c>
      <c r="C2" s="5" t="inlineStr">
        <is>
          <t>Miješani komunalni otpad (zelena kanta)</t>
        </is>
      </c>
      <c r="D2" s="17" t="n"/>
    </row>
    <row r="3">
      <c r="A3" s="24" t="n">
        <v>46296</v>
      </c>
      <c r="B3" s="17" t="inlineStr">
        <is>
          <t>četvrtak</t>
        </is>
      </c>
      <c r="C3" s="9" t="inlineStr">
        <is>
          <t>Plastika i folija (žuta kanta)</t>
        </is>
      </c>
      <c r="D3" s="17" t="n"/>
    </row>
    <row r="4">
      <c r="A4" s="24" t="n">
        <v>46296</v>
      </c>
      <c r="B4" s="17" t="inlineStr">
        <is>
          <t>četvrtak</t>
        </is>
      </c>
      <c r="C4" s="11" t="inlineStr">
        <is>
          <t>Staklena ambalaža (roza vreće)</t>
        </is>
      </c>
      <c r="D4" s="17" t="n"/>
    </row>
    <row r="5">
      <c r="A5" s="24" t="n">
        <v>46303</v>
      </c>
      <c r="B5" s="17" t="inlineStr">
        <is>
          <t>četvrtak</t>
        </is>
      </c>
      <c r="C5" s="5" t="inlineStr">
        <is>
          <t>Miješani komunalni otpad (zelena kanta)</t>
        </is>
      </c>
      <c r="D5" s="17" t="n"/>
    </row>
    <row r="6">
      <c r="A6" s="24" t="n">
        <v>46303</v>
      </c>
      <c r="B6" s="17" t="inlineStr">
        <is>
          <t>četvrtak</t>
        </is>
      </c>
      <c r="C6" s="10" t="inlineStr">
        <is>
          <t>Papir i karton (plava kanta)</t>
        </is>
      </c>
      <c r="D6" s="17" t="n"/>
    </row>
    <row r="7">
      <c r="A7" s="24" t="n">
        <v>46310</v>
      </c>
      <c r="B7" s="17" t="inlineStr">
        <is>
          <t>četvrtak</t>
        </is>
      </c>
      <c r="C7" s="5" t="inlineStr">
        <is>
          <t>Miješani komunalni otpad (zelena kanta)</t>
        </is>
      </c>
      <c r="D7" s="17" t="n"/>
    </row>
    <row r="8">
      <c r="A8" s="24" t="n">
        <v>46310</v>
      </c>
      <c r="B8" s="17" t="inlineStr">
        <is>
          <t>četvrtak</t>
        </is>
      </c>
      <c r="C8" s="9" t="inlineStr">
        <is>
          <t>Plastika i folija (žuta kanta)</t>
        </is>
      </c>
      <c r="D8" s="17" t="n"/>
    </row>
    <row r="9">
      <c r="A9" s="24" t="n">
        <v>46317</v>
      </c>
      <c r="B9" s="17" t="inlineStr">
        <is>
          <t>četvrtak</t>
        </is>
      </c>
      <c r="C9" s="5" t="inlineStr">
        <is>
          <t>Miješani komunalni otpad (zelena kanta)</t>
        </is>
      </c>
      <c r="D9" s="17" t="n"/>
    </row>
    <row r="10">
      <c r="A10" s="24" t="n">
        <v>46317</v>
      </c>
      <c r="B10" s="17" t="inlineStr">
        <is>
          <t>četvrtak</t>
        </is>
      </c>
      <c r="C10" s="10" t="inlineStr">
        <is>
          <t>Papir i karton (plava kanta)</t>
        </is>
      </c>
      <c r="D10" s="17" t="n"/>
    </row>
    <row r="11">
      <c r="A11" s="24" t="n">
        <v>46324</v>
      </c>
      <c r="B11" s="17" t="inlineStr">
        <is>
          <t>četvrtak</t>
        </is>
      </c>
      <c r="C11" s="5" t="inlineStr">
        <is>
          <t>Miješani komunalni otpad (zelena kanta)</t>
        </is>
      </c>
      <c r="D11" s="17" t="n"/>
    </row>
    <row r="12">
      <c r="A12" s="24" t="n">
        <v>46324</v>
      </c>
      <c r="B12" s="17" t="inlineStr">
        <is>
          <t>četvrtak</t>
        </is>
      </c>
      <c r="C12" s="9" t="inlineStr">
        <is>
          <t>Plastika i folija (žuta kanta)</t>
        </is>
      </c>
      <c r="D12" s="17" t="n"/>
    </row>
    <row r="13">
      <c r="A13" s="24" t="n">
        <v>46331</v>
      </c>
      <c r="B13" s="17" t="inlineStr">
        <is>
          <t>četvrtak</t>
        </is>
      </c>
      <c r="C13" s="5" t="inlineStr">
        <is>
          <t>Miješani komunalni otpad (zelena kanta)</t>
        </is>
      </c>
      <c r="D13" s="17" t="n"/>
    </row>
    <row r="14">
      <c r="A14" s="24" t="n">
        <v>46331</v>
      </c>
      <c r="B14" s="17" t="inlineStr">
        <is>
          <t>četvrtak</t>
        </is>
      </c>
      <c r="C14" s="10" t="inlineStr">
        <is>
          <t>Papir i karton (plava kanta)</t>
        </is>
      </c>
      <c r="D14" s="17" t="n"/>
    </row>
    <row r="15">
      <c r="A15" s="24" t="n">
        <v>46331</v>
      </c>
      <c r="B15" s="17" t="inlineStr">
        <is>
          <t>četvrtak</t>
        </is>
      </c>
      <c r="C15" s="11" t="inlineStr">
        <is>
          <t>Staklena ambalaža (roza vreće)</t>
        </is>
      </c>
      <c r="D15" s="17" t="n"/>
    </row>
    <row r="16">
      <c r="A16" s="24" t="n">
        <v>46338</v>
      </c>
      <c r="B16" s="17" t="inlineStr">
        <is>
          <t>četvrtak</t>
        </is>
      </c>
      <c r="C16" s="5" t="inlineStr">
        <is>
          <t>Miješani komunalni otpad (zelena kanta)</t>
        </is>
      </c>
      <c r="D16" s="17" t="n"/>
    </row>
    <row r="17">
      <c r="A17" s="24" t="n">
        <v>46338</v>
      </c>
      <c r="B17" s="17" t="inlineStr">
        <is>
          <t>četvrtak</t>
        </is>
      </c>
      <c r="C17" s="9" t="inlineStr">
        <is>
          <t>Plastika i folija (žuta kanta)</t>
        </is>
      </c>
      <c r="D17" s="17" t="n"/>
    </row>
    <row r="18">
      <c r="A18" s="24" t="n">
        <v>46345</v>
      </c>
      <c r="B18" s="17" t="inlineStr">
        <is>
          <t>četvrtak</t>
        </is>
      </c>
      <c r="C18" s="5" t="inlineStr">
        <is>
          <t>Miješani komunalni otpad (zelena kanta)</t>
        </is>
      </c>
      <c r="D18" s="17" t="n"/>
    </row>
    <row r="19">
      <c r="A19" s="24" t="n">
        <v>46345</v>
      </c>
      <c r="B19" s="17" t="inlineStr">
        <is>
          <t>četvrtak</t>
        </is>
      </c>
      <c r="C19" s="10" t="inlineStr">
        <is>
          <t>Papir i karton (plava kanta)</t>
        </is>
      </c>
      <c r="D19" s="17" t="n"/>
    </row>
    <row r="20">
      <c r="A20" s="24" t="n">
        <v>46352</v>
      </c>
      <c r="B20" s="17" t="inlineStr">
        <is>
          <t>četvrtak</t>
        </is>
      </c>
      <c r="C20" s="5" t="inlineStr">
        <is>
          <t>Miješani komunalni otpad (zelena kanta)</t>
        </is>
      </c>
      <c r="D20" s="17" t="n"/>
    </row>
    <row r="21">
      <c r="A21" s="24" t="n">
        <v>46352</v>
      </c>
      <c r="B21" s="17" t="inlineStr">
        <is>
          <t>četvrtak</t>
        </is>
      </c>
      <c r="C21" s="9" t="inlineStr">
        <is>
          <t>Plastika i folija (žuta kanta)</t>
        </is>
      </c>
      <c r="D21" s="17" t="n"/>
    </row>
    <row r="22">
      <c r="A22" s="24" t="n">
        <v>46359</v>
      </c>
      <c r="B22" s="17" t="inlineStr">
        <is>
          <t>četvrtak</t>
        </is>
      </c>
      <c r="C22" s="5" t="inlineStr">
        <is>
          <t>Miješani komunalni otpad (zelena kanta)</t>
        </is>
      </c>
      <c r="D22" s="17" t="n"/>
    </row>
    <row r="23">
      <c r="A23" s="24" t="n">
        <v>46359</v>
      </c>
      <c r="B23" s="17" t="inlineStr">
        <is>
          <t>četvrtak</t>
        </is>
      </c>
      <c r="C23" s="10" t="inlineStr">
        <is>
          <t>Papir i karton (plava kanta)</t>
        </is>
      </c>
      <c r="D23" s="17" t="n"/>
    </row>
    <row r="24">
      <c r="A24" s="24" t="n">
        <v>46359</v>
      </c>
      <c r="B24" s="17" t="inlineStr">
        <is>
          <t>četvrtak</t>
        </is>
      </c>
      <c r="C24" s="11" t="inlineStr">
        <is>
          <t>Staklena ambalaža (roza vreće)</t>
        </is>
      </c>
      <c r="D24" s="17" t="n"/>
    </row>
    <row r="25">
      <c r="A25" s="24" t="n">
        <v>46366</v>
      </c>
      <c r="B25" s="17" t="inlineStr">
        <is>
          <t>četvrtak</t>
        </is>
      </c>
      <c r="C25" s="5" t="inlineStr">
        <is>
          <t>Miješani komunalni otpad (zelena kanta)</t>
        </is>
      </c>
      <c r="D25" s="17" t="n"/>
    </row>
    <row r="26">
      <c r="A26" s="24" t="n">
        <v>46366</v>
      </c>
      <c r="B26" s="17" t="inlineStr">
        <is>
          <t>četvrtak</t>
        </is>
      </c>
      <c r="C26" s="9" t="inlineStr">
        <is>
          <t>Plastika i folija (žuta kanta)</t>
        </is>
      </c>
      <c r="D26" s="17" t="n"/>
    </row>
    <row r="27">
      <c r="A27" s="24" t="n">
        <v>46373</v>
      </c>
      <c r="B27" s="17" t="inlineStr">
        <is>
          <t>četvrtak</t>
        </is>
      </c>
      <c r="C27" s="5" t="inlineStr">
        <is>
          <t>Miješani komunalni otpad (zelena kanta)</t>
        </is>
      </c>
      <c r="D27" s="17" t="n"/>
    </row>
    <row r="28">
      <c r="A28" s="24" t="n">
        <v>46373</v>
      </c>
      <c r="B28" s="17" t="inlineStr">
        <is>
          <t>četvrtak</t>
        </is>
      </c>
      <c r="C28" s="10" t="inlineStr">
        <is>
          <t>Papir i karton (plava kanta)</t>
        </is>
      </c>
      <c r="D28" s="17" t="n"/>
    </row>
    <row r="29">
      <c r="A29" s="24" t="n">
        <v>46380</v>
      </c>
      <c r="B29" s="17" t="inlineStr">
        <is>
          <t>četvrtak</t>
        </is>
      </c>
      <c r="C29" s="5" t="inlineStr">
        <is>
          <t>Miješani komunalni otpad (zelena kanta)</t>
        </is>
      </c>
      <c r="D29" s="17" t="n"/>
    </row>
    <row r="30">
      <c r="A30" s="24" t="n">
        <v>46380</v>
      </c>
      <c r="B30" s="17" t="inlineStr">
        <is>
          <t>četvrtak</t>
        </is>
      </c>
      <c r="C30" s="9" t="inlineStr">
        <is>
          <t>Plastika i folija (žuta kanta)</t>
        </is>
      </c>
      <c r="D30" s="17" t="n"/>
    </row>
    <row r="31">
      <c r="A31" s="24" t="n">
        <v>46387</v>
      </c>
      <c r="B31" s="17" t="inlineStr">
        <is>
          <t>četvrtak</t>
        </is>
      </c>
      <c r="C31" s="5" t="inlineStr">
        <is>
          <t>Miješani komunalni otpad (zelena kanta)</t>
        </is>
      </c>
      <c r="D31" s="17" t="n"/>
    </row>
    <row r="32">
      <c r="A32" s="24" t="n">
        <v>46387</v>
      </c>
      <c r="B32" s="17" t="inlineStr">
        <is>
          <t>četvrtak</t>
        </is>
      </c>
      <c r="C32" s="10" t="inlineStr">
        <is>
          <t>Papir i karton (plava kanta)</t>
        </is>
      </c>
      <c r="D32" s="17" t="n"/>
    </row>
  </sheetData>
  <autoFilter ref="A1:D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Pelješka župa</t>
        </is>
      </c>
    </row>
    <row r="6">
      <c r="A6" s="17" t="inlineStr">
        <is>
          <t>Potomje</t>
        </is>
      </c>
    </row>
    <row r="7">
      <c r="A7" s="17" t="inlineStr">
        <is>
          <t>Pijavičino</t>
        </is>
      </c>
    </row>
    <row r="8">
      <c r="A8" s="17" t="inlineStr">
        <is>
          <t>Kuna</t>
        </is>
      </c>
    </row>
    <row r="9">
      <c r="A9" s="17" t="inlineStr">
        <is>
          <t>Oskorušno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
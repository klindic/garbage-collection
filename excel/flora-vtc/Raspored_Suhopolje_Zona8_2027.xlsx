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'Raspored'!$A$4:$H$12</definedName>
    <definedName name="_xlnm._FilterDatabase" localSheetId="2" hidden="1">'Po vrsti'!$A$1:$D$21</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7"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8, 2027: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2027.</t>
        </is>
      </c>
    </row>
    <row r="6">
      <c r="A6" s="5" t="inlineStr">
        <is>
          <t>Miješani komunalni otpad (zelena posuda)</t>
        </is>
      </c>
      <c r="B6" s="6">
        <f>IFERROR(1/(1/_xlfn.MINIFS(Raspored!$A$5:$A$12,Raspored!$D$5:$D$12,"x",Raspored!$A$5:$A$12,"&gt;="&amp;$B$3)),"nema više u 2027.")</f>
        <v/>
      </c>
      <c r="C6" s="7">
        <f>IF(ISNUMBER(B6),INDEX({"nedjelja","ponedjeljak","utorak","srijeda","četvrtak","petak","subota"},WEEKDAY(B6)),"")</f>
        <v/>
      </c>
      <c r="D6" s="8">
        <f>IF(ISNUMBER(B6),B6-$B$3,"")</f>
        <v/>
      </c>
      <c r="E6" s="7">
        <f>COUNTIF(Raspored!$D$5:$D$12,"x")</f>
        <v/>
      </c>
    </row>
    <row r="7">
      <c r="A7" s="9" t="inlineStr">
        <is>
          <t>Biootpad</t>
        </is>
      </c>
      <c r="B7" s="6">
        <f>IFERROR(1/(1/_xlfn.MINIFS(Raspored!$A$5:$A$12,Raspored!$E$5:$E$12,"x",Raspored!$A$5:$A$12,"&gt;="&amp;$B$3)),"nema više u 2027.")</f>
        <v/>
      </c>
      <c r="C7" s="7">
        <f>IF(ISNUMBER(B7),INDEX({"nedjelja","ponedjeljak","utorak","srijeda","četvrtak","petak","subota"},WEEKDAY(B7)),"")</f>
        <v/>
      </c>
      <c r="D7" s="8">
        <f>IF(ISNUMBER(B7),B7-$B$3,"")</f>
        <v/>
      </c>
      <c r="E7" s="7">
        <f>COUNTIF(Raspored!$E$5:$E$12,"x")</f>
        <v/>
      </c>
    </row>
    <row r="8">
      <c r="A8" s="10" t="inlineStr">
        <is>
          <t>Plastika i plastična ambalaža (žuta posuda)</t>
        </is>
      </c>
      <c r="B8" s="6">
        <f>IFERROR(1/(1/_xlfn.MINIFS(Raspored!$A$5:$A$12,Raspored!$F$5:$F$12,"x",Raspored!$A$5:$A$12,"&gt;="&amp;$B$3)),"nema više u 2027.")</f>
        <v/>
      </c>
      <c r="C8" s="7">
        <f>IF(ISNUMBER(B8),INDEX({"nedjelja","ponedjeljak","utorak","srijeda","četvrtak","petak","subota"},WEEKDAY(B8)),"")</f>
        <v/>
      </c>
      <c r="D8" s="8">
        <f>IF(ISNUMBER(B8),B8-$B$3,"")</f>
        <v/>
      </c>
      <c r="E8" s="7">
        <f>COUNTIF(Raspored!$F$5:$F$12,"x")</f>
        <v/>
      </c>
    </row>
    <row r="9">
      <c r="A9" s="11" t="inlineStr">
        <is>
          <t>Papir i papirna ambalaža (plava posuda)</t>
        </is>
      </c>
      <c r="B9" s="6">
        <f>IFERROR(1/(1/_xlfn.MINIFS(Raspored!$A$5:$A$12,Raspored!$G$5:$G$12,"x",Raspored!$A$5:$A$12,"&gt;="&amp;$B$3)),"nema više u 2027.")</f>
        <v/>
      </c>
      <c r="C9" s="7">
        <f>IF(ISNUMBER(B9),INDEX({"nedjelja","ponedjeljak","utorak","srijeda","četvrtak","petak","subota"},WEEKDAY(B9)),"")</f>
        <v/>
      </c>
      <c r="D9" s="8">
        <f>IF(ISNUMBER(B9),B9-$B$3,"")</f>
        <v/>
      </c>
      <c r="E9" s="7">
        <f>COUNTIF(Raspored!$G$5:$G$12,"x")</f>
        <v/>
      </c>
    </row>
    <row r="11">
      <c r="A11" s="12" t="inlineStr">
        <is>
          <t>Broj odvoza po mjesecu</t>
        </is>
      </c>
    </row>
    <row r="12" ht="30" customHeight="1">
      <c r="A12" s="4" t="inlineStr">
        <is>
          <t>Mjesec</t>
        </is>
      </c>
      <c r="B12" s="13" t="inlineStr">
        <is>
          <t>Miješani komunalni otpad (zelena posuda)</t>
        </is>
      </c>
      <c r="C12" s="14" t="inlineStr">
        <is>
          <t>Biootpad</t>
        </is>
      </c>
      <c r="D12" s="15" t="inlineStr">
        <is>
          <t>Plastika i plastična ambalaža (žuta posuda)</t>
        </is>
      </c>
      <c r="E12" s="16" t="inlineStr">
        <is>
          <t>Papir i papirna ambalaža (plava posuda)</t>
        </is>
      </c>
    </row>
    <row r="13">
      <c r="A13" s="17" t="inlineStr">
        <is>
          <t>siječanj</t>
        </is>
      </c>
      <c r="B13" s="7">
        <f>COUNTIFS(Raspored!$C$5:$C$12,$A13,Raspored!$D$5:$D$12,"x")</f>
        <v/>
      </c>
      <c r="C13" s="7">
        <f>COUNTIFS(Raspored!$C$5:$C$12,$A13,Raspored!$E$5:$E$12,"x")</f>
        <v/>
      </c>
      <c r="D13" s="7">
        <f>COUNTIFS(Raspored!$C$5:$C$12,$A13,Raspored!$F$5:$F$12,"x")</f>
        <v/>
      </c>
      <c r="E13" s="7">
        <f>COUNTIFS(Raspored!$C$5:$C$12,$A13,Raspored!$G$5:$G$12,"x")</f>
        <v/>
      </c>
    </row>
    <row r="14">
      <c r="A14" s="17" t="inlineStr">
        <is>
          <t>veljača</t>
        </is>
      </c>
      <c r="B14" s="7">
        <f>COUNTIFS(Raspored!$C$5:$C$12,$A14,Raspored!$D$5:$D$12,"x")</f>
        <v/>
      </c>
      <c r="C14" s="7">
        <f>COUNTIFS(Raspored!$C$5:$C$12,$A14,Raspored!$E$5:$E$12,"x")</f>
        <v/>
      </c>
      <c r="D14" s="7">
        <f>COUNTIFS(Raspored!$C$5:$C$12,$A14,Raspored!$F$5:$F$12,"x")</f>
        <v/>
      </c>
      <c r="E14" s="7">
        <f>COUNTIFS(Raspored!$C$5:$C$12,$A14,Raspored!$G$5:$G$12,"x")</f>
        <v/>
      </c>
    </row>
    <row r="15">
      <c r="A15" s="17" t="inlineStr">
        <is>
          <t>ožujak</t>
        </is>
      </c>
      <c r="B15" s="7">
        <f>COUNTIFS(Raspored!$C$5:$C$12,$A15,Raspored!$D$5:$D$12,"x")</f>
        <v/>
      </c>
      <c r="C15" s="7">
        <f>COUNTIFS(Raspored!$C$5:$C$12,$A15,Raspored!$E$5:$E$12,"x")</f>
        <v/>
      </c>
      <c r="D15" s="7">
        <f>COUNTIFS(Raspored!$C$5:$C$12,$A15,Raspored!$F$5:$F$12,"x")</f>
        <v/>
      </c>
      <c r="E15" s="7">
        <f>COUNTIFS(Raspored!$C$5:$C$12,$A15,Raspored!$G$5:$G$12,"x")</f>
        <v/>
      </c>
    </row>
    <row r="16">
      <c r="A16" s="17" t="inlineStr">
        <is>
          <t>travanj</t>
        </is>
      </c>
      <c r="B16" s="7">
        <f>COUNTIFS(Raspored!$C$5:$C$12,$A16,Raspored!$D$5:$D$12,"x")</f>
        <v/>
      </c>
      <c r="C16" s="7">
        <f>COUNTIFS(Raspored!$C$5:$C$12,$A16,Raspored!$E$5:$E$12,"x")</f>
        <v/>
      </c>
      <c r="D16" s="7">
        <f>COUNTIFS(Raspored!$C$5:$C$12,$A16,Raspored!$F$5:$F$12,"x")</f>
        <v/>
      </c>
      <c r="E16" s="7">
        <f>COUNTIFS(Raspored!$C$5:$C$12,$A16,Raspored!$G$5:$G$12,"x")</f>
        <v/>
      </c>
    </row>
    <row r="17">
      <c r="A17" s="17" t="inlineStr">
        <is>
          <t>svibanj</t>
        </is>
      </c>
      <c r="B17" s="7">
        <f>COUNTIFS(Raspored!$C$5:$C$12,$A17,Raspored!$D$5:$D$12,"x")</f>
        <v/>
      </c>
      <c r="C17" s="7">
        <f>COUNTIFS(Raspored!$C$5:$C$12,$A17,Raspored!$E$5:$E$12,"x")</f>
        <v/>
      </c>
      <c r="D17" s="7">
        <f>COUNTIFS(Raspored!$C$5:$C$12,$A17,Raspored!$F$5:$F$12,"x")</f>
        <v/>
      </c>
      <c r="E17" s="7">
        <f>COUNTIFS(Raspored!$C$5:$C$12,$A17,Raspored!$G$5:$G$12,"x")</f>
        <v/>
      </c>
    </row>
    <row r="18">
      <c r="A18" s="17" t="inlineStr">
        <is>
          <t>lipanj</t>
        </is>
      </c>
      <c r="B18" s="7">
        <f>COUNTIFS(Raspored!$C$5:$C$12,$A18,Raspored!$D$5:$D$12,"x")</f>
        <v/>
      </c>
      <c r="C18" s="7">
        <f>COUNTIFS(Raspored!$C$5:$C$12,$A18,Raspored!$E$5:$E$12,"x")</f>
        <v/>
      </c>
      <c r="D18" s="7">
        <f>COUNTIFS(Raspored!$C$5:$C$12,$A18,Raspored!$F$5:$F$12,"x")</f>
        <v/>
      </c>
      <c r="E18" s="7">
        <f>COUNTIFS(Raspored!$C$5:$C$12,$A18,Raspored!$G$5:$G$12,"x")</f>
        <v/>
      </c>
    </row>
    <row r="19">
      <c r="A19" s="17" t="inlineStr">
        <is>
          <t>srpanj</t>
        </is>
      </c>
      <c r="B19" s="7">
        <f>COUNTIFS(Raspored!$C$5:$C$12,$A19,Raspored!$D$5:$D$12,"x")</f>
        <v/>
      </c>
      <c r="C19" s="7">
        <f>COUNTIFS(Raspored!$C$5:$C$12,$A19,Raspored!$E$5:$E$12,"x")</f>
        <v/>
      </c>
      <c r="D19" s="7">
        <f>COUNTIFS(Raspored!$C$5:$C$12,$A19,Raspored!$F$5:$F$12,"x")</f>
        <v/>
      </c>
      <c r="E19" s="7">
        <f>COUNTIFS(Raspored!$C$5:$C$12,$A19,Raspored!$G$5:$G$12,"x")</f>
        <v/>
      </c>
    </row>
    <row r="20">
      <c r="A20" s="17" t="inlineStr">
        <is>
          <t>kolovoz</t>
        </is>
      </c>
      <c r="B20" s="7">
        <f>COUNTIFS(Raspored!$C$5:$C$12,$A20,Raspored!$D$5:$D$12,"x")</f>
        <v/>
      </c>
      <c r="C20" s="7">
        <f>COUNTIFS(Raspored!$C$5:$C$12,$A20,Raspored!$E$5:$E$12,"x")</f>
        <v/>
      </c>
      <c r="D20" s="7">
        <f>COUNTIFS(Raspored!$C$5:$C$12,$A20,Raspored!$F$5:$F$12,"x")</f>
        <v/>
      </c>
      <c r="E20" s="7">
        <f>COUNTIFS(Raspored!$C$5:$C$12,$A20,Raspored!$G$5:$G$12,"x")</f>
        <v/>
      </c>
    </row>
    <row r="21">
      <c r="A21" s="17" t="inlineStr">
        <is>
          <t>rujan</t>
        </is>
      </c>
      <c r="B21" s="7">
        <f>COUNTIFS(Raspored!$C$5:$C$12,$A21,Raspored!$D$5:$D$12,"x")</f>
        <v/>
      </c>
      <c r="C21" s="7">
        <f>COUNTIFS(Raspored!$C$5:$C$12,$A21,Raspored!$E$5:$E$12,"x")</f>
        <v/>
      </c>
      <c r="D21" s="7">
        <f>COUNTIFS(Raspored!$C$5:$C$12,$A21,Raspored!$F$5:$F$12,"x")</f>
        <v/>
      </c>
      <c r="E21" s="7">
        <f>COUNTIFS(Raspored!$C$5:$C$12,$A21,Raspored!$G$5:$G$12,"x")</f>
        <v/>
      </c>
    </row>
    <row r="22">
      <c r="A22" s="17" t="inlineStr">
        <is>
          <t>listopad</t>
        </is>
      </c>
      <c r="B22" s="7">
        <f>COUNTIFS(Raspored!$C$5:$C$12,$A22,Raspored!$D$5:$D$12,"x")</f>
        <v/>
      </c>
      <c r="C22" s="7">
        <f>COUNTIFS(Raspored!$C$5:$C$12,$A22,Raspored!$E$5:$E$12,"x")</f>
        <v/>
      </c>
      <c r="D22" s="7">
        <f>COUNTIFS(Raspored!$C$5:$C$12,$A22,Raspored!$F$5:$F$12,"x")</f>
        <v/>
      </c>
      <c r="E22" s="7">
        <f>COUNTIFS(Raspored!$C$5:$C$12,$A22,Raspored!$G$5:$G$12,"x")</f>
        <v/>
      </c>
    </row>
    <row r="23">
      <c r="A23" s="17" t="inlineStr">
        <is>
          <t>studeni</t>
        </is>
      </c>
      <c r="B23" s="7">
        <f>COUNTIFS(Raspored!$C$5:$C$12,$A23,Raspored!$D$5:$D$12,"x")</f>
        <v/>
      </c>
      <c r="C23" s="7">
        <f>COUNTIFS(Raspored!$C$5:$C$12,$A23,Raspored!$E$5:$E$12,"x")</f>
        <v/>
      </c>
      <c r="D23" s="7">
        <f>COUNTIFS(Raspored!$C$5:$C$12,$A23,Raspored!$F$5:$F$12,"x")</f>
        <v/>
      </c>
      <c r="E23" s="7">
        <f>COUNTIFS(Raspored!$C$5:$C$12,$A23,Raspored!$G$5:$G$12,"x")</f>
        <v/>
      </c>
    </row>
    <row r="24">
      <c r="A24" s="17" t="inlineStr">
        <is>
          <t>prosinac</t>
        </is>
      </c>
      <c r="B24" s="7">
        <f>COUNTIFS(Raspored!$C$5:$C$12,$A24,Raspored!$D$5:$D$12,"x")</f>
        <v/>
      </c>
      <c r="C24" s="7">
        <f>COUNTIFS(Raspored!$C$5:$C$12,$A24,Raspored!$E$5:$E$12,"x")</f>
        <v/>
      </c>
      <c r="D24" s="7">
        <f>COUNTIFS(Raspored!$C$5:$C$12,$A24,Raspored!$F$5:$F$12,"x")</f>
        <v/>
      </c>
      <c r="E24" s="7">
        <f>COUNTIFS(Raspored!$C$5:$C$12,$A24,Raspored!$G$5:$G$12,"x")</f>
        <v/>
      </c>
    </row>
    <row r="25">
      <c r="A25" s="18" t="inlineStr">
        <is>
          <t>Ukupno</t>
        </is>
      </c>
      <c r="B25" s="19">
        <f>SUM(B13:B24)</f>
        <v/>
      </c>
      <c r="C25" s="19">
        <f>SUM(C13:C24)</f>
        <v/>
      </c>
      <c r="D25" s="19">
        <f>SUM(D13:D24)</f>
        <v/>
      </c>
      <c r="E25" s="19">
        <f>SUM(E13:E24)</f>
        <v/>
      </c>
    </row>
    <row r="27">
      <c r="A27" s="20" t="inlineStr">
        <is>
          <t>Napomene:</t>
        </is>
      </c>
    </row>
    <row r="28">
      <c r="A28" s="21" t="inlineStr">
        <is>
          <t>• Biootpad (smeđa posuda) odvozi se u tjednima označenim na kalendaru biootpada, na dan iz rasporeda ulica.</t>
        </is>
      </c>
    </row>
    <row r="29">
      <c r="A29" s="21" t="inlineStr">
        <is>
          <t>• Miješani komunalni otpad odvozi se jednom tjedno na dan iz rasporeda ulica; papir i biootpad u tjednima označenim plavo odnosno smeđe, plastika u tjednima označenim žuto na kalendaru, na isti dan u tjednu.</t>
        </is>
      </c>
    </row>
    <row r="30">
      <c r="A30" s="21" t="inlineStr">
        <is>
          <t>• Kalendari papira, plastike i biootpada objavljeni su za razdoblje od 01.08.2026. do 28.02.2027.; podaci obuhvaćaju samo to razdoblje (raniji mjeseci nisu objavljeni).</t>
        </is>
      </c>
    </row>
    <row r="31">
      <c r="A31" s="21" t="inlineStr">
        <is>
          <t>• Blagdani prema kalendaru: 5.8., 18.11., 6.1. redovan odvoz; neradni dani 25.12. → 26.12., 1.1. → 2.1. (odvoz u subotu, označeno kao premješteno).</t>
        </is>
      </c>
    </row>
    <row r="32">
      <c r="A32" s="21" t="inlineStr">
        <is>
          <t>• Ljeti (od početka lipnja do kraja rujna) otpad se odvozi od 5 do 13 sati; posude treba iznijeti večer prije, najkasnije do 5 sati.</t>
        </is>
      </c>
    </row>
    <row r="33">
      <c r="A33" s="21" t="inlineStr">
        <is>
          <t>• Glomazni otpad: jednom godišnje besplatno do 5 m³ uz dogovor s Florom VTC. Reciklažna dvorišta: Virovitica (Florin put 14, ponedjeljak–petak 8–18), Suhopolje (Pčelić 194, srijeda 9–17), Špišić Bukovica (Bukovački vinogradi 10, utorak 8–16, četvrtak 10–18 sati).</t>
        </is>
      </c>
    </row>
    <row r="34">
      <c r="A34" s="21" t="inlineStr">
        <is>
          <t>• Oznake „Papir/Plastika (EKO-otoci i pravne osobe)” u rasporedu odnose se na eko-otoke i pravne osobe.</t>
        </is>
      </c>
    </row>
    <row r="35">
      <c r="A35" s="21" t="inlineStr">
        <is>
          <t>• Info centar Flora VTC: 0800 444 110.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2027., Zona 8 (Suhopolje)</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 (zelena posuda)</t>
        </is>
      </c>
      <c r="E4" s="14" t="inlineStr">
        <is>
          <t>Biootpad</t>
        </is>
      </c>
      <c r="F4" s="15" t="inlineStr">
        <is>
          <t>Plastika i plastična ambalaža (žuta posuda)</t>
        </is>
      </c>
      <c r="G4" s="16" t="inlineStr">
        <is>
          <t>Papir i papirna ambalaža (plava posuda)</t>
        </is>
      </c>
      <c r="H4" s="4" t="inlineStr">
        <is>
          <t>Napomena</t>
        </is>
      </c>
    </row>
    <row r="5">
      <c r="A5" s="6" t="n">
        <v>46392</v>
      </c>
      <c r="B5" s="7" t="inlineStr">
        <is>
          <t>utorak</t>
        </is>
      </c>
      <c r="C5" s="7" t="inlineStr">
        <is>
          <t>siječanj</t>
        </is>
      </c>
      <c r="D5" s="7" t="inlineStr">
        <is>
          <t>x</t>
        </is>
      </c>
      <c r="E5" s="7" t="inlineStr">
        <is>
          <t>x</t>
        </is>
      </c>
      <c r="F5" s="7" t="n"/>
      <c r="G5" s="7" t="inlineStr">
        <is>
          <t>x</t>
        </is>
      </c>
      <c r="H5" s="23" t="n"/>
    </row>
    <row r="6">
      <c r="A6" s="6" t="n">
        <v>46399</v>
      </c>
      <c r="B6" s="7" t="inlineStr">
        <is>
          <t>utorak</t>
        </is>
      </c>
      <c r="C6" s="7" t="inlineStr">
        <is>
          <t>siječanj</t>
        </is>
      </c>
      <c r="D6" s="7" t="inlineStr">
        <is>
          <t>x</t>
        </is>
      </c>
      <c r="E6" s="7" t="n"/>
      <c r="F6" s="7" t="inlineStr">
        <is>
          <t>x</t>
        </is>
      </c>
      <c r="G6" s="7" t="n"/>
      <c r="H6" s="23" t="n"/>
    </row>
    <row r="7">
      <c r="A7" s="6" t="n">
        <v>46406</v>
      </c>
      <c r="B7" s="7" t="inlineStr">
        <is>
          <t>utorak</t>
        </is>
      </c>
      <c r="C7" s="7" t="inlineStr">
        <is>
          <t>siječanj</t>
        </is>
      </c>
      <c r="D7" s="7" t="inlineStr">
        <is>
          <t>x</t>
        </is>
      </c>
      <c r="E7" s="7" t="inlineStr">
        <is>
          <t>x</t>
        </is>
      </c>
      <c r="F7" s="7" t="n"/>
      <c r="G7" s="7" t="inlineStr">
        <is>
          <t>x</t>
        </is>
      </c>
      <c r="H7" s="23" t="n"/>
    </row>
    <row r="8">
      <c r="A8" s="6" t="n">
        <v>46413</v>
      </c>
      <c r="B8" s="7" t="inlineStr">
        <is>
          <t>utorak</t>
        </is>
      </c>
      <c r="C8" s="7" t="inlineStr">
        <is>
          <t>siječanj</t>
        </is>
      </c>
      <c r="D8" s="7" t="inlineStr">
        <is>
          <t>x</t>
        </is>
      </c>
      <c r="E8" s="7" t="n"/>
      <c r="F8" s="7" t="inlineStr">
        <is>
          <t>x</t>
        </is>
      </c>
      <c r="G8" s="7" t="n"/>
      <c r="H8" s="23" t="n"/>
    </row>
    <row r="9">
      <c r="A9" s="6" t="n">
        <v>46420</v>
      </c>
      <c r="B9" s="7" t="inlineStr">
        <is>
          <t>utorak</t>
        </is>
      </c>
      <c r="C9" s="7" t="inlineStr">
        <is>
          <t>veljača</t>
        </is>
      </c>
      <c r="D9" s="7" t="inlineStr">
        <is>
          <t>x</t>
        </is>
      </c>
      <c r="E9" s="7" t="inlineStr">
        <is>
          <t>x</t>
        </is>
      </c>
      <c r="F9" s="7" t="n"/>
      <c r="G9" s="7" t="inlineStr">
        <is>
          <t>x</t>
        </is>
      </c>
      <c r="H9" s="23" t="n"/>
    </row>
    <row r="10">
      <c r="A10" s="6" t="n">
        <v>46427</v>
      </c>
      <c r="B10" s="7" t="inlineStr">
        <is>
          <t>utorak</t>
        </is>
      </c>
      <c r="C10" s="7" t="inlineStr">
        <is>
          <t>veljača</t>
        </is>
      </c>
      <c r="D10" s="7" t="inlineStr">
        <is>
          <t>x</t>
        </is>
      </c>
      <c r="E10" s="7" t="n"/>
      <c r="F10" s="7" t="inlineStr">
        <is>
          <t>x</t>
        </is>
      </c>
      <c r="G10" s="7" t="n"/>
      <c r="H10" s="23" t="n"/>
    </row>
    <row r="11">
      <c r="A11" s="6" t="n">
        <v>46434</v>
      </c>
      <c r="B11" s="7" t="inlineStr">
        <is>
          <t>utorak</t>
        </is>
      </c>
      <c r="C11" s="7" t="inlineStr">
        <is>
          <t>veljača</t>
        </is>
      </c>
      <c r="D11" s="7" t="inlineStr">
        <is>
          <t>x</t>
        </is>
      </c>
      <c r="E11" s="7" t="inlineStr">
        <is>
          <t>x</t>
        </is>
      </c>
      <c r="F11" s="7" t="n"/>
      <c r="G11" s="7" t="inlineStr">
        <is>
          <t>x</t>
        </is>
      </c>
      <c r="H11" s="23" t="n"/>
    </row>
    <row r="12">
      <c r="A12" s="6" t="n">
        <v>46441</v>
      </c>
      <c r="B12" s="7" t="inlineStr">
        <is>
          <t>utorak</t>
        </is>
      </c>
      <c r="C12" s="7" t="inlineStr">
        <is>
          <t>veljača</t>
        </is>
      </c>
      <c r="D12" s="7" t="inlineStr">
        <is>
          <t>x</t>
        </is>
      </c>
      <c r="E12" s="7" t="n"/>
      <c r="F12" s="7" t="inlineStr">
        <is>
          <t>x</t>
        </is>
      </c>
      <c r="G12" s="7" t="n"/>
      <c r="H12" s="23" t="n"/>
    </row>
  </sheetData>
  <autoFilter ref="A4:H12"/>
  <conditionalFormatting sqref="D5:D12">
    <cfRule type="expression" priority="1" dxfId="0">
      <formula>D5="x"</formula>
    </cfRule>
  </conditionalFormatting>
  <conditionalFormatting sqref="E5:E12">
    <cfRule type="expression" priority="2" dxfId="1">
      <formula>E5="x"</formula>
    </cfRule>
  </conditionalFormatting>
  <conditionalFormatting sqref="F5:F12">
    <cfRule type="expression" priority="3" dxfId="2">
      <formula>F5="x"</formula>
    </cfRule>
  </conditionalFormatting>
  <conditionalFormatting sqref="G5:G12">
    <cfRule type="expression" priority="4" dxfId="3">
      <formula>G5="x"</formula>
    </cfRule>
  </conditionalFormatting>
  <conditionalFormatting sqref="A5:H12">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46392</v>
      </c>
      <c r="B2" s="17" t="inlineStr">
        <is>
          <t>utorak</t>
        </is>
      </c>
      <c r="C2" s="5" t="inlineStr">
        <is>
          <t>Miješani komunalni otpad (zelena posuda)</t>
        </is>
      </c>
      <c r="D2" s="17" t="n"/>
    </row>
    <row r="3">
      <c r="A3" s="24" t="n">
        <v>46392</v>
      </c>
      <c r="B3" s="17" t="inlineStr">
        <is>
          <t>utorak</t>
        </is>
      </c>
      <c r="C3" s="9" t="inlineStr">
        <is>
          <t>Biootpad</t>
        </is>
      </c>
      <c r="D3" s="17" t="n"/>
    </row>
    <row r="4">
      <c r="A4" s="24" t="n">
        <v>46392</v>
      </c>
      <c r="B4" s="17" t="inlineStr">
        <is>
          <t>utorak</t>
        </is>
      </c>
      <c r="C4" s="11" t="inlineStr">
        <is>
          <t>Papir i papirna ambalaža (plava posuda)</t>
        </is>
      </c>
      <c r="D4" s="17" t="n"/>
    </row>
    <row r="5">
      <c r="A5" s="24" t="n">
        <v>46399</v>
      </c>
      <c r="B5" s="17" t="inlineStr">
        <is>
          <t>utorak</t>
        </is>
      </c>
      <c r="C5" s="5" t="inlineStr">
        <is>
          <t>Miješani komunalni otpad (zelena posuda)</t>
        </is>
      </c>
      <c r="D5" s="17" t="n"/>
    </row>
    <row r="6">
      <c r="A6" s="24" t="n">
        <v>46399</v>
      </c>
      <c r="B6" s="17" t="inlineStr">
        <is>
          <t>utorak</t>
        </is>
      </c>
      <c r="C6" s="10" t="inlineStr">
        <is>
          <t>Plastika i plastična ambalaža (žuta posuda)</t>
        </is>
      </c>
      <c r="D6" s="17" t="n"/>
    </row>
    <row r="7">
      <c r="A7" s="24" t="n">
        <v>46406</v>
      </c>
      <c r="B7" s="17" t="inlineStr">
        <is>
          <t>utorak</t>
        </is>
      </c>
      <c r="C7" s="5" t="inlineStr">
        <is>
          <t>Miješani komunalni otpad (zelena posuda)</t>
        </is>
      </c>
      <c r="D7" s="17" t="n"/>
    </row>
    <row r="8">
      <c r="A8" s="24" t="n">
        <v>46406</v>
      </c>
      <c r="B8" s="17" t="inlineStr">
        <is>
          <t>utorak</t>
        </is>
      </c>
      <c r="C8" s="9" t="inlineStr">
        <is>
          <t>Biootpad</t>
        </is>
      </c>
      <c r="D8" s="17" t="n"/>
    </row>
    <row r="9">
      <c r="A9" s="24" t="n">
        <v>46406</v>
      </c>
      <c r="B9" s="17" t="inlineStr">
        <is>
          <t>utorak</t>
        </is>
      </c>
      <c r="C9" s="11" t="inlineStr">
        <is>
          <t>Papir i papirna ambalaža (plava posuda)</t>
        </is>
      </c>
      <c r="D9" s="17" t="n"/>
    </row>
    <row r="10">
      <c r="A10" s="24" t="n">
        <v>46413</v>
      </c>
      <c r="B10" s="17" t="inlineStr">
        <is>
          <t>utorak</t>
        </is>
      </c>
      <c r="C10" s="5" t="inlineStr">
        <is>
          <t>Miješani komunalni otpad (zelena posuda)</t>
        </is>
      </c>
      <c r="D10" s="17" t="n"/>
    </row>
    <row r="11">
      <c r="A11" s="24" t="n">
        <v>46413</v>
      </c>
      <c r="B11" s="17" t="inlineStr">
        <is>
          <t>utorak</t>
        </is>
      </c>
      <c r="C11" s="10" t="inlineStr">
        <is>
          <t>Plastika i plastična ambalaža (žuta posuda)</t>
        </is>
      </c>
      <c r="D11" s="17" t="n"/>
    </row>
    <row r="12">
      <c r="A12" s="24" t="n">
        <v>46420</v>
      </c>
      <c r="B12" s="17" t="inlineStr">
        <is>
          <t>utorak</t>
        </is>
      </c>
      <c r="C12" s="5" t="inlineStr">
        <is>
          <t>Miješani komunalni otpad (zelena posuda)</t>
        </is>
      </c>
      <c r="D12" s="17" t="n"/>
    </row>
    <row r="13">
      <c r="A13" s="24" t="n">
        <v>46420</v>
      </c>
      <c r="B13" s="17" t="inlineStr">
        <is>
          <t>utorak</t>
        </is>
      </c>
      <c r="C13" s="9" t="inlineStr">
        <is>
          <t>Biootpad</t>
        </is>
      </c>
      <c r="D13" s="17" t="n"/>
    </row>
    <row r="14">
      <c r="A14" s="24" t="n">
        <v>46420</v>
      </c>
      <c r="B14" s="17" t="inlineStr">
        <is>
          <t>utorak</t>
        </is>
      </c>
      <c r="C14" s="11" t="inlineStr">
        <is>
          <t>Papir i papirna ambalaža (plava posuda)</t>
        </is>
      </c>
      <c r="D14" s="17" t="n"/>
    </row>
    <row r="15">
      <c r="A15" s="24" t="n">
        <v>46427</v>
      </c>
      <c r="B15" s="17" t="inlineStr">
        <is>
          <t>utorak</t>
        </is>
      </c>
      <c r="C15" s="5" t="inlineStr">
        <is>
          <t>Miješani komunalni otpad (zelena posuda)</t>
        </is>
      </c>
      <c r="D15" s="17" t="n"/>
    </row>
    <row r="16">
      <c r="A16" s="24" t="n">
        <v>46427</v>
      </c>
      <c r="B16" s="17" t="inlineStr">
        <is>
          <t>utorak</t>
        </is>
      </c>
      <c r="C16" s="10" t="inlineStr">
        <is>
          <t>Plastika i plastična ambalaža (žuta posuda)</t>
        </is>
      </c>
      <c r="D16" s="17" t="n"/>
    </row>
    <row r="17">
      <c r="A17" s="24" t="n">
        <v>46434</v>
      </c>
      <c r="B17" s="17" t="inlineStr">
        <is>
          <t>utorak</t>
        </is>
      </c>
      <c r="C17" s="5" t="inlineStr">
        <is>
          <t>Miješani komunalni otpad (zelena posuda)</t>
        </is>
      </c>
      <c r="D17" s="17" t="n"/>
    </row>
    <row r="18">
      <c r="A18" s="24" t="n">
        <v>46434</v>
      </c>
      <c r="B18" s="17" t="inlineStr">
        <is>
          <t>utorak</t>
        </is>
      </c>
      <c r="C18" s="9" t="inlineStr">
        <is>
          <t>Biootpad</t>
        </is>
      </c>
      <c r="D18" s="17" t="n"/>
    </row>
    <row r="19">
      <c r="A19" s="24" t="n">
        <v>46434</v>
      </c>
      <c r="B19" s="17" t="inlineStr">
        <is>
          <t>utorak</t>
        </is>
      </c>
      <c r="C19" s="11" t="inlineStr">
        <is>
          <t>Papir i papirna ambalaža (plava posuda)</t>
        </is>
      </c>
      <c r="D19" s="17" t="n"/>
    </row>
    <row r="20">
      <c r="A20" s="24" t="n">
        <v>46441</v>
      </c>
      <c r="B20" s="17" t="inlineStr">
        <is>
          <t>utorak</t>
        </is>
      </c>
      <c r="C20" s="5" t="inlineStr">
        <is>
          <t>Miješani komunalni otpad (zelena posuda)</t>
        </is>
      </c>
      <c r="D20" s="17" t="n"/>
    </row>
    <row r="21">
      <c r="A21" s="24" t="n">
        <v>46441</v>
      </c>
      <c r="B21" s="17" t="inlineStr">
        <is>
          <t>utorak</t>
        </is>
      </c>
      <c r="C21" s="10" t="inlineStr">
        <is>
          <t>Plastika i plastična ambalaža (žuta posuda)</t>
        </is>
      </c>
      <c r="D21" s="17" t="n"/>
    </row>
  </sheetData>
  <autoFilter ref="A1:D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8"/>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8 (Suhopolje): ulice i naselja</t>
        </is>
      </c>
    </row>
    <row r="2">
      <c r="A2" s="22" t="inlineStr">
        <is>
          <t>Kralja Zvonimira, Aleja grofa Jankovića, E. Kvaternika, Kralja Tomislava, P. Preradovića, Bana J. Jelečića, M. Gupca, S. Radića, Lj. Gaja, A. Hebranga, Dubrovačka, Vukovarska, V. Nazora, I. Gundulića, B. Radić, I. Mažuranića, Vinogradska, Z. Frankopana, I. Zajca, V. Lisinskog, Đ. Basaričeka, A. Stepinca, Osječka, Trg Sv. Terezeje, Kolodvorska, Kapan, Zvonimirovo, Gačište, Jasik, Orešac, Naudovac, Jugovo polje, Cabuna, Žiroslavlje</t>
        </is>
      </c>
    </row>
    <row r="4">
      <c r="A4" s="4" t="inlineStr">
        <is>
          <t>Ulica / naselje</t>
        </is>
      </c>
    </row>
    <row r="5">
      <c r="A5" s="17" t="inlineStr">
        <is>
          <t>Kralja Zvonimira</t>
        </is>
      </c>
    </row>
    <row r="6">
      <c r="A6" s="17" t="inlineStr">
        <is>
          <t>Aleja grofa Jankovića</t>
        </is>
      </c>
    </row>
    <row r="7">
      <c r="A7" s="17" t="inlineStr">
        <is>
          <t>E. Kvaternika</t>
        </is>
      </c>
    </row>
    <row r="8">
      <c r="A8" s="17" t="inlineStr">
        <is>
          <t>Kralja Tomislava</t>
        </is>
      </c>
    </row>
    <row r="9">
      <c r="A9" s="17" t="inlineStr">
        <is>
          <t>P. Preradovića</t>
        </is>
      </c>
    </row>
    <row r="10">
      <c r="A10" s="17" t="inlineStr">
        <is>
          <t>Bana J. Jelečića</t>
        </is>
      </c>
    </row>
    <row r="11">
      <c r="A11" s="17" t="inlineStr">
        <is>
          <t>M. Gupca</t>
        </is>
      </c>
    </row>
    <row r="12">
      <c r="A12" s="17" t="inlineStr">
        <is>
          <t>S. Radića</t>
        </is>
      </c>
    </row>
    <row r="13">
      <c r="A13" s="17" t="inlineStr">
        <is>
          <t>Lj. Gaja</t>
        </is>
      </c>
    </row>
    <row r="14">
      <c r="A14" s="17" t="inlineStr">
        <is>
          <t>A. Hebranga</t>
        </is>
      </c>
    </row>
    <row r="15">
      <c r="A15" s="17" t="inlineStr">
        <is>
          <t>Dubrovačka</t>
        </is>
      </c>
    </row>
    <row r="16">
      <c r="A16" s="17" t="inlineStr">
        <is>
          <t>Vukovarska</t>
        </is>
      </c>
    </row>
    <row r="17">
      <c r="A17" s="17" t="inlineStr">
        <is>
          <t>V. Nazora</t>
        </is>
      </c>
    </row>
    <row r="18">
      <c r="A18" s="17" t="inlineStr">
        <is>
          <t>I. Gundulića</t>
        </is>
      </c>
    </row>
    <row r="19">
      <c r="A19" s="17" t="inlineStr">
        <is>
          <t>B. Radić</t>
        </is>
      </c>
    </row>
    <row r="20">
      <c r="A20" s="17" t="inlineStr">
        <is>
          <t>I. Mažuranića</t>
        </is>
      </c>
    </row>
    <row r="21">
      <c r="A21" s="17" t="inlineStr">
        <is>
          <t>Vinogradska</t>
        </is>
      </c>
    </row>
    <row r="22">
      <c r="A22" s="17" t="inlineStr">
        <is>
          <t>Z. Frankopana</t>
        </is>
      </c>
    </row>
    <row r="23">
      <c r="A23" s="17" t="inlineStr">
        <is>
          <t>I. Zajca</t>
        </is>
      </c>
    </row>
    <row r="24">
      <c r="A24" s="17" t="inlineStr">
        <is>
          <t>V. Lisinskog</t>
        </is>
      </c>
    </row>
    <row r="25">
      <c r="A25" s="17" t="inlineStr">
        <is>
          <t>Đ. Basaričeka</t>
        </is>
      </c>
    </row>
    <row r="26">
      <c r="A26" s="17" t="inlineStr">
        <is>
          <t>A. Stepinca</t>
        </is>
      </c>
    </row>
    <row r="27">
      <c r="A27" s="17" t="inlineStr">
        <is>
          <t>Osječka</t>
        </is>
      </c>
    </row>
    <row r="28">
      <c r="A28" s="17" t="inlineStr">
        <is>
          <t>Trg Sv. Terezeje</t>
        </is>
      </c>
    </row>
    <row r="29">
      <c r="A29" s="17" t="inlineStr">
        <is>
          <t>Kolodvorska</t>
        </is>
      </c>
    </row>
    <row r="30">
      <c r="A30" s="17" t="inlineStr">
        <is>
          <t>Kapan</t>
        </is>
      </c>
    </row>
    <row r="31">
      <c r="A31" s="17" t="inlineStr">
        <is>
          <t>Zvonimirovo</t>
        </is>
      </c>
    </row>
    <row r="32">
      <c r="A32" s="17" t="inlineStr">
        <is>
          <t>Gačište</t>
        </is>
      </c>
    </row>
    <row r="33">
      <c r="A33" s="17" t="inlineStr">
        <is>
          <t>Jasik</t>
        </is>
      </c>
    </row>
    <row r="34">
      <c r="A34" s="17" t="inlineStr">
        <is>
          <t>Orešac</t>
        </is>
      </c>
    </row>
    <row r="35">
      <c r="A35" s="17" t="inlineStr">
        <is>
          <t>Naudovac</t>
        </is>
      </c>
    </row>
    <row r="36">
      <c r="A36" s="17" t="inlineStr">
        <is>
          <t>Jugovo polje</t>
        </is>
      </c>
    </row>
    <row r="37">
      <c r="A37" s="17" t="inlineStr">
        <is>
          <t>Cabuna</t>
        </is>
      </c>
    </row>
    <row r="38">
      <c r="A38" s="17" t="inlineStr">
        <is>
          <t>Žiroslavlje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2026-10-08T06:20:57Z</dcterms:created>
  <dcterms:modified xmlns:dcterms="http://purl.org/dc/terms/" xmlns:xsi="http://www.w3.org/2001/XMLSchema-instance" xsi:type="dcterms:W3CDTF">2026-10-08T06:20:57Z</dcterms:modified>
</cp:coreProperties>
</file>
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posuda)</t>
        </is>
      </c>
      <c r="B6" s="6">
        <f>IFERROR(1/(1/_xlfn.MINIFS(Raspored!$A$5:$A$12,Raspored!$D$5:$D$12,"x",Raspored!$A$5:$A$12,"&gt;="&amp;$B$3)),"nema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COUNTIF(Raspored!$D$5:$D$12,"x")</f>
        <v/>
      </c>
    </row>
    <row r="7">
      <c r="A7" s="9" t="inlineStr">
        <is>
          <t>Biootpad</t>
        </is>
      </c>
      <c r="B7" s="6">
        <f>IFERROR(1/(1/_xlfn.MINIFS(Raspored!$A$5:$A$12,Raspored!$E$5:$E$12,"x",Raspored!$A$5:$A$12,"&gt;="&amp;$B$3)),"nema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COUNTIF(Raspored!$E$5:$E$12,"x")</f>
        <v/>
      </c>
    </row>
    <row r="8">
      <c r="A8" s="10" t="inlineStr">
        <is>
          <t>Plastika i plastična ambalaža (žuta posuda)</t>
        </is>
      </c>
      <c r="B8" s="6">
        <f>IFERROR(1/(1/_xlfn.MINIFS(Raspored!$A$5:$A$12,Raspored!$F$5:$F$12,"x",Raspored!$A$5:$A$12,"&gt;="&amp;$B$3)),"nema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COUNTIF(Raspored!$F$5:$F$12,"x")</f>
        <v/>
      </c>
    </row>
    <row r="9">
      <c r="A9" s="11" t="inlineStr">
        <is>
          <t>Papir i papirna ambalaža (plava posuda)</t>
        </is>
      </c>
      <c r="B9" s="6">
        <f>IFERROR(1/(1/_xlfn.MINIFS(Raspored!$A$5:$A$12,Raspored!$G$5:$G$12,"x",Raspored!$A$5:$A$12,"&gt;="&amp;$B$3)),"nema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COUNTIFS(Raspored!$C$5:$C$12,$A13,Raspored!$D$5:$D$12,"x")</f>
        <v/>
      </c>
      <c r="C13" s="7">
        <f>COUNTIFS(Raspored!$C$5:$C$12,$A13,Raspored!$E$5:$E$12,"x")</f>
        <v/>
      </c>
      <c r="D13" s="7">
        <f>COUNTIFS(Raspored!$C$5:$C$12,$A13,Raspored!$F$5:$F$12,"x")</f>
        <v/>
      </c>
      <c r="E13" s="7">
        <f>COUNTIFS(Raspored!$C$5:$C$12,$A13,Raspored!$G$5:$G$12,"x")</f>
        <v/>
      </c>
    </row>
    <row r="14">
      <c r="A14" s="17" t="inlineStr">
        <is>
          <t>veljača</t>
        </is>
      </c>
      <c r="B14" s="7">
        <f>COUNTIFS(Raspored!$C$5:$C$12,$A14,Raspored!$D$5:$D$12,"x")</f>
        <v/>
      </c>
      <c r="C14" s="7">
        <f>COUNTIFS(Raspored!$C$5:$C$12,$A14,Raspored!$E$5:$E$12,"x")</f>
        <v/>
      </c>
      <c r="D14" s="7">
        <f>COUNTIFS(Raspored!$C$5:$C$12,$A14,Raspored!$F$5:$F$12,"x")</f>
        <v/>
      </c>
      <c r="E14" s="7">
        <f>COUNTIFS(Raspored!$C$5:$C$12,$A14,Raspored!$G$5:$G$12,"x")</f>
        <v/>
      </c>
    </row>
    <row r="15">
      <c r="A15" s="17" t="inlineStr">
        <is>
          <t>ožujak</t>
        </is>
      </c>
      <c r="B15" s="7">
        <f>COUNTIFS(Raspored!$C$5:$C$12,$A15,Raspored!$D$5:$D$12,"x")</f>
        <v/>
      </c>
      <c r="C15" s="7">
        <f>COUNTIFS(Raspored!$C$5:$C$12,$A15,Raspored!$E$5:$E$12,"x")</f>
        <v/>
      </c>
      <c r="D15" s="7">
        <f>COUNTIFS(Raspored!$C$5:$C$12,$A15,Raspored!$F$5:$F$12,"x")</f>
        <v/>
      </c>
      <c r="E15" s="7">
        <f>COUNTIFS(Raspored!$C$5:$C$12,$A15,Raspored!$G$5:$G$12,"x")</f>
        <v/>
      </c>
    </row>
    <row r="16">
      <c r="A16" s="17" t="inlineStr">
        <is>
          <t>travanj</t>
        </is>
      </c>
      <c r="B16" s="7">
        <f>COUNTIFS(Raspored!$C$5:$C$12,$A16,Raspored!$D$5:$D$12,"x")</f>
        <v/>
      </c>
      <c r="C16" s="7">
        <f>COUNTIFS(Raspored!$C$5:$C$12,$A16,Raspored!$E$5:$E$12,"x")</f>
        <v/>
      </c>
      <c r="D16" s="7">
        <f>COUNTIFS(Raspored!$C$5:$C$12,$A16,Raspored!$F$5:$F$12,"x")</f>
        <v/>
      </c>
      <c r="E16" s="7">
        <f>COUNTIFS(Raspored!$C$5:$C$12,$A16,Raspored!$G$5:$G$12,"x")</f>
        <v/>
      </c>
    </row>
    <row r="17">
      <c r="A17" s="17" t="inlineStr">
        <is>
          <t>svibanj</t>
        </is>
      </c>
      <c r="B17" s="7">
        <f>COUNTIFS(Raspored!$C$5:$C$12,$A17,Raspored!$D$5:$D$12,"x")</f>
        <v/>
      </c>
      <c r="C17" s="7">
        <f>COUNTIFS(Raspored!$C$5:$C$12,$A17,Raspored!$E$5:$E$12,"x")</f>
        <v/>
      </c>
      <c r="D17" s="7">
        <f>COUNTIFS(Raspored!$C$5:$C$12,$A17,Raspored!$F$5:$F$12,"x")</f>
        <v/>
      </c>
      <c r="E17" s="7">
        <f>COUNTIFS(Raspored!$C$5:$C$12,$A17,Raspored!$G$5:$G$12,"x")</f>
        <v/>
      </c>
    </row>
    <row r="18">
      <c r="A18" s="17" t="inlineStr">
        <is>
          <t>lipanj</t>
        </is>
      </c>
      <c r="B18" s="7">
        <f>COUNTIFS(Raspored!$C$5:$C$12,$A18,Raspored!$D$5:$D$12,"x")</f>
        <v/>
      </c>
      <c r="C18" s="7">
        <f>COUNTIFS(Raspored!$C$5:$C$12,$A18,Raspored!$E$5:$E$12,"x")</f>
        <v/>
      </c>
      <c r="D18" s="7">
        <f>COUNTIFS(Raspored!$C$5:$C$12,$A18,Raspored!$F$5:$F$12,"x")</f>
        <v/>
      </c>
      <c r="E18" s="7">
        <f>COUNTIFS(Raspored!$C$5:$C$12,$A18,Raspored!$G$5:$G$12,"x")</f>
        <v/>
      </c>
    </row>
    <row r="19">
      <c r="A19" s="17" t="inlineStr">
        <is>
          <t>srpanj</t>
        </is>
      </c>
      <c r="B19" s="7">
        <f>COUNTIFS(Raspored!$C$5:$C$12,$A19,Raspored!$D$5:$D$12,"x")</f>
        <v/>
      </c>
      <c r="C19" s="7">
        <f>COUNTIFS(Raspored!$C$5:$C$12,$A19,Raspored!$E$5:$E$12,"x")</f>
        <v/>
      </c>
      <c r="D19" s="7">
        <f>COUNTIFS(Raspored!$C$5:$C$12,$A19,Raspored!$F$5:$F$12,"x")</f>
        <v/>
      </c>
      <c r="E19" s="7">
        <f>COUNTIFS(Raspored!$C$5:$C$12,$A19,Raspored!$G$5:$G$12,"x")</f>
        <v/>
      </c>
    </row>
    <row r="20">
      <c r="A20" s="17" t="inlineStr">
        <is>
          <t>kolovoz</t>
        </is>
      </c>
      <c r="B20" s="7">
        <f>COUNTIFS(Raspored!$C$5:$C$12,$A20,Raspored!$D$5:$D$12,"x")</f>
        <v/>
      </c>
      <c r="C20" s="7">
        <f>COUNTIFS(Raspored!$C$5:$C$12,$A20,Raspored!$E$5:$E$12,"x")</f>
        <v/>
      </c>
      <c r="D20" s="7">
        <f>COUNTIFS(Raspored!$C$5:$C$12,$A20,Raspored!$F$5:$F$12,"x")</f>
        <v/>
      </c>
      <c r="E20" s="7">
        <f>COUNTIFS(Raspored!$C$5:$C$12,$A20,Raspored!$G$5:$G$12,"x")</f>
        <v/>
      </c>
    </row>
    <row r="21">
      <c r="A21" s="17" t="inlineStr">
        <is>
          <t>rujan</t>
        </is>
      </c>
      <c r="B21" s="7">
        <f>COUNTIFS(Raspored!$C$5:$C$12,$A21,Raspored!$D$5:$D$12,"x")</f>
        <v/>
      </c>
      <c r="C21" s="7">
        <f>COUNTIFS(Raspored!$C$5:$C$12,$A21,Raspored!$E$5:$E$12,"x")</f>
        <v/>
      </c>
      <c r="D21" s="7">
        <f>COUNTIFS(Raspored!$C$5:$C$12,$A21,Raspored!$F$5:$F$12,"x")</f>
        <v/>
      </c>
      <c r="E21" s="7">
        <f>COUNTIFS(Raspored!$C$5:$C$12,$A21,Raspored!$G$5:$G$12,"x")</f>
        <v/>
      </c>
    </row>
    <row r="22">
      <c r="A22" s="17" t="inlineStr">
        <is>
          <t>listopad</t>
        </is>
      </c>
      <c r="B22" s="7">
        <f>COUNTIFS(Raspored!$C$5:$C$12,$A22,Raspored!$D$5:$D$12,"x")</f>
        <v/>
      </c>
      <c r="C22" s="7">
        <f>COUNTIFS(Raspored!$C$5:$C$12,$A22,Raspored!$E$5:$E$12,"x")</f>
        <v/>
      </c>
      <c r="D22" s="7">
        <f>COUNTIFS(Raspored!$C$5:$C$12,$A22,Raspored!$F$5:$F$12,"x")</f>
        <v/>
      </c>
      <c r="E22" s="7">
        <f>COUNTIFS(Raspored!$C$5:$C$12,$A22,Raspored!$G$5:$G$12,"x")</f>
        <v/>
      </c>
    </row>
    <row r="23">
      <c r="A23" s="17" t="inlineStr">
        <is>
          <t>studeni</t>
        </is>
      </c>
      <c r="B23" s="7">
        <f>COUNTIFS(Raspored!$C$5:$C$12,$A23,Raspored!$D$5:$D$12,"x")</f>
        <v/>
      </c>
      <c r="C23" s="7">
        <f>COUNTIFS(Raspored!$C$5:$C$12,$A23,Raspored!$E$5:$E$12,"x")</f>
        <v/>
      </c>
      <c r="D23" s="7">
        <f>COUNTIFS(Raspored!$C$5:$C$12,$A23,Raspored!$F$5:$F$12,"x")</f>
        <v/>
      </c>
      <c r="E23" s="7">
        <f>COUNTIFS(Raspored!$C$5:$C$12,$A23,Raspored!$G$5:$G$12,"x")</f>
        <v/>
      </c>
    </row>
    <row r="24">
      <c r="A24" s="17" t="inlineStr">
        <is>
          <t>prosinac</t>
        </is>
      </c>
      <c r="B24" s="7">
        <f>COUNTIFS(Raspored!$C$5:$C$12,$A24,Raspored!$D$5:$D$12,"x")</f>
        <v/>
      </c>
      <c r="C24" s="7">
        <f>COUNTIFS(Raspored!$C$5:$C$12,$A24,Raspored!$E$5:$E$12,"x")</f>
        <v/>
      </c>
      <c r="D24" s="7">
        <f>COUNTIFS(Raspored!$C$5:$C$12,$A24,Raspored!$F$5:$F$12,"x")</f>
        <v/>
      </c>
      <c r="E24" s="7">
        <f>COUNTIFS(Raspored!$C$5:$C$12,$A24,Raspored!$G$5:$G$12,"x")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9 (Suhopolje)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46394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46401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46408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46415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46422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46429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46436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46443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</sheetData>
  <autoFilter ref="A4:H12"/>
  <conditionalFormatting sqref="D5:D12">
    <cfRule type="expression" priority="1" dxfId="0">
      <formula>D5="x"</formula>
    </cfRule>
  </conditionalFormatting>
  <conditionalFormatting sqref="E5:E12">
    <cfRule type="expression" priority="2" dxfId="1">
      <formula>E5="x"</formula>
    </cfRule>
  </conditionalFormatting>
  <conditionalFormatting sqref="F5:F12">
    <cfRule type="expression" priority="3" dxfId="2">
      <formula>F5="x"</formula>
    </cfRule>
  </conditionalFormatting>
  <conditionalFormatting sqref="G5:G12">
    <cfRule type="expression" priority="4" dxfId="3">
      <formula>G5="x"</formula>
    </cfRule>
  </conditionalFormatting>
  <conditionalFormatting sqref="A5:H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46394</v>
      </c>
      <c r="B2" s="17" t="inlineStr">
        <is>
          <t>četvrtak</t>
        </is>
      </c>
      <c r="C2" s="5" t="inlineStr">
        <is>
          <t>Miješani komunalni otpad (zelena posuda)</t>
        </is>
      </c>
      <c r="D2" s="17" t="n"/>
    </row>
    <row r="3">
      <c r="A3" s="24" t="n">
        <v>46394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46394</v>
      </c>
      <c r="B4" s="17" t="inlineStr">
        <is>
          <t>četvrtak</t>
        </is>
      </c>
      <c r="C4" s="11" t="inlineStr">
        <is>
          <t>Papir i papirna ambalaža (plava posuda)</t>
        </is>
      </c>
      <c r="D4" s="17" t="n"/>
    </row>
    <row r="5">
      <c r="A5" s="24" t="n">
        <v>46401</v>
      </c>
      <c r="B5" s="17" t="inlineStr">
        <is>
          <t>četvrtak</t>
        </is>
      </c>
      <c r="C5" s="5" t="inlineStr">
        <is>
          <t>Miješani komunalni otpad (zelena posuda)</t>
        </is>
      </c>
      <c r="D5" s="17" t="n"/>
    </row>
    <row r="6">
      <c r="A6" s="24" t="n">
        <v>46401</v>
      </c>
      <c r="B6" s="17" t="inlineStr">
        <is>
          <t>četvrtak</t>
        </is>
      </c>
      <c r="C6" s="10" t="inlineStr">
        <is>
          <t>Plastika i plastična ambalaža (žuta posuda)</t>
        </is>
      </c>
      <c r="D6" s="17" t="n"/>
    </row>
    <row r="7">
      <c r="A7" s="24" t="n">
        <v>46408</v>
      </c>
      <c r="B7" s="17" t="inlineStr">
        <is>
          <t>četvrtak</t>
        </is>
      </c>
      <c r="C7" s="5" t="inlineStr">
        <is>
          <t>Miješani komunalni otpad (zelena posuda)</t>
        </is>
      </c>
      <c r="D7" s="17" t="n"/>
    </row>
    <row r="8">
      <c r="A8" s="24" t="n">
        <v>46408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46408</v>
      </c>
      <c r="B9" s="17" t="inlineStr">
        <is>
          <t>četvrtak</t>
        </is>
      </c>
      <c r="C9" s="11" t="inlineStr">
        <is>
          <t>Papir i papirna ambalaža (plava posuda)</t>
        </is>
      </c>
      <c r="D9" s="17" t="n"/>
    </row>
    <row r="10">
      <c r="A10" s="24" t="n">
        <v>46415</v>
      </c>
      <c r="B10" s="17" t="inlineStr">
        <is>
          <t>četvrtak</t>
        </is>
      </c>
      <c r="C10" s="5" t="inlineStr">
        <is>
          <t>Miješani komunalni otpad (zelena posuda)</t>
        </is>
      </c>
      <c r="D10" s="17" t="n"/>
    </row>
    <row r="11">
      <c r="A11" s="24" t="n">
        <v>46415</v>
      </c>
      <c r="B11" s="17" t="inlineStr">
        <is>
          <t>četvrtak</t>
        </is>
      </c>
      <c r="C11" s="10" t="inlineStr">
        <is>
          <t>Plastika i plastična ambalaža (žuta posuda)</t>
        </is>
      </c>
      <c r="D11" s="17" t="n"/>
    </row>
    <row r="12">
      <c r="A12" s="24" t="n">
        <v>46422</v>
      </c>
      <c r="B12" s="17" t="inlineStr">
        <is>
          <t>četvrtak</t>
        </is>
      </c>
      <c r="C12" s="5" t="inlineStr">
        <is>
          <t>Miješani komunalni otpad (zelena posuda)</t>
        </is>
      </c>
      <c r="D12" s="17" t="n"/>
    </row>
    <row r="13">
      <c r="A13" s="24" t="n">
        <v>46422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46422</v>
      </c>
      <c r="B14" s="17" t="inlineStr">
        <is>
          <t>četvrtak</t>
        </is>
      </c>
      <c r="C14" s="11" t="inlineStr">
        <is>
          <t>Papir i papirna ambalaža (plava posuda)</t>
        </is>
      </c>
      <c r="D14" s="17" t="n"/>
    </row>
    <row r="15">
      <c r="A15" s="24" t="n">
        <v>46429</v>
      </c>
      <c r="B15" s="17" t="inlineStr">
        <is>
          <t>četvrtak</t>
        </is>
      </c>
      <c r="C15" s="5" t="inlineStr">
        <is>
          <t>Miješani komunalni otpad (zelena posuda)</t>
        </is>
      </c>
      <c r="D15" s="17" t="n"/>
    </row>
    <row r="16">
      <c r="A16" s="24" t="n">
        <v>46429</v>
      </c>
      <c r="B16" s="17" t="inlineStr">
        <is>
          <t>četvrtak</t>
        </is>
      </c>
      <c r="C16" s="10" t="inlineStr">
        <is>
          <t>Plastika i plastična ambalaža (žuta posuda)</t>
        </is>
      </c>
      <c r="D16" s="17" t="n"/>
    </row>
    <row r="17">
      <c r="A17" s="24" t="n">
        <v>46436</v>
      </c>
      <c r="B17" s="17" t="inlineStr">
        <is>
          <t>četvrtak</t>
        </is>
      </c>
      <c r="C17" s="5" t="inlineStr">
        <is>
          <t>Miješani komunalni otpad (zelena posuda)</t>
        </is>
      </c>
      <c r="D17" s="17" t="n"/>
    </row>
    <row r="18">
      <c r="A18" s="24" t="n">
        <v>46436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46436</v>
      </c>
      <c r="B19" s="17" t="inlineStr">
        <is>
          <t>četvrtak</t>
        </is>
      </c>
      <c r="C19" s="11" t="inlineStr">
        <is>
          <t>Papir i papirna ambalaža (plava posuda)</t>
        </is>
      </c>
      <c r="D19" s="17" t="n"/>
    </row>
    <row r="20">
      <c r="A20" s="24" t="n">
        <v>46443</v>
      </c>
      <c r="B20" s="17" t="inlineStr">
        <is>
          <t>četvrtak</t>
        </is>
      </c>
      <c r="C20" s="5" t="inlineStr">
        <is>
          <t>Miješani komunalni otpad (zelena posuda)</t>
        </is>
      </c>
      <c r="D20" s="17" t="n"/>
    </row>
    <row r="21">
      <c r="A21" s="24" t="n">
        <v>46443</v>
      </c>
      <c r="B21" s="17" t="inlineStr">
        <is>
          <t>četvrtak</t>
        </is>
      </c>
      <c r="C21" s="10" t="inlineStr">
        <is>
          <t>Plastika i plastična ambalaža (žuta posuda)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(Suhopolje): ulice i naselja</t>
        </is>
      </c>
    </row>
    <row r="2">
      <c r="A2" s="22" t="inlineStr">
        <is>
          <t>Levinovac, Pivnica Slavonska, Gvozdanska, Rodin Potok, Dvorska, Mandinac, V. Trapinska, M. Trapinska, Sovjak, Pepelana, Žubrica, Trnava, Budanica, Bukova, Borova, Pčelić, Eržabet, Lanište</t>
        </is>
      </c>
    </row>
    <row r="4">
      <c r="A4" s="4" t="inlineStr">
        <is>
          <t>Ulica / naselje</t>
        </is>
      </c>
    </row>
    <row r="5">
      <c r="A5" s="17" t="inlineStr">
        <is>
          <t>Levinovac</t>
        </is>
      </c>
    </row>
    <row r="6">
      <c r="A6" s="17" t="inlineStr">
        <is>
          <t>Pivnica Slavonska</t>
        </is>
      </c>
    </row>
    <row r="7">
      <c r="A7" s="17" t="inlineStr">
        <is>
          <t>Gvozdanska</t>
        </is>
      </c>
    </row>
    <row r="8">
      <c r="A8" s="17" t="inlineStr">
        <is>
          <t>Rodin Potok</t>
        </is>
      </c>
    </row>
    <row r="9">
      <c r="A9" s="17" t="inlineStr">
        <is>
          <t>Dvorska</t>
        </is>
      </c>
    </row>
    <row r="10">
      <c r="A10" s="17" t="inlineStr">
        <is>
          <t>Mandinac</t>
        </is>
      </c>
    </row>
    <row r="11">
      <c r="A11" s="17" t="inlineStr">
        <is>
          <t>V. Trapinska</t>
        </is>
      </c>
    </row>
    <row r="12">
      <c r="A12" s="17" t="inlineStr">
        <is>
          <t>M. Trapinska</t>
        </is>
      </c>
    </row>
    <row r="13">
      <c r="A13" s="17" t="inlineStr">
        <is>
          <t>Sovjak</t>
        </is>
      </c>
    </row>
    <row r="14">
      <c r="A14" s="17" t="inlineStr">
        <is>
          <t>Pepelana</t>
        </is>
      </c>
    </row>
    <row r="15">
      <c r="A15" s="17" t="inlineStr">
        <is>
          <t>Žubrica</t>
        </is>
      </c>
    </row>
    <row r="16">
      <c r="A16" s="17" t="inlineStr">
        <is>
          <t>Trnava</t>
        </is>
      </c>
    </row>
    <row r="17">
      <c r="A17" s="17" t="inlineStr">
        <is>
          <t>Budanica</t>
        </is>
      </c>
    </row>
    <row r="18">
      <c r="A18" s="17" t="inlineStr">
        <is>
          <t>Bukova</t>
        </is>
      </c>
    </row>
    <row r="19">
      <c r="A19" s="17" t="inlineStr">
        <is>
          <t>Borova</t>
        </is>
      </c>
    </row>
    <row r="20">
      <c r="A20" s="17" t="inlineStr">
        <is>
          <t>Pčelić</t>
        </is>
      </c>
    </row>
    <row r="21">
      <c r="A21" s="17" t="inlineStr">
        <is>
          <t>Eržabet</t>
        </is>
      </c>
    </row>
    <row r="22">
      <c r="A22" s="17" t="inlineStr">
        <is>
          <t>Lanište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2026-10-08T06:20:57Z</dcterms:created>
  <dcterms:modified xmlns:dcterms="http://purl.org/dc/terms/" xmlns:xsi="http://www.w3.org/2001/XMLSchema-instance" xsi:type="dcterms:W3CDTF">2026-10-08T06:20:57Z</dcterms:modified>
</cp:coreProperties>
</file>
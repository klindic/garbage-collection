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posuda)</t>
        </is>
      </c>
      <c r="B6" s="6">
        <f>IFERROR(1/(1/_xlfn.MINIFS(Raspored!$A$5:$A$26,Raspored!$D$5:$D$26,"x",Raspored!$A$5:$A$26,"&gt;="&amp;$B$3)),"nema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COUNTIF(Raspored!$D$5:$D$26,"x")</f>
        <v/>
      </c>
    </row>
    <row r="7">
      <c r="A7" s="9" t="inlineStr">
        <is>
          <t>Biootpad</t>
        </is>
      </c>
      <c r="B7" s="6">
        <f>IFERROR(1/(1/_xlfn.MINIFS(Raspored!$A$5:$A$26,Raspored!$E$5:$E$26,"x",Raspored!$A$5:$A$26,"&gt;="&amp;$B$3)),"nema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COUNTIF(Raspored!$E$5:$E$26,"x")</f>
        <v/>
      </c>
    </row>
    <row r="8">
      <c r="A8" s="10" t="inlineStr">
        <is>
          <t>Plastika i plastična ambalaža (žuta posuda)</t>
        </is>
      </c>
      <c r="B8" s="6">
        <f>IFERROR(1/(1/_xlfn.MINIFS(Raspored!$A$5:$A$26,Raspored!$F$5:$F$26,"x",Raspored!$A$5:$A$26,"&gt;="&amp;$B$3)),"nema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COUNTIF(Raspored!$F$5:$F$26,"x")</f>
        <v/>
      </c>
    </row>
    <row r="9">
      <c r="A9" s="11" t="inlineStr">
        <is>
          <t>Papir i papirna ambalaža (plava posuda)</t>
        </is>
      </c>
      <c r="B9" s="6">
        <f>IFERROR(1/(1/_xlfn.MINIFS(Raspored!$A$5:$A$26,Raspored!$G$5:$G$26,"x",Raspored!$A$5:$A$26,"&gt;="&amp;$B$3)),"nema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COUNTIFS(Raspored!$C$5:$C$26,$A13,Raspored!$D$5:$D$26,"x")</f>
        <v/>
      </c>
      <c r="C13" s="7">
        <f>COUNTIFS(Raspored!$C$5:$C$26,$A13,Raspored!$E$5:$E$26,"x")</f>
        <v/>
      </c>
      <c r="D13" s="7">
        <f>COUNTIFS(Raspored!$C$5:$C$26,$A13,Raspored!$F$5:$F$26,"x")</f>
        <v/>
      </c>
      <c r="E13" s="7">
        <f>COUNTIFS(Raspored!$C$5:$C$26,$A13,Raspored!$G$5:$G$26,"x")</f>
        <v/>
      </c>
    </row>
    <row r="14">
      <c r="A14" s="17" t="inlineStr">
        <is>
          <t>veljača</t>
        </is>
      </c>
      <c r="B14" s="7">
        <f>COUNTIFS(Raspored!$C$5:$C$26,$A14,Raspored!$D$5:$D$26,"x")</f>
        <v/>
      </c>
      <c r="C14" s="7">
        <f>COUNTIFS(Raspored!$C$5:$C$26,$A14,Raspored!$E$5:$E$26,"x")</f>
        <v/>
      </c>
      <c r="D14" s="7">
        <f>COUNTIFS(Raspored!$C$5:$C$26,$A14,Raspored!$F$5:$F$26,"x")</f>
        <v/>
      </c>
      <c r="E14" s="7">
        <f>COUNTIFS(Raspored!$C$5:$C$26,$A14,Raspored!$G$5:$G$26,"x")</f>
        <v/>
      </c>
    </row>
    <row r="15">
      <c r="A15" s="17" t="inlineStr">
        <is>
          <t>ožujak</t>
        </is>
      </c>
      <c r="B15" s="7">
        <f>COUNTIFS(Raspored!$C$5:$C$26,$A15,Raspored!$D$5:$D$26,"x")</f>
        <v/>
      </c>
      <c r="C15" s="7">
        <f>COUNTIFS(Raspored!$C$5:$C$26,$A15,Raspored!$E$5:$E$26,"x")</f>
        <v/>
      </c>
      <c r="D15" s="7">
        <f>COUNTIFS(Raspored!$C$5:$C$26,$A15,Raspored!$F$5:$F$26,"x")</f>
        <v/>
      </c>
      <c r="E15" s="7">
        <f>COUNTIFS(Raspored!$C$5:$C$26,$A15,Raspored!$G$5:$G$26,"x")</f>
        <v/>
      </c>
    </row>
    <row r="16">
      <c r="A16" s="17" t="inlineStr">
        <is>
          <t>travanj</t>
        </is>
      </c>
      <c r="B16" s="7">
        <f>COUNTIFS(Raspored!$C$5:$C$26,$A16,Raspored!$D$5:$D$26,"x")</f>
        <v/>
      </c>
      <c r="C16" s="7">
        <f>COUNTIFS(Raspored!$C$5:$C$26,$A16,Raspored!$E$5:$E$26,"x")</f>
        <v/>
      </c>
      <c r="D16" s="7">
        <f>COUNTIFS(Raspored!$C$5:$C$26,$A16,Raspored!$F$5:$F$26,"x")</f>
        <v/>
      </c>
      <c r="E16" s="7">
        <f>COUNTIFS(Raspored!$C$5:$C$26,$A16,Raspored!$G$5:$G$26,"x")</f>
        <v/>
      </c>
    </row>
    <row r="17">
      <c r="A17" s="17" t="inlineStr">
        <is>
          <t>svibanj</t>
        </is>
      </c>
      <c r="B17" s="7">
        <f>COUNTIFS(Raspored!$C$5:$C$26,$A17,Raspored!$D$5:$D$26,"x")</f>
        <v/>
      </c>
      <c r="C17" s="7">
        <f>COUNTIFS(Raspored!$C$5:$C$26,$A17,Raspored!$E$5:$E$26,"x")</f>
        <v/>
      </c>
      <c r="D17" s="7">
        <f>COUNTIFS(Raspored!$C$5:$C$26,$A17,Raspored!$F$5:$F$26,"x")</f>
        <v/>
      </c>
      <c r="E17" s="7">
        <f>COUNTIFS(Raspored!$C$5:$C$26,$A17,Raspored!$G$5:$G$26,"x")</f>
        <v/>
      </c>
    </row>
    <row r="18">
      <c r="A18" s="17" t="inlineStr">
        <is>
          <t>lipanj</t>
        </is>
      </c>
      <c r="B18" s="7">
        <f>COUNTIFS(Raspored!$C$5:$C$26,$A18,Raspored!$D$5:$D$26,"x")</f>
        <v/>
      </c>
      <c r="C18" s="7">
        <f>COUNTIFS(Raspored!$C$5:$C$26,$A18,Raspored!$E$5:$E$26,"x")</f>
        <v/>
      </c>
      <c r="D18" s="7">
        <f>COUNTIFS(Raspored!$C$5:$C$26,$A18,Raspored!$F$5:$F$26,"x")</f>
        <v/>
      </c>
      <c r="E18" s="7">
        <f>COUNTIFS(Raspored!$C$5:$C$26,$A18,Raspored!$G$5:$G$26,"x")</f>
        <v/>
      </c>
    </row>
    <row r="19">
      <c r="A19" s="17" t="inlineStr">
        <is>
          <t>srpanj</t>
        </is>
      </c>
      <c r="B19" s="7">
        <f>COUNTIFS(Raspored!$C$5:$C$26,$A19,Raspored!$D$5:$D$26,"x")</f>
        <v/>
      </c>
      <c r="C19" s="7">
        <f>COUNTIFS(Raspored!$C$5:$C$26,$A19,Raspored!$E$5:$E$26,"x")</f>
        <v/>
      </c>
      <c r="D19" s="7">
        <f>COUNTIFS(Raspored!$C$5:$C$26,$A19,Raspored!$F$5:$F$26,"x")</f>
        <v/>
      </c>
      <c r="E19" s="7">
        <f>COUNTIFS(Raspored!$C$5:$C$26,$A19,Raspored!$G$5:$G$26,"x")</f>
        <v/>
      </c>
    </row>
    <row r="20">
      <c r="A20" s="17" t="inlineStr">
        <is>
          <t>kolovoz</t>
        </is>
      </c>
      <c r="B20" s="7">
        <f>COUNTIFS(Raspored!$C$5:$C$26,$A20,Raspored!$D$5:$D$26,"x")</f>
        <v/>
      </c>
      <c r="C20" s="7">
        <f>COUNTIFS(Raspored!$C$5:$C$26,$A20,Raspored!$E$5:$E$26,"x")</f>
        <v/>
      </c>
      <c r="D20" s="7">
        <f>COUNTIFS(Raspored!$C$5:$C$26,$A20,Raspored!$F$5:$F$26,"x")</f>
        <v/>
      </c>
      <c r="E20" s="7">
        <f>COUNTIFS(Raspored!$C$5:$C$26,$A20,Raspored!$G$5:$G$26,"x")</f>
        <v/>
      </c>
    </row>
    <row r="21">
      <c r="A21" s="17" t="inlineStr">
        <is>
          <t>rujan</t>
        </is>
      </c>
      <c r="B21" s="7">
        <f>COUNTIFS(Raspored!$C$5:$C$26,$A21,Raspored!$D$5:$D$26,"x")</f>
        <v/>
      </c>
      <c r="C21" s="7">
        <f>COUNTIFS(Raspored!$C$5:$C$26,$A21,Raspored!$E$5:$E$26,"x")</f>
        <v/>
      </c>
      <c r="D21" s="7">
        <f>COUNTIFS(Raspored!$C$5:$C$26,$A21,Raspored!$F$5:$F$26,"x")</f>
        <v/>
      </c>
      <c r="E21" s="7">
        <f>COUNTIFS(Raspored!$C$5:$C$26,$A21,Raspored!$G$5:$G$26,"x")</f>
        <v/>
      </c>
    </row>
    <row r="22">
      <c r="A22" s="17" t="inlineStr">
        <is>
          <t>listopad</t>
        </is>
      </c>
      <c r="B22" s="7">
        <f>COUNTIFS(Raspored!$C$5:$C$26,$A22,Raspored!$D$5:$D$26,"x")</f>
        <v/>
      </c>
      <c r="C22" s="7">
        <f>COUNTIFS(Raspored!$C$5:$C$26,$A22,Raspored!$E$5:$E$26,"x")</f>
        <v/>
      </c>
      <c r="D22" s="7">
        <f>COUNTIFS(Raspored!$C$5:$C$26,$A22,Raspored!$F$5:$F$26,"x")</f>
        <v/>
      </c>
      <c r="E22" s="7">
        <f>COUNTIFS(Raspored!$C$5:$C$26,$A22,Raspored!$G$5:$G$26,"x")</f>
        <v/>
      </c>
    </row>
    <row r="23">
      <c r="A23" s="17" t="inlineStr">
        <is>
          <t>studeni</t>
        </is>
      </c>
      <c r="B23" s="7">
        <f>COUNTIFS(Raspored!$C$5:$C$26,$A23,Raspored!$D$5:$D$26,"x")</f>
        <v/>
      </c>
      <c r="C23" s="7">
        <f>COUNTIFS(Raspored!$C$5:$C$26,$A23,Raspored!$E$5:$E$26,"x")</f>
        <v/>
      </c>
      <c r="D23" s="7">
        <f>COUNTIFS(Raspored!$C$5:$C$26,$A23,Raspored!$F$5:$F$26,"x")</f>
        <v/>
      </c>
      <c r="E23" s="7">
        <f>COUNTIFS(Raspored!$C$5:$C$26,$A23,Raspored!$G$5:$G$26,"x")</f>
        <v/>
      </c>
    </row>
    <row r="24">
      <c r="A24" s="17" t="inlineStr">
        <is>
          <t>prosinac</t>
        </is>
      </c>
      <c r="B24" s="7">
        <f>COUNTIFS(Raspored!$C$5:$C$26,$A24,Raspored!$D$5:$D$26,"x")</f>
        <v/>
      </c>
      <c r="C24" s="7">
        <f>COUNTIFS(Raspored!$C$5:$C$26,$A24,Raspored!$E$5:$E$26,"x")</f>
        <v/>
      </c>
      <c r="D24" s="7">
        <f>COUNTIFS(Raspored!$C$5:$C$26,$A24,Raspored!$F$5:$F$26,"x")</f>
        <v/>
      </c>
      <c r="E24" s="7">
        <f>COUNTIFS(Raspored!$C$5:$C$26,$A24,Raspored!$G$5:$G$26,"x")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 (Gradina)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46240</v>
      </c>
      <c r="B5" s="7" t="inlineStr">
        <is>
          <t>četvrtak</t>
        </is>
      </c>
      <c r="C5" s="7" t="inlineStr">
        <is>
          <t>kolovoz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46247</v>
      </c>
      <c r="B6" s="7" t="inlineStr">
        <is>
          <t>četvrtak</t>
        </is>
      </c>
      <c r="C6" s="7" t="inlineStr">
        <is>
          <t>kolovoz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46254</v>
      </c>
      <c r="B7" s="7" t="inlineStr">
        <is>
          <t>četvrtak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46261</v>
      </c>
      <c r="B8" s="7" t="inlineStr">
        <is>
          <t>četvrtak</t>
        </is>
      </c>
      <c r="C8" s="7" t="inlineStr">
        <is>
          <t>kolovoz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46268</v>
      </c>
      <c r="B9" s="7" t="inlineStr">
        <is>
          <t>četvrtak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46275</v>
      </c>
      <c r="B10" s="7" t="inlineStr">
        <is>
          <t>četvrtak</t>
        </is>
      </c>
      <c r="C10" s="7" t="inlineStr">
        <is>
          <t>rujan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46282</v>
      </c>
      <c r="B11" s="7" t="inlineStr">
        <is>
          <t>četvrtak</t>
        </is>
      </c>
      <c r="C11" s="7" t="inlineStr">
        <is>
          <t>rujan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46289</v>
      </c>
      <c r="B12" s="7" t="inlineStr">
        <is>
          <t>četvrtak</t>
        </is>
      </c>
      <c r="C12" s="7" t="inlineStr">
        <is>
          <t>rujan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46296</v>
      </c>
      <c r="B13" s="7" t="inlineStr">
        <is>
          <t>četvrtak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46303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46310</v>
      </c>
      <c r="B15" s="7" t="inlineStr">
        <is>
          <t>četvrtak</t>
        </is>
      </c>
      <c r="C15" s="7" t="inlineStr">
        <is>
          <t>listopad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46317</v>
      </c>
      <c r="B16" s="7" t="inlineStr">
        <is>
          <t>četvrtak</t>
        </is>
      </c>
      <c r="C16" s="7" t="inlineStr">
        <is>
          <t>listopad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23" t="n"/>
    </row>
    <row r="17">
      <c r="A17" s="6" t="n">
        <v>46324</v>
      </c>
      <c r="B17" s="7" t="inlineStr">
        <is>
          <t>četvrtak</t>
        </is>
      </c>
      <c r="C17" s="7" t="inlineStr">
        <is>
          <t>listopad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46331</v>
      </c>
      <c r="B18" s="7" t="inlineStr">
        <is>
          <t>četvrtak</t>
        </is>
      </c>
      <c r="C18" s="7" t="inlineStr">
        <is>
          <t>studeni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46338</v>
      </c>
      <c r="B19" s="7" t="inlineStr">
        <is>
          <t>četvrtak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46345</v>
      </c>
      <c r="B20" s="7" t="inlineStr">
        <is>
          <t>četvrtak</t>
        </is>
      </c>
      <c r="C20" s="7" t="inlineStr">
        <is>
          <t>studeni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23" t="n"/>
    </row>
    <row r="21">
      <c r="A21" s="6" t="n">
        <v>46352</v>
      </c>
      <c r="B21" s="7" t="inlineStr">
        <is>
          <t>četvrtak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46359</v>
      </c>
      <c r="B22" s="7" t="inlineStr">
        <is>
          <t>četvrtak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46366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46373</v>
      </c>
      <c r="B24" s="7" t="inlineStr">
        <is>
          <t>četvrtak</t>
        </is>
      </c>
      <c r="C24" s="7" t="inlineStr">
        <is>
          <t>prosinac</t>
        </is>
      </c>
      <c r="D24" s="7" t="inlineStr">
        <is>
          <t>x</t>
        </is>
      </c>
      <c r="E24" s="7" t="inlineStr">
        <is>
          <t>x</t>
        </is>
      </c>
      <c r="F24" s="7" t="n"/>
      <c r="G24" s="7" t="inlineStr">
        <is>
          <t>x</t>
        </is>
      </c>
      <c r="H24" s="23" t="n"/>
    </row>
    <row r="25">
      <c r="A25" s="6" t="n">
        <v>46380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46387</v>
      </c>
      <c r="B26" s="7" t="inlineStr">
        <is>
          <t>četvrtak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</sheetData>
  <autoFilter ref="A4:H26"/>
  <conditionalFormatting sqref="D5:D26">
    <cfRule type="expression" priority="1" dxfId="0">
      <formula>D5="x"</formula>
    </cfRule>
  </conditionalFormatting>
  <conditionalFormatting sqref="E5:E26">
    <cfRule type="expression" priority="2" dxfId="1">
      <formula>E5="x"</formula>
    </cfRule>
  </conditionalFormatting>
  <conditionalFormatting sqref="F5:F26">
    <cfRule type="expression" priority="3" dxfId="2">
      <formula>F5="x"</formula>
    </cfRule>
  </conditionalFormatting>
  <conditionalFormatting sqref="G5:G26">
    <cfRule type="expression" priority="4" dxfId="3">
      <formula>G5="x"</formula>
    </cfRule>
  </conditionalFormatting>
  <conditionalFormatting sqref="A5:H2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46240</v>
      </c>
      <c r="B2" s="17" t="inlineStr">
        <is>
          <t>četvrtak</t>
        </is>
      </c>
      <c r="C2" s="5" t="inlineStr">
        <is>
          <t>Miješani komunalni otpad (zelena posuda)</t>
        </is>
      </c>
      <c r="D2" s="17" t="n"/>
    </row>
    <row r="3">
      <c r="A3" s="24" t="n">
        <v>46240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46240</v>
      </c>
      <c r="B4" s="17" t="inlineStr">
        <is>
          <t>četvrtak</t>
        </is>
      </c>
      <c r="C4" s="11" t="inlineStr">
        <is>
          <t>Papir i papirna ambalaža (plava posuda)</t>
        </is>
      </c>
      <c r="D4" s="17" t="n"/>
    </row>
    <row r="5">
      <c r="A5" s="24" t="n">
        <v>46247</v>
      </c>
      <c r="B5" s="17" t="inlineStr">
        <is>
          <t>četvrtak</t>
        </is>
      </c>
      <c r="C5" s="5" t="inlineStr">
        <is>
          <t>Miješani komunalni otpad (zelena posuda)</t>
        </is>
      </c>
      <c r="D5" s="17" t="n"/>
    </row>
    <row r="6">
      <c r="A6" s="24" t="n">
        <v>46247</v>
      </c>
      <c r="B6" s="17" t="inlineStr">
        <is>
          <t>četvrtak</t>
        </is>
      </c>
      <c r="C6" s="10" t="inlineStr">
        <is>
          <t>Plastika i plastična ambalaža (žuta posuda)</t>
        </is>
      </c>
      <c r="D6" s="17" t="n"/>
    </row>
    <row r="7">
      <c r="A7" s="24" t="n">
        <v>46254</v>
      </c>
      <c r="B7" s="17" t="inlineStr">
        <is>
          <t>četvrtak</t>
        </is>
      </c>
      <c r="C7" s="5" t="inlineStr">
        <is>
          <t>Miješani komunalni otpad (zelena posuda)</t>
        </is>
      </c>
      <c r="D7" s="17" t="n"/>
    </row>
    <row r="8">
      <c r="A8" s="24" t="n">
        <v>46254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46254</v>
      </c>
      <c r="B9" s="17" t="inlineStr">
        <is>
          <t>četvrtak</t>
        </is>
      </c>
      <c r="C9" s="11" t="inlineStr">
        <is>
          <t>Papir i papirna ambalaža (plava posuda)</t>
        </is>
      </c>
      <c r="D9" s="17" t="n"/>
    </row>
    <row r="10">
      <c r="A10" s="24" t="n">
        <v>46261</v>
      </c>
      <c r="B10" s="17" t="inlineStr">
        <is>
          <t>četvrtak</t>
        </is>
      </c>
      <c r="C10" s="5" t="inlineStr">
        <is>
          <t>Miješani komunalni otpad (zelena posuda)</t>
        </is>
      </c>
      <c r="D10" s="17" t="n"/>
    </row>
    <row r="11">
      <c r="A11" s="24" t="n">
        <v>46261</v>
      </c>
      <c r="B11" s="17" t="inlineStr">
        <is>
          <t>četvrtak</t>
        </is>
      </c>
      <c r="C11" s="10" t="inlineStr">
        <is>
          <t>Plastika i plastična ambalaža (žuta posuda)</t>
        </is>
      </c>
      <c r="D11" s="17" t="n"/>
    </row>
    <row r="12">
      <c r="A12" s="24" t="n">
        <v>46268</v>
      </c>
      <c r="B12" s="17" t="inlineStr">
        <is>
          <t>četvrtak</t>
        </is>
      </c>
      <c r="C12" s="5" t="inlineStr">
        <is>
          <t>Miješani komunalni otpad (zelena posuda)</t>
        </is>
      </c>
      <c r="D12" s="17" t="n"/>
    </row>
    <row r="13">
      <c r="A13" s="24" t="n">
        <v>46268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46268</v>
      </c>
      <c r="B14" s="17" t="inlineStr">
        <is>
          <t>četvrtak</t>
        </is>
      </c>
      <c r="C14" s="11" t="inlineStr">
        <is>
          <t>Papir i papirna ambalaža (plava posuda)</t>
        </is>
      </c>
      <c r="D14" s="17" t="n"/>
    </row>
    <row r="15">
      <c r="A15" s="24" t="n">
        <v>46275</v>
      </c>
      <c r="B15" s="17" t="inlineStr">
        <is>
          <t>četvrtak</t>
        </is>
      </c>
      <c r="C15" s="5" t="inlineStr">
        <is>
          <t>Miješani komunalni otpad (zelena posuda)</t>
        </is>
      </c>
      <c r="D15" s="17" t="n"/>
    </row>
    <row r="16">
      <c r="A16" s="24" t="n">
        <v>46275</v>
      </c>
      <c r="B16" s="17" t="inlineStr">
        <is>
          <t>četvrtak</t>
        </is>
      </c>
      <c r="C16" s="10" t="inlineStr">
        <is>
          <t>Plastika i plastična ambalaža (žuta posuda)</t>
        </is>
      </c>
      <c r="D16" s="17" t="n"/>
    </row>
    <row r="17">
      <c r="A17" s="24" t="n">
        <v>46282</v>
      </c>
      <c r="B17" s="17" t="inlineStr">
        <is>
          <t>četvrtak</t>
        </is>
      </c>
      <c r="C17" s="5" t="inlineStr">
        <is>
          <t>Miješani komunalni otpad (zelena posuda)</t>
        </is>
      </c>
      <c r="D17" s="17" t="n"/>
    </row>
    <row r="18">
      <c r="A18" s="24" t="n">
        <v>46282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46282</v>
      </c>
      <c r="B19" s="17" t="inlineStr">
        <is>
          <t>četvrtak</t>
        </is>
      </c>
      <c r="C19" s="11" t="inlineStr">
        <is>
          <t>Papir i papirna ambalaža (plava posuda)</t>
        </is>
      </c>
      <c r="D19" s="17" t="n"/>
    </row>
    <row r="20">
      <c r="A20" s="24" t="n">
        <v>46289</v>
      </c>
      <c r="B20" s="17" t="inlineStr">
        <is>
          <t>četvrtak</t>
        </is>
      </c>
      <c r="C20" s="5" t="inlineStr">
        <is>
          <t>Miješani komunalni otpad (zelena posuda)</t>
        </is>
      </c>
      <c r="D20" s="17" t="n"/>
    </row>
    <row r="21">
      <c r="A21" s="24" t="n">
        <v>46289</v>
      </c>
      <c r="B21" s="17" t="inlineStr">
        <is>
          <t>četvrtak</t>
        </is>
      </c>
      <c r="C21" s="10" t="inlineStr">
        <is>
          <t>Plastika i plastična ambalaža (žuta posuda)</t>
        </is>
      </c>
      <c r="D21" s="17" t="n"/>
    </row>
    <row r="22">
      <c r="A22" s="24" t="n">
        <v>46296</v>
      </c>
      <c r="B22" s="17" t="inlineStr">
        <is>
          <t>četvrtak</t>
        </is>
      </c>
      <c r="C22" s="5" t="inlineStr">
        <is>
          <t>Miješani komunalni otpad (zelena posuda)</t>
        </is>
      </c>
      <c r="D22" s="17" t="n"/>
    </row>
    <row r="23">
      <c r="A23" s="24" t="n">
        <v>46303</v>
      </c>
      <c r="B23" s="17" t="inlineStr">
        <is>
          <t>četvrtak</t>
        </is>
      </c>
      <c r="C23" s="5" t="inlineStr">
        <is>
          <t>Miješani komunalni otpad (zelena posuda)</t>
        </is>
      </c>
      <c r="D23" s="17" t="n"/>
    </row>
    <row r="24">
      <c r="A24" s="24" t="n">
        <v>46303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4" t="n">
        <v>46303</v>
      </c>
      <c r="B25" s="17" t="inlineStr">
        <is>
          <t>četvrtak</t>
        </is>
      </c>
      <c r="C25" s="11" t="inlineStr">
        <is>
          <t>Papir i papirna ambalaža (plava posuda)</t>
        </is>
      </c>
      <c r="D25" s="17" t="n"/>
    </row>
    <row r="26">
      <c r="A26" s="24" t="n">
        <v>46310</v>
      </c>
      <c r="B26" s="17" t="inlineStr">
        <is>
          <t>četvrtak</t>
        </is>
      </c>
      <c r="C26" s="5" t="inlineStr">
        <is>
          <t>Miješani komunalni otpad (zelena posuda)</t>
        </is>
      </c>
      <c r="D26" s="17" t="n"/>
    </row>
    <row r="27">
      <c r="A27" s="24" t="n">
        <v>46310</v>
      </c>
      <c r="B27" s="17" t="inlineStr">
        <is>
          <t>četvrtak</t>
        </is>
      </c>
      <c r="C27" s="10" t="inlineStr">
        <is>
          <t>Plastika i plastična ambalaža (žuta posuda)</t>
        </is>
      </c>
      <c r="D27" s="17" t="n"/>
    </row>
    <row r="28">
      <c r="A28" s="24" t="n">
        <v>46317</v>
      </c>
      <c r="B28" s="17" t="inlineStr">
        <is>
          <t>četvrtak</t>
        </is>
      </c>
      <c r="C28" s="5" t="inlineStr">
        <is>
          <t>Miješani komunalni otpad (zelena posuda)</t>
        </is>
      </c>
      <c r="D28" s="17" t="n"/>
    </row>
    <row r="29">
      <c r="A29" s="24" t="n">
        <v>46317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46317</v>
      </c>
      <c r="B30" s="17" t="inlineStr">
        <is>
          <t>četvrtak</t>
        </is>
      </c>
      <c r="C30" s="11" t="inlineStr">
        <is>
          <t>Papir i papirna ambalaža (plava posuda)</t>
        </is>
      </c>
      <c r="D30" s="17" t="n"/>
    </row>
    <row r="31">
      <c r="A31" s="24" t="n">
        <v>46324</v>
      </c>
      <c r="B31" s="17" t="inlineStr">
        <is>
          <t>četvrtak</t>
        </is>
      </c>
      <c r="C31" s="5" t="inlineStr">
        <is>
          <t>Miješani komunalni otpad (zelena posuda)</t>
        </is>
      </c>
      <c r="D31" s="17" t="n"/>
    </row>
    <row r="32">
      <c r="A32" s="24" t="n">
        <v>46324</v>
      </c>
      <c r="B32" s="17" t="inlineStr">
        <is>
          <t>četvrtak</t>
        </is>
      </c>
      <c r="C32" s="10" t="inlineStr">
        <is>
          <t>Plastika i plastična ambalaža (žuta posuda)</t>
        </is>
      </c>
      <c r="D32" s="17" t="n"/>
    </row>
    <row r="33">
      <c r="A33" s="24" t="n">
        <v>46331</v>
      </c>
      <c r="B33" s="17" t="inlineStr">
        <is>
          <t>četvrtak</t>
        </is>
      </c>
      <c r="C33" s="5" t="inlineStr">
        <is>
          <t>Miješani komunalni otpad (zelena posuda)</t>
        </is>
      </c>
      <c r="D33" s="17" t="n"/>
    </row>
    <row r="34">
      <c r="A34" s="24" t="n">
        <v>46331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46331</v>
      </c>
      <c r="B35" s="17" t="inlineStr">
        <is>
          <t>četvrtak</t>
        </is>
      </c>
      <c r="C35" s="11" t="inlineStr">
        <is>
          <t>Papir i papirna ambalaža (plava posuda)</t>
        </is>
      </c>
      <c r="D35" s="17" t="n"/>
    </row>
    <row r="36">
      <c r="A36" s="24" t="n">
        <v>46338</v>
      </c>
      <c r="B36" s="17" t="inlineStr">
        <is>
          <t>četvrtak</t>
        </is>
      </c>
      <c r="C36" s="5" t="inlineStr">
        <is>
          <t>Miješani komunalni otpad (zelena posuda)</t>
        </is>
      </c>
      <c r="D36" s="17" t="n"/>
    </row>
    <row r="37">
      <c r="A37" s="24" t="n">
        <v>46338</v>
      </c>
      <c r="B37" s="17" t="inlineStr">
        <is>
          <t>četvrtak</t>
        </is>
      </c>
      <c r="C37" s="10" t="inlineStr">
        <is>
          <t>Plastika i plastična ambalaža (žuta posuda)</t>
        </is>
      </c>
      <c r="D37" s="17" t="n"/>
    </row>
    <row r="38">
      <c r="A38" s="24" t="n">
        <v>46345</v>
      </c>
      <c r="B38" s="17" t="inlineStr">
        <is>
          <t>četvrtak</t>
        </is>
      </c>
      <c r="C38" s="5" t="inlineStr">
        <is>
          <t>Miješani komunalni otpad (zelena posuda)</t>
        </is>
      </c>
      <c r="D38" s="17" t="n"/>
    </row>
    <row r="39">
      <c r="A39" s="24" t="n">
        <v>46345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46345</v>
      </c>
      <c r="B40" s="17" t="inlineStr">
        <is>
          <t>četvrtak</t>
        </is>
      </c>
      <c r="C40" s="11" t="inlineStr">
        <is>
          <t>Papir i papirna ambalaža (plava posuda)</t>
        </is>
      </c>
      <c r="D40" s="17" t="n"/>
    </row>
    <row r="41">
      <c r="A41" s="24" t="n">
        <v>46352</v>
      </c>
      <c r="B41" s="17" t="inlineStr">
        <is>
          <t>četvrtak</t>
        </is>
      </c>
      <c r="C41" s="5" t="inlineStr">
        <is>
          <t>Miješani komunalni otpad (zelena posuda)</t>
        </is>
      </c>
      <c r="D41" s="17" t="n"/>
    </row>
    <row r="42">
      <c r="A42" s="24" t="n">
        <v>46352</v>
      </c>
      <c r="B42" s="17" t="inlineStr">
        <is>
          <t>četvrtak</t>
        </is>
      </c>
      <c r="C42" s="10" t="inlineStr">
        <is>
          <t>Plastika i plastična ambalaža (žuta posuda)</t>
        </is>
      </c>
      <c r="D42" s="17" t="n"/>
    </row>
    <row r="43">
      <c r="A43" s="24" t="n">
        <v>46359</v>
      </c>
      <c r="B43" s="17" t="inlineStr">
        <is>
          <t>četvrtak</t>
        </is>
      </c>
      <c r="C43" s="5" t="inlineStr">
        <is>
          <t>Miješani komunalni otpad (zelena posuda)</t>
        </is>
      </c>
      <c r="D43" s="17" t="n"/>
    </row>
    <row r="44">
      <c r="A44" s="24" t="n">
        <v>46359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46359</v>
      </c>
      <c r="B45" s="17" t="inlineStr">
        <is>
          <t>četvrtak</t>
        </is>
      </c>
      <c r="C45" s="11" t="inlineStr">
        <is>
          <t>Papir i papirna ambalaža (plava posuda)</t>
        </is>
      </c>
      <c r="D45" s="17" t="n"/>
    </row>
    <row r="46">
      <c r="A46" s="24" t="n">
        <v>46366</v>
      </c>
      <c r="B46" s="17" t="inlineStr">
        <is>
          <t>četvrtak</t>
        </is>
      </c>
      <c r="C46" s="5" t="inlineStr">
        <is>
          <t>Miješani komunalni otpad (zelena posuda)</t>
        </is>
      </c>
      <c r="D46" s="17" t="n"/>
    </row>
    <row r="47">
      <c r="A47" s="24" t="n">
        <v>46366</v>
      </c>
      <c r="B47" s="17" t="inlineStr">
        <is>
          <t>četvrtak</t>
        </is>
      </c>
      <c r="C47" s="10" t="inlineStr">
        <is>
          <t>Plastika i plastična ambalaža (žuta posuda)</t>
        </is>
      </c>
      <c r="D47" s="17" t="n"/>
    </row>
    <row r="48">
      <c r="A48" s="24" t="n">
        <v>46373</v>
      </c>
      <c r="B48" s="17" t="inlineStr">
        <is>
          <t>četvrtak</t>
        </is>
      </c>
      <c r="C48" s="5" t="inlineStr">
        <is>
          <t>Miješani komunalni otpad (zelena posuda)</t>
        </is>
      </c>
      <c r="D48" s="17" t="n"/>
    </row>
    <row r="49">
      <c r="A49" s="24" t="n">
        <v>46373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46373</v>
      </c>
      <c r="B50" s="17" t="inlineStr">
        <is>
          <t>četvrtak</t>
        </is>
      </c>
      <c r="C50" s="11" t="inlineStr">
        <is>
          <t>Papir i papirna ambalaža (plava posuda)</t>
        </is>
      </c>
      <c r="D50" s="17" t="n"/>
    </row>
    <row r="51">
      <c r="A51" s="24" t="n">
        <v>46380</v>
      </c>
      <c r="B51" s="17" t="inlineStr">
        <is>
          <t>četvrtak</t>
        </is>
      </c>
      <c r="C51" s="5" t="inlineStr">
        <is>
          <t>Miješani komunalni otpad (zelena posuda)</t>
        </is>
      </c>
      <c r="D51" s="17" t="n"/>
    </row>
    <row r="52">
      <c r="A52" s="24" t="n">
        <v>46380</v>
      </c>
      <c r="B52" s="17" t="inlineStr">
        <is>
          <t>četvrtak</t>
        </is>
      </c>
      <c r="C52" s="10" t="inlineStr">
        <is>
          <t>Plastika i plastična ambalaža (žuta posuda)</t>
        </is>
      </c>
      <c r="D52" s="17" t="n"/>
    </row>
    <row r="53">
      <c r="A53" s="24" t="n">
        <v>46387</v>
      </c>
      <c r="B53" s="17" t="inlineStr">
        <is>
          <t>četvrtak</t>
        </is>
      </c>
      <c r="C53" s="5" t="inlineStr">
        <is>
          <t>Miješani komunalni otpad (zelena posuda)</t>
        </is>
      </c>
      <c r="D53" s="17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(Gradina): ulice i naselja</t>
        </is>
      </c>
    </row>
    <row r="2">
      <c r="A2" s="22" t="inlineStr">
        <is>
          <t>Gradina, Rušani, Gradinski Lug, Lipovac, Bačevac</t>
        </is>
      </c>
    </row>
    <row r="4">
      <c r="A4" s="4" t="inlineStr">
        <is>
          <t>Ulica / naselje</t>
        </is>
      </c>
    </row>
    <row r="5">
      <c r="A5" s="17" t="inlineStr">
        <is>
          <t>Gradina</t>
        </is>
      </c>
    </row>
    <row r="6">
      <c r="A6" s="17" t="inlineStr">
        <is>
          <t>Rušani</t>
        </is>
      </c>
    </row>
    <row r="7">
      <c r="A7" s="17" t="inlineStr">
        <is>
          <t>Gradinski Lug</t>
        </is>
      </c>
    </row>
    <row r="8">
      <c r="A8" s="17" t="inlineStr">
        <is>
          <t>Lipovac</t>
        </is>
      </c>
    </row>
    <row r="9">
      <c r="A9" s="17" t="inlineStr">
        <is>
          <t>Bačevac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2026-10-08T06:20:57Z</dcterms:created>
  <dcterms:modified xmlns:dcterms="http://purl.org/dc/terms/" xmlns:xsi="http://www.w3.org/2001/XMLSchema-instance" xsi:type="dcterms:W3CDTF">2026-10-08T06:20:57Z</dcterms:modified>
</cp:coreProperties>
</file>
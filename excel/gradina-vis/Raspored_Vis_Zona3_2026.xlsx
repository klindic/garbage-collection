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'Raspored'!$A$4:$H$35</definedName>
    <definedName name="_xlnm._FilterDatabase" localSheetId="2" hidden="1">'Po vrsti'!$A$1:$D$36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IFERROR(1/(1/_xlfn.MINIFS(Raspored!$A$5:$A$35,Raspored!$D$5:$D$35,"x",Raspored!$A$5:$A$35,"&gt;="&amp;$B$3)),"nema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COUNTIF(Raspored!$D$5:$D$35,"x")</f>
        <v/>
      </c>
    </row>
    <row r="7">
      <c r="A7" s="9" t="inlineStr">
        <is>
          <t>Plastika (vreća)</t>
        </is>
      </c>
      <c r="B7" s="6">
        <f>IFERROR(1/(1/_xlfn.MINIFS(Raspored!$A$5:$A$35,Raspored!$E$5:$E$35,"x",Raspored!$A$5:$A$35,"&gt;="&amp;$B$3)),"nema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COUNTIF(Raspored!$E$5:$E$35,"x")</f>
        <v/>
      </c>
    </row>
    <row r="8">
      <c r="A8" s="10" t="inlineStr">
        <is>
          <t>Papir (vreća)</t>
        </is>
      </c>
      <c r="B8" s="6">
        <f>IFERROR(1/(1/_xlfn.MINIFS(Raspored!$A$5:$A$35,Raspored!$F$5:$F$35,"x",Raspored!$A$5:$A$35,"&gt;="&amp;$B$3)),"nema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COUNTIF(Raspored!$F$5:$F$35,"x")</f>
        <v/>
      </c>
    </row>
    <row r="9">
      <c r="A9" s="11" t="inlineStr">
        <is>
          <t>Staklo (vreća)</t>
        </is>
      </c>
      <c r="B9" s="6">
        <f>IFERROR(1/(1/_xlfn.MINIFS(Raspored!$A$5:$A$35,Raspored!$G$5:$G$35,"x",Raspored!$A$5:$A$35,"&gt;="&amp;$B$3)),"nema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Staklo (vreća)</t>
        </is>
      </c>
    </row>
    <row r="13">
      <c r="A13" s="17" t="inlineStr">
        <is>
          <t>siječanj</t>
        </is>
      </c>
      <c r="B13" s="7">
        <f>COUNTIFS(Raspored!$C$5:$C$35,$A13,Raspored!$D$5:$D$35,"x")</f>
        <v/>
      </c>
      <c r="C13" s="7">
        <f>COUNTIFS(Raspored!$C$5:$C$35,$A13,Raspored!$E$5:$E$35,"x")</f>
        <v/>
      </c>
      <c r="D13" s="7">
        <f>COUNTIFS(Raspored!$C$5:$C$35,$A13,Raspored!$F$5:$F$35,"x")</f>
        <v/>
      </c>
      <c r="E13" s="7">
        <f>COUNTIFS(Raspored!$C$5:$C$35,$A13,Raspored!$G$5:$G$35,"x")</f>
        <v/>
      </c>
    </row>
    <row r="14">
      <c r="A14" s="17" t="inlineStr">
        <is>
          <t>veljača</t>
        </is>
      </c>
      <c r="B14" s="7">
        <f>COUNTIFS(Raspored!$C$5:$C$35,$A14,Raspored!$D$5:$D$35,"x")</f>
        <v/>
      </c>
      <c r="C14" s="7">
        <f>COUNTIFS(Raspored!$C$5:$C$35,$A14,Raspored!$E$5:$E$35,"x")</f>
        <v/>
      </c>
      <c r="D14" s="7">
        <f>COUNTIFS(Raspored!$C$5:$C$35,$A14,Raspored!$F$5:$F$35,"x")</f>
        <v/>
      </c>
      <c r="E14" s="7">
        <f>COUNTIFS(Raspored!$C$5:$C$35,$A14,Raspored!$G$5:$G$35,"x")</f>
        <v/>
      </c>
    </row>
    <row r="15">
      <c r="A15" s="17" t="inlineStr">
        <is>
          <t>ožujak</t>
        </is>
      </c>
      <c r="B15" s="7">
        <f>COUNTIFS(Raspored!$C$5:$C$35,$A15,Raspored!$D$5:$D$35,"x")</f>
        <v/>
      </c>
      <c r="C15" s="7">
        <f>COUNTIFS(Raspored!$C$5:$C$35,$A15,Raspored!$E$5:$E$35,"x")</f>
        <v/>
      </c>
      <c r="D15" s="7">
        <f>COUNTIFS(Raspored!$C$5:$C$35,$A15,Raspored!$F$5:$F$35,"x")</f>
        <v/>
      </c>
      <c r="E15" s="7">
        <f>COUNTIFS(Raspored!$C$5:$C$35,$A15,Raspored!$G$5:$G$35,"x")</f>
        <v/>
      </c>
    </row>
    <row r="16">
      <c r="A16" s="17" t="inlineStr">
        <is>
          <t>travanj</t>
        </is>
      </c>
      <c r="B16" s="7">
        <f>COUNTIFS(Raspored!$C$5:$C$35,$A16,Raspored!$D$5:$D$35,"x")</f>
        <v/>
      </c>
      <c r="C16" s="7">
        <f>COUNTIFS(Raspored!$C$5:$C$35,$A16,Raspored!$E$5:$E$35,"x")</f>
        <v/>
      </c>
      <c r="D16" s="7">
        <f>COUNTIFS(Raspored!$C$5:$C$35,$A16,Raspored!$F$5:$F$35,"x")</f>
        <v/>
      </c>
      <c r="E16" s="7">
        <f>COUNTIFS(Raspored!$C$5:$C$35,$A16,Raspored!$G$5:$G$35,"x")</f>
        <v/>
      </c>
    </row>
    <row r="17">
      <c r="A17" s="17" t="inlineStr">
        <is>
          <t>svibanj</t>
        </is>
      </c>
      <c r="B17" s="7">
        <f>COUNTIFS(Raspored!$C$5:$C$35,$A17,Raspored!$D$5:$D$35,"x")</f>
        <v/>
      </c>
      <c r="C17" s="7">
        <f>COUNTIFS(Raspored!$C$5:$C$35,$A17,Raspored!$E$5:$E$35,"x")</f>
        <v/>
      </c>
      <c r="D17" s="7">
        <f>COUNTIFS(Raspored!$C$5:$C$35,$A17,Raspored!$F$5:$F$35,"x")</f>
        <v/>
      </c>
      <c r="E17" s="7">
        <f>COUNTIFS(Raspored!$C$5:$C$35,$A17,Raspored!$G$5:$G$35,"x")</f>
        <v/>
      </c>
    </row>
    <row r="18">
      <c r="A18" s="17" t="inlineStr">
        <is>
          <t>lipanj</t>
        </is>
      </c>
      <c r="B18" s="7">
        <f>COUNTIFS(Raspored!$C$5:$C$35,$A18,Raspored!$D$5:$D$35,"x")</f>
        <v/>
      </c>
      <c r="C18" s="7">
        <f>COUNTIFS(Raspored!$C$5:$C$35,$A18,Raspored!$E$5:$E$35,"x")</f>
        <v/>
      </c>
      <c r="D18" s="7">
        <f>COUNTIFS(Raspored!$C$5:$C$35,$A18,Raspored!$F$5:$F$35,"x")</f>
        <v/>
      </c>
      <c r="E18" s="7">
        <f>COUNTIFS(Raspored!$C$5:$C$35,$A18,Raspored!$G$5:$G$35,"x")</f>
        <v/>
      </c>
    </row>
    <row r="19">
      <c r="A19" s="17" t="inlineStr">
        <is>
          <t>srpanj</t>
        </is>
      </c>
      <c r="B19" s="7">
        <f>COUNTIFS(Raspored!$C$5:$C$35,$A19,Raspored!$D$5:$D$35,"x")</f>
        <v/>
      </c>
      <c r="C19" s="7">
        <f>COUNTIFS(Raspored!$C$5:$C$35,$A19,Raspored!$E$5:$E$35,"x")</f>
        <v/>
      </c>
      <c r="D19" s="7">
        <f>COUNTIFS(Raspored!$C$5:$C$35,$A19,Raspored!$F$5:$F$35,"x")</f>
        <v/>
      </c>
      <c r="E19" s="7">
        <f>COUNTIFS(Raspored!$C$5:$C$35,$A19,Raspored!$G$5:$G$35,"x")</f>
        <v/>
      </c>
    </row>
    <row r="20">
      <c r="A20" s="17" t="inlineStr">
        <is>
          <t>kolovoz</t>
        </is>
      </c>
      <c r="B20" s="7">
        <f>COUNTIFS(Raspored!$C$5:$C$35,$A20,Raspored!$D$5:$D$35,"x")</f>
        <v/>
      </c>
      <c r="C20" s="7">
        <f>COUNTIFS(Raspored!$C$5:$C$35,$A20,Raspored!$E$5:$E$35,"x")</f>
        <v/>
      </c>
      <c r="D20" s="7">
        <f>COUNTIFS(Raspored!$C$5:$C$35,$A20,Raspored!$F$5:$F$35,"x")</f>
        <v/>
      </c>
      <c r="E20" s="7">
        <f>COUNTIFS(Raspored!$C$5:$C$35,$A20,Raspored!$G$5:$G$35,"x")</f>
        <v/>
      </c>
    </row>
    <row r="21">
      <c r="A21" s="17" t="inlineStr">
        <is>
          <t>rujan</t>
        </is>
      </c>
      <c r="B21" s="7">
        <f>COUNTIFS(Raspored!$C$5:$C$35,$A21,Raspored!$D$5:$D$35,"x")</f>
        <v/>
      </c>
      <c r="C21" s="7">
        <f>COUNTIFS(Raspored!$C$5:$C$35,$A21,Raspored!$E$5:$E$35,"x")</f>
        <v/>
      </c>
      <c r="D21" s="7">
        <f>COUNTIFS(Raspored!$C$5:$C$35,$A21,Raspored!$F$5:$F$35,"x")</f>
        <v/>
      </c>
      <c r="E21" s="7">
        <f>COUNTIFS(Raspored!$C$5:$C$35,$A21,Raspored!$G$5:$G$35,"x")</f>
        <v/>
      </c>
    </row>
    <row r="22">
      <c r="A22" s="17" t="inlineStr">
        <is>
          <t>listopad</t>
        </is>
      </c>
      <c r="B22" s="7">
        <f>COUNTIFS(Raspored!$C$5:$C$35,$A22,Raspored!$D$5:$D$35,"x")</f>
        <v/>
      </c>
      <c r="C22" s="7">
        <f>COUNTIFS(Raspored!$C$5:$C$35,$A22,Raspored!$E$5:$E$35,"x")</f>
        <v/>
      </c>
      <c r="D22" s="7">
        <f>COUNTIFS(Raspored!$C$5:$C$35,$A22,Raspored!$F$5:$F$35,"x")</f>
        <v/>
      </c>
      <c r="E22" s="7">
        <f>COUNTIFS(Raspored!$C$5:$C$35,$A22,Raspored!$G$5:$G$35,"x")</f>
        <v/>
      </c>
    </row>
    <row r="23">
      <c r="A23" s="17" t="inlineStr">
        <is>
          <t>studeni</t>
        </is>
      </c>
      <c r="B23" s="7">
        <f>COUNTIFS(Raspored!$C$5:$C$35,$A23,Raspored!$D$5:$D$35,"x")</f>
        <v/>
      </c>
      <c r="C23" s="7">
        <f>COUNTIFS(Raspored!$C$5:$C$35,$A23,Raspored!$E$5:$E$35,"x")</f>
        <v/>
      </c>
      <c r="D23" s="7">
        <f>COUNTIFS(Raspored!$C$5:$C$35,$A23,Raspored!$F$5:$F$35,"x")</f>
        <v/>
      </c>
      <c r="E23" s="7">
        <f>COUNTIFS(Raspored!$C$5:$C$35,$A23,Raspored!$G$5:$G$35,"x")</f>
        <v/>
      </c>
    </row>
    <row r="24">
      <c r="A24" s="17" t="inlineStr">
        <is>
          <t>prosinac</t>
        </is>
      </c>
      <c r="B24" s="7">
        <f>COUNTIFS(Raspored!$C$5:$C$35,$A24,Raspored!$D$5:$D$35,"x")</f>
        <v/>
      </c>
      <c r="C24" s="7">
        <f>COUNTIFS(Raspored!$C$5:$C$35,$A24,Raspored!$E$5:$E$35,"x")</f>
        <v/>
      </c>
      <c r="D24" s="7">
        <f>COUNTIFS(Raspored!$C$5:$C$35,$A24,Raspored!$F$5:$F$35,"x")</f>
        <v/>
      </c>
      <c r="E24" s="7">
        <f>COUNTIFS(Raspored!$C$5:$C$35,$A24,Raspored!$G$5:$G$35,"x")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otpad prema planu iz 2020. za studeni – travanj: utorak; za svibanj – listopad raspored nije objavljen.</t>
        </is>
      </c>
    </row>
    <row r="30">
      <c r="A30" s="21" t="inlineStr">
        <is>
          <t>• Raspored prema pravilima iz 2020. (plan za studeni 2020. – travanj 2021.); davatelj nije objavio novi raspored – provjerite prije odlaganja.</t>
        </is>
      </c>
    </row>
    <row r="31">
      <c r="A31" s="21" t="inlineStr">
        <is>
          <t>• Miješani otpad upisan je samo za mjesece iz plana (siječanj – travanj i studeni – prosinac); ljetni raspored nije objavljen.</t>
        </is>
      </c>
    </row>
    <row r="32">
      <c r="A32" s="21" t="inlineStr">
        <is>
          <t>• Miješani otpad: u vrijeme blagdana ili neradnih dana odvoz se odgađa za sljedeći radni dan (upisano kao pomaknuto).</t>
        </is>
      </c>
    </row>
    <row r="33">
      <c r="A33" s="21" t="inlineStr">
        <is>
          <t>• Plastika, staklo i papir u vrećicama odlažu se na sabirnim mjestima pored kontejnera, jednom mjesečno u zadnjem tjednu mjeseca; datumi se objavljuju mjesečno – upisani su objavljeni datumi (1., 2., 4. mjesec 2026.).</t>
        </is>
      </c>
    </row>
    <row r="34">
      <c r="A34" s="21" t="inlineStr">
        <is>
          <t>• Glomazni otpad: u svibnju i listopadu (posebna obavijest) i/ili po pozivu.</t>
        </is>
      </c>
    </row>
    <row r="35">
      <c r="A35" s="21" t="inlineStr">
        <is>
          <t>• Obavijesti: https://gradinavis.hr/wp-content/uploads/2026/04/Preuzimanje-reciklabilnog-otpada-travanj.pdf, https://gradinavis.hr/wp-content/uploads/2026/02/Preuzimanje-reciklabilnog-otpada-za-veljacu.pdf, https://gradinavis.hr/wp-content/uploads/2026/01/Preuzimanje-reciklabilnog-otpada-sijecanj-1.pdf.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(Vis)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Staklo (vreća)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5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46105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46112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5" t="n"/>
    </row>
    <row r="26">
      <c r="A26" s="23" t="n">
        <v>46142</v>
      </c>
      <c r="B26" s="24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5" t="inlineStr">
        <is>
          <t>Pomaknuto zbog neradnog dana u tjednu</t>
        </is>
      </c>
    </row>
    <row r="27">
      <c r="A27" s="6" t="n">
        <v>46329</v>
      </c>
      <c r="B27" s="7" t="inlineStr">
        <is>
          <t>utorak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46336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46343</v>
      </c>
      <c r="B29" s="7" t="inlineStr">
        <is>
          <t>utorak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46350</v>
      </c>
      <c r="B30" s="7" t="inlineStr">
        <is>
          <t>utorak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46357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46364</v>
      </c>
      <c r="B32" s="7" t="inlineStr">
        <is>
          <t>utorak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46371</v>
      </c>
      <c r="B33" s="7" t="inlineStr">
        <is>
          <t>utorak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46378</v>
      </c>
      <c r="B34" s="7" t="inlineStr">
        <is>
          <t>utorak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46385</v>
      </c>
      <c r="B35" s="7" t="inlineStr">
        <is>
          <t>utorak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5" t="n"/>
    </row>
  </sheetData>
  <autoFilter ref="A4:H35"/>
  <conditionalFormatting sqref="D5:D35">
    <cfRule type="expression" priority="1" dxfId="0">
      <formula>D5="x"</formula>
    </cfRule>
  </conditionalFormatting>
  <conditionalFormatting sqref="E5:E35">
    <cfRule type="expression" priority="2" dxfId="1">
      <formula>E5="x"</formula>
    </cfRule>
  </conditionalFormatting>
  <conditionalFormatting sqref="F5:F35">
    <cfRule type="expression" priority="3" dxfId="2">
      <formula>F5="x"</formula>
    </cfRule>
  </conditionalFormatting>
  <conditionalFormatting sqref="G5:G35">
    <cfRule type="expression" priority="4" dxfId="3">
      <formula>G5="x"</formula>
    </cfRule>
  </conditionalFormatting>
  <conditionalFormatting sqref="A5:H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46049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46049</v>
      </c>
      <c r="B6" s="17" t="inlineStr">
        <is>
          <t>utorak</t>
        </is>
      </c>
      <c r="C6" s="10" t="inlineStr">
        <is>
          <t>Papir (vreća)</t>
        </is>
      </c>
      <c r="D6" s="17" t="n"/>
    </row>
    <row r="7">
      <c r="A7" s="26" t="n">
        <v>46051</v>
      </c>
      <c r="B7" s="17" t="inlineStr">
        <is>
          <t>četvrtak</t>
        </is>
      </c>
      <c r="C7" s="9" t="inlineStr">
        <is>
          <t>Plastika (vreća)</t>
        </is>
      </c>
      <c r="D7" s="17" t="n"/>
    </row>
    <row r="8">
      <c r="A8" s="26" t="n">
        <v>46052</v>
      </c>
      <c r="B8" s="17" t="inlineStr">
        <is>
          <t>petak</t>
        </is>
      </c>
      <c r="C8" s="11" t="inlineStr">
        <is>
          <t>Staklo (vreća)</t>
        </is>
      </c>
      <c r="D8" s="17" t="n"/>
    </row>
    <row r="9">
      <c r="A9" s="26" t="n">
        <v>46056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46063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46070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46077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46077</v>
      </c>
      <c r="B13" s="17" t="inlineStr">
        <is>
          <t>utorak</t>
        </is>
      </c>
      <c r="C13" s="10" t="inlineStr">
        <is>
          <t>Papir (vreća)</t>
        </is>
      </c>
      <c r="D13" s="17" t="n"/>
    </row>
    <row r="14">
      <c r="A14" s="26" t="n">
        <v>46079</v>
      </c>
      <c r="B14" s="17" t="inlineStr">
        <is>
          <t>četvrtak</t>
        </is>
      </c>
      <c r="C14" s="9" t="inlineStr">
        <is>
          <t>Plastika (vreća)</t>
        </is>
      </c>
      <c r="D14" s="17" t="n"/>
    </row>
    <row r="15">
      <c r="A15" s="26" t="n">
        <v>46080</v>
      </c>
      <c r="B15" s="17" t="inlineStr">
        <is>
          <t>petak</t>
        </is>
      </c>
      <c r="C15" s="11" t="inlineStr">
        <is>
          <t>Staklo (vreća)</t>
        </is>
      </c>
      <c r="D15" s="17" t="n"/>
    </row>
    <row r="16">
      <c r="A16" s="26" t="n">
        <v>46084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46105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46112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46119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46126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46133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46140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46140</v>
      </c>
      <c r="B25" s="17" t="inlineStr">
        <is>
          <t>utorak</t>
        </is>
      </c>
      <c r="C25" s="10" t="inlineStr">
        <is>
          <t>Papir (vreća)</t>
        </is>
      </c>
      <c r="D25" s="17" t="n"/>
    </row>
    <row r="26">
      <c r="A26" s="26" t="n">
        <v>46142</v>
      </c>
      <c r="B26" s="17" t="inlineStr">
        <is>
          <t>četvrtak</t>
        </is>
      </c>
      <c r="C26" s="9" t="inlineStr">
        <is>
          <t>Plastika (vreća)</t>
        </is>
      </c>
      <c r="D26" s="17" t="inlineStr">
        <is>
          <t>Pomaknuto zbog neradnog dana u tjednu</t>
        </is>
      </c>
    </row>
    <row r="27">
      <c r="A27" s="26" t="n">
        <v>46142</v>
      </c>
      <c r="B27" s="17" t="inlineStr">
        <is>
          <t>četvrtak</t>
        </is>
      </c>
      <c r="C27" s="11" t="inlineStr">
        <is>
          <t>Staklo (vreća)</t>
        </is>
      </c>
      <c r="D27" s="17" t="inlineStr">
        <is>
          <t>Pomaknuto zbog neradnog dana u tjednu</t>
        </is>
      </c>
    </row>
    <row r="28">
      <c r="A28" s="26" t="n">
        <v>46329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46336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46343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46350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46357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46364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46371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46378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46385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(Vis): ulice i naselja</t>
        </is>
      </c>
    </row>
    <row r="4">
      <c r="A4" s="4" t="inlineStr">
        <is>
          <t>Ulica / naselje</t>
        </is>
      </c>
    </row>
    <row r="5">
      <c r="A5" s="17" t="inlineStr">
        <is>
          <t>Stončica</t>
        </is>
      </c>
    </row>
    <row r="6">
      <c r="A6" s="17" t="inlineStr">
        <is>
          <t>Milna</t>
        </is>
      </c>
    </row>
    <row r="7">
      <c r="A7" s="17" t="inlineStr">
        <is>
          <t>Podstražje</t>
        </is>
      </c>
    </row>
    <row r="8">
      <c r="A8" s="17" t="inlineStr">
        <is>
          <t>Rukavac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
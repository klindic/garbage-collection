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'Raspored'!$A$4:$F$28</definedName>
    <definedName name="_xlnm._FilterDatabase" localSheetId="2" hidden="1">'Po vrsti'!$A$1:$D$25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0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FFE600"/>
      </patternFill>
    </fill>
    <fill>
      <patternFill patternType="solid">
        <fgColor rgb="003B6EF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6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3" fillId="4" borderId="1" pivotButton="0" quotePrefix="0" xfId="0"/>
    <xf numFmtId="0" fontId="7" fillId="0" borderId="0" pivotButton="0" quotePrefix="0" xfId="0"/>
    <xf numFmtId="0" fontId="4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6" fillId="0" borderId="1" pivotButton="0" quotePrefix="0" xfId="0"/>
    <xf numFmtId="0" fontId="6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9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5" fillId="0" borderId="1" pivotButton="0" quotePrefix="0" xfId="0"/>
  </cellXfs>
  <cellStyles count="1">
    <cellStyle name="Normal" xfId="0" builtinId="0" hidden="0"/>
  </cellStyles>
  <dxfs count="3"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16,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Plastična i metalna ambalaža (žuta kanta)</t>
        </is>
      </c>
      <c r="B6" s="6">
        <f>IFERROR(1/(1/_xlfn.MINIFS(Raspored!$A$5:$A$28,Raspored!$D$5:$D$28,"x",Raspored!$A$5:$A$28,"&gt;="&amp;$B$3)),"nema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COUNTIF(Raspored!$D$5:$D$28,"x")</f>
        <v/>
      </c>
    </row>
    <row r="7">
      <c r="A7" s="9" t="inlineStr">
        <is>
          <t>Papir i karton (plava kanta)</t>
        </is>
      </c>
      <c r="B7" s="6">
        <f>IFERROR(1/(1/_xlfn.MINIFS(Raspored!$A$5:$A$28,Raspored!$E$5:$E$28,"x",Raspored!$A$5:$A$28,"&gt;="&amp;$B$3)),"nema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COUNTIF(Raspored!$E$5:$E$28,"x")</f>
        <v/>
      </c>
    </row>
    <row r="9">
      <c r="A9" s="10" t="inlineStr">
        <is>
          <t>Broj odvoza po mjesecu</t>
        </is>
      </c>
    </row>
    <row r="10" ht="30" customHeight="1">
      <c r="A10" s="4" t="inlineStr">
        <is>
          <t>Mjesec</t>
        </is>
      </c>
      <c r="B10" s="11" t="inlineStr">
        <is>
          <t>Plastična i metalna ambalaža (žuta kanta)</t>
        </is>
      </c>
      <c r="C10" s="12" t="inlineStr">
        <is>
          <t>Papir i karton (plava kanta)</t>
        </is>
      </c>
    </row>
    <row r="11">
      <c r="A11" s="13" t="inlineStr">
        <is>
          <t>siječanj</t>
        </is>
      </c>
      <c r="B11" s="7">
        <f>COUNTIFS(Raspored!$C$5:$C$28,$A11,Raspored!$D$5:$D$28,"x")</f>
        <v/>
      </c>
      <c r="C11" s="7">
        <f>COUNTIFS(Raspored!$C$5:$C$28,$A11,Raspored!$E$5:$E$28,"x")</f>
        <v/>
      </c>
    </row>
    <row r="12">
      <c r="A12" s="13" t="inlineStr">
        <is>
          <t>veljača</t>
        </is>
      </c>
      <c r="B12" s="7">
        <f>COUNTIFS(Raspored!$C$5:$C$28,$A12,Raspored!$D$5:$D$28,"x")</f>
        <v/>
      </c>
      <c r="C12" s="7">
        <f>COUNTIFS(Raspored!$C$5:$C$28,$A12,Raspored!$E$5:$E$28,"x")</f>
        <v/>
      </c>
    </row>
    <row r="13">
      <c r="A13" s="13" t="inlineStr">
        <is>
          <t>ožujak</t>
        </is>
      </c>
      <c r="B13" s="7">
        <f>COUNTIFS(Raspored!$C$5:$C$28,$A13,Raspored!$D$5:$D$28,"x")</f>
        <v/>
      </c>
      <c r="C13" s="7">
        <f>COUNTIFS(Raspored!$C$5:$C$28,$A13,Raspored!$E$5:$E$28,"x")</f>
        <v/>
      </c>
    </row>
    <row r="14">
      <c r="A14" s="13" t="inlineStr">
        <is>
          <t>travanj</t>
        </is>
      </c>
      <c r="B14" s="7">
        <f>COUNTIFS(Raspored!$C$5:$C$28,$A14,Raspored!$D$5:$D$28,"x")</f>
        <v/>
      </c>
      <c r="C14" s="7">
        <f>COUNTIFS(Raspored!$C$5:$C$28,$A14,Raspored!$E$5:$E$28,"x")</f>
        <v/>
      </c>
    </row>
    <row r="15">
      <c r="A15" s="13" t="inlineStr">
        <is>
          <t>svibanj</t>
        </is>
      </c>
      <c r="B15" s="7">
        <f>COUNTIFS(Raspored!$C$5:$C$28,$A15,Raspored!$D$5:$D$28,"x")</f>
        <v/>
      </c>
      <c r="C15" s="7">
        <f>COUNTIFS(Raspored!$C$5:$C$28,$A15,Raspored!$E$5:$E$28,"x")</f>
        <v/>
      </c>
    </row>
    <row r="16">
      <c r="A16" s="13" t="inlineStr">
        <is>
          <t>lipanj</t>
        </is>
      </c>
      <c r="B16" s="7">
        <f>COUNTIFS(Raspored!$C$5:$C$28,$A16,Raspored!$D$5:$D$28,"x")</f>
        <v/>
      </c>
      <c r="C16" s="7">
        <f>COUNTIFS(Raspored!$C$5:$C$28,$A16,Raspored!$E$5:$E$28,"x")</f>
        <v/>
      </c>
    </row>
    <row r="17">
      <c r="A17" s="13" t="inlineStr">
        <is>
          <t>srpanj</t>
        </is>
      </c>
      <c r="B17" s="7">
        <f>COUNTIFS(Raspored!$C$5:$C$28,$A17,Raspored!$D$5:$D$28,"x")</f>
        <v/>
      </c>
      <c r="C17" s="7">
        <f>COUNTIFS(Raspored!$C$5:$C$28,$A17,Raspored!$E$5:$E$28,"x")</f>
        <v/>
      </c>
    </row>
    <row r="18">
      <c r="A18" s="13" t="inlineStr">
        <is>
          <t>kolovoz</t>
        </is>
      </c>
      <c r="B18" s="7">
        <f>COUNTIFS(Raspored!$C$5:$C$28,$A18,Raspored!$D$5:$D$28,"x")</f>
        <v/>
      </c>
      <c r="C18" s="7">
        <f>COUNTIFS(Raspored!$C$5:$C$28,$A18,Raspored!$E$5:$E$28,"x")</f>
        <v/>
      </c>
    </row>
    <row r="19">
      <c r="A19" s="13" t="inlineStr">
        <is>
          <t>rujan</t>
        </is>
      </c>
      <c r="B19" s="7">
        <f>COUNTIFS(Raspored!$C$5:$C$28,$A19,Raspored!$D$5:$D$28,"x")</f>
        <v/>
      </c>
      <c r="C19" s="7">
        <f>COUNTIFS(Raspored!$C$5:$C$28,$A19,Raspored!$E$5:$E$28,"x")</f>
        <v/>
      </c>
    </row>
    <row r="20">
      <c r="A20" s="13" t="inlineStr">
        <is>
          <t>listopad</t>
        </is>
      </c>
      <c r="B20" s="7">
        <f>COUNTIFS(Raspored!$C$5:$C$28,$A20,Raspored!$D$5:$D$28,"x")</f>
        <v/>
      </c>
      <c r="C20" s="7">
        <f>COUNTIFS(Raspored!$C$5:$C$28,$A20,Raspored!$E$5:$E$28,"x")</f>
        <v/>
      </c>
    </row>
    <row r="21">
      <c r="A21" s="13" t="inlineStr">
        <is>
          <t>studeni</t>
        </is>
      </c>
      <c r="B21" s="7">
        <f>COUNTIFS(Raspored!$C$5:$C$28,$A21,Raspored!$D$5:$D$28,"x")</f>
        <v/>
      </c>
      <c r="C21" s="7">
        <f>COUNTIFS(Raspored!$C$5:$C$28,$A21,Raspored!$E$5:$E$28,"x")</f>
        <v/>
      </c>
    </row>
    <row r="22">
      <c r="A22" s="13" t="inlineStr">
        <is>
          <t>prosinac</t>
        </is>
      </c>
      <c r="B22" s="7">
        <f>COUNTIFS(Raspored!$C$5:$C$28,$A22,Raspored!$D$5:$D$28,"x")</f>
        <v/>
      </c>
      <c r="C22" s="7">
        <f>COUNTIFS(Raspored!$C$5:$C$28,$A22,Raspored!$E$5:$E$28,"x")</f>
        <v/>
      </c>
    </row>
    <row r="23">
      <c r="A23" s="14" t="inlineStr">
        <is>
          <t>Ukupno</t>
        </is>
      </c>
      <c r="B23" s="15">
        <f>SUM(B11:B22)</f>
        <v/>
      </c>
      <c r="C23" s="15">
        <f>SUM(C11:C22)</f>
        <v/>
      </c>
    </row>
    <row r="25">
      <c r="A25" s="16" t="inlineStr">
        <is>
          <t>Napomene:</t>
        </is>
      </c>
    </row>
    <row r="26">
      <c r="A26" s="17" t="inlineStr">
        <is>
          <t>• Samo papir i plastika (mjesni odbor). Miješani otpad: zona ulice prema danu u tjednu. U siječnju se reciklabilni otpad skupljao u dosad preuzetim vrećama.</t>
        </is>
      </c>
    </row>
    <row r="27">
      <c r="A27" s="17" t="inlineStr">
        <is>
          <t>• Miješani komunalni otpad u gradu odvozi se jednom tjedno prema danu u tjednu za ulicu (Prilog 1), a papir i plastika jednom mjesečno po mjesnim odborima (Prilog 3). Popis ulica po mjesnim odborima nije objavljen, pa su to odvojene zone: zona ulice (miješani otpad) i zona mjesnog odbora (papir i plastika).</t>
        </is>
      </c>
    </row>
    <row r="28">
      <c r="A28" s="17" t="inlineStr">
        <is>
          <t>• Raspored ne navodi pomake zbog blagdana: tjedni datumi miješanog otpada izračunati su prema danu u tjednu i prikazani bez pomaka. Za odvoz na blagdan provjerite kod davatelja (047 522 215, kućni broj 3).</t>
        </is>
      </c>
    </row>
    <row r="29">
      <c r="A29" s="17" t="inlineStr">
        <is>
          <t>• Spremnike za papir i plastiku iznijeti na javnu površinu na dan odvoza najkasnije do 7:00 sati.</t>
        </is>
      </c>
    </row>
    <row r="30">
      <c r="A30" s="17" t="inlineStr">
        <is>
          <t>• Reciklažno dvorište: Dražice 33, Ogulin (pon, uto, čet, pet 8-15, sri 11-18, sub 8-13). Mobilno reciklažno dvorište prema Prilogu 4.</t>
        </is>
      </c>
    </row>
    <row r="31">
      <c r="A31" s="17" t="inlineStr">
        <is>
          <t>• Glomazni otpad: na zahtjev kod davatelja usluge.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3" customWidth="1" min="5" max="5"/>
    <col width="44" customWidth="1" min="6" max="6"/>
  </cols>
  <sheetData>
    <row r="1">
      <c r="A1" s="1" t="inlineStr">
        <is>
          <t>Raspored odvoza otpada 2026., Zona 16 (Ogulin)</t>
        </is>
      </c>
    </row>
    <row r="2">
      <c r="A2" s="18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1" t="inlineStr">
        <is>
          <t>Plastična i metalna ambalaža (žuta kanta)</t>
        </is>
      </c>
      <c r="E4" s="12" t="inlineStr">
        <is>
          <t>Papir i karton (plava kanta)</t>
        </is>
      </c>
      <c r="F4" s="4" t="inlineStr">
        <is>
          <t>Napomena</t>
        </is>
      </c>
    </row>
    <row r="5">
      <c r="A5" s="6" t="n">
        <v>46042</v>
      </c>
      <c r="B5" s="7" t="inlineStr">
        <is>
          <t>utorak</t>
        </is>
      </c>
      <c r="C5" s="7" t="inlineStr">
        <is>
          <t>siječanj</t>
        </is>
      </c>
      <c r="D5" s="7" t="n"/>
      <c r="E5" s="7" t="inlineStr">
        <is>
          <t>x</t>
        </is>
      </c>
      <c r="F5" s="19" t="n"/>
    </row>
    <row r="6">
      <c r="A6" s="6" t="n">
        <v>46044</v>
      </c>
      <c r="B6" s="7" t="inlineStr">
        <is>
          <t>četvrtak</t>
        </is>
      </c>
      <c r="C6" s="7" t="inlineStr">
        <is>
          <t>siječanj</t>
        </is>
      </c>
      <c r="D6" s="7" t="inlineStr">
        <is>
          <t>x</t>
        </is>
      </c>
      <c r="E6" s="7" t="n"/>
      <c r="F6" s="19" t="n"/>
    </row>
    <row r="7">
      <c r="A7" s="6" t="n">
        <v>46070</v>
      </c>
      <c r="B7" s="7" t="inlineStr">
        <is>
          <t>utorak</t>
        </is>
      </c>
      <c r="C7" s="7" t="inlineStr">
        <is>
          <t>veljača</t>
        </is>
      </c>
      <c r="D7" s="7" t="n"/>
      <c r="E7" s="7" t="inlineStr">
        <is>
          <t>x</t>
        </is>
      </c>
      <c r="F7" s="19" t="n"/>
    </row>
    <row r="8">
      <c r="A8" s="6" t="n">
        <v>46072</v>
      </c>
      <c r="B8" s="7" t="inlineStr">
        <is>
          <t>četvrtak</t>
        </is>
      </c>
      <c r="C8" s="7" t="inlineStr">
        <is>
          <t>veljača</t>
        </is>
      </c>
      <c r="D8" s="7" t="inlineStr">
        <is>
          <t>x</t>
        </is>
      </c>
      <c r="E8" s="7" t="n"/>
      <c r="F8" s="19" t="n"/>
    </row>
    <row r="9">
      <c r="A9" s="6" t="n">
        <v>46100</v>
      </c>
      <c r="B9" s="7" t="inlineStr">
        <is>
          <t>četvrtak</t>
        </is>
      </c>
      <c r="C9" s="7" t="inlineStr">
        <is>
          <t>ožujak</t>
        </is>
      </c>
      <c r="D9" s="7" t="n"/>
      <c r="E9" s="7" t="inlineStr">
        <is>
          <t>x</t>
        </is>
      </c>
      <c r="F9" s="19" t="n"/>
    </row>
    <row r="10">
      <c r="A10" s="6" t="n">
        <v>46105</v>
      </c>
      <c r="B10" s="7" t="inlineStr">
        <is>
          <t>utorak</t>
        </is>
      </c>
      <c r="C10" s="7" t="inlineStr">
        <is>
          <t>ožujak</t>
        </is>
      </c>
      <c r="D10" s="7" t="inlineStr">
        <is>
          <t>x</t>
        </is>
      </c>
      <c r="E10" s="7" t="n"/>
      <c r="F10" s="19" t="n"/>
    </row>
    <row r="11">
      <c r="A11" s="6" t="n">
        <v>46132</v>
      </c>
      <c r="B11" s="7" t="inlineStr">
        <is>
          <t>ponedjeljak</t>
        </is>
      </c>
      <c r="C11" s="7" t="inlineStr">
        <is>
          <t>travanj</t>
        </is>
      </c>
      <c r="D11" s="7" t="n"/>
      <c r="E11" s="7" t="inlineStr">
        <is>
          <t>x</t>
        </is>
      </c>
      <c r="F11" s="19" t="n"/>
    </row>
    <row r="12">
      <c r="A12" s="6" t="n">
        <v>46134</v>
      </c>
      <c r="B12" s="7" t="inlineStr">
        <is>
          <t>srijeda</t>
        </is>
      </c>
      <c r="C12" s="7" t="inlineStr">
        <is>
          <t>travanj</t>
        </is>
      </c>
      <c r="D12" s="7" t="inlineStr">
        <is>
          <t>x</t>
        </is>
      </c>
      <c r="E12" s="7" t="n"/>
      <c r="F12" s="19" t="n"/>
    </row>
    <row r="13">
      <c r="A13" s="6" t="n">
        <v>46160</v>
      </c>
      <c r="B13" s="7" t="inlineStr">
        <is>
          <t>ponedjeljak</t>
        </is>
      </c>
      <c r="C13" s="7" t="inlineStr">
        <is>
          <t>svibanj</t>
        </is>
      </c>
      <c r="D13" s="7" t="n"/>
      <c r="E13" s="7" t="inlineStr">
        <is>
          <t>x</t>
        </is>
      </c>
      <c r="F13" s="19" t="n"/>
    </row>
    <row r="14">
      <c r="A14" s="6" t="n">
        <v>46162</v>
      </c>
      <c r="B14" s="7" t="inlineStr">
        <is>
          <t>srijeda</t>
        </is>
      </c>
      <c r="C14" s="7" t="inlineStr">
        <is>
          <t>svibanj</t>
        </is>
      </c>
      <c r="D14" s="7" t="inlineStr">
        <is>
          <t>x</t>
        </is>
      </c>
      <c r="E14" s="7" t="n"/>
      <c r="F14" s="19" t="n"/>
    </row>
    <row r="15">
      <c r="A15" s="6" t="n">
        <v>46190</v>
      </c>
      <c r="B15" s="7" t="inlineStr">
        <is>
          <t>srijeda</t>
        </is>
      </c>
      <c r="C15" s="7" t="inlineStr">
        <is>
          <t>lipanj</t>
        </is>
      </c>
      <c r="D15" s="7" t="n"/>
      <c r="E15" s="7" t="inlineStr">
        <is>
          <t>x</t>
        </is>
      </c>
      <c r="F15" s="19" t="n"/>
    </row>
    <row r="16">
      <c r="A16" s="6" t="n">
        <v>46196</v>
      </c>
      <c r="B16" s="7" t="inlineStr">
        <is>
          <t>utorak</t>
        </is>
      </c>
      <c r="C16" s="7" t="inlineStr">
        <is>
          <t>lipanj</t>
        </is>
      </c>
      <c r="D16" s="7" t="inlineStr">
        <is>
          <t>x</t>
        </is>
      </c>
      <c r="E16" s="7" t="n"/>
      <c r="F16" s="19" t="n"/>
    </row>
    <row r="17">
      <c r="A17" s="6" t="n">
        <v>46224</v>
      </c>
      <c r="B17" s="7" t="inlineStr">
        <is>
          <t>utorak</t>
        </is>
      </c>
      <c r="C17" s="7" t="inlineStr">
        <is>
          <t>srpanj</t>
        </is>
      </c>
      <c r="D17" s="7" t="n"/>
      <c r="E17" s="7" t="inlineStr">
        <is>
          <t>x</t>
        </is>
      </c>
      <c r="F17" s="19" t="n"/>
    </row>
    <row r="18">
      <c r="A18" s="6" t="n">
        <v>46226</v>
      </c>
      <c r="B18" s="7" t="inlineStr">
        <is>
          <t>četvrtak</t>
        </is>
      </c>
      <c r="C18" s="7" t="inlineStr">
        <is>
          <t>srpanj</t>
        </is>
      </c>
      <c r="D18" s="7" t="inlineStr">
        <is>
          <t>x</t>
        </is>
      </c>
      <c r="E18" s="7" t="n"/>
      <c r="F18" s="19" t="n"/>
    </row>
    <row r="19">
      <c r="A19" s="6" t="n">
        <v>46253</v>
      </c>
      <c r="B19" s="7" t="inlineStr">
        <is>
          <t>srijeda</t>
        </is>
      </c>
      <c r="C19" s="7" t="inlineStr">
        <is>
          <t>kolovoz</t>
        </is>
      </c>
      <c r="D19" s="7" t="n"/>
      <c r="E19" s="7" t="inlineStr">
        <is>
          <t>x</t>
        </is>
      </c>
      <c r="F19" s="19" t="n"/>
    </row>
    <row r="20">
      <c r="A20" s="6" t="n">
        <v>46258</v>
      </c>
      <c r="B20" s="7" t="inlineStr">
        <is>
          <t>ponedjeljak</t>
        </is>
      </c>
      <c r="C20" s="7" t="inlineStr">
        <is>
          <t>kolovoz</t>
        </is>
      </c>
      <c r="D20" s="7" t="inlineStr">
        <is>
          <t>x</t>
        </is>
      </c>
      <c r="E20" s="7" t="n"/>
      <c r="F20" s="19" t="n"/>
    </row>
    <row r="21">
      <c r="A21" s="6" t="n">
        <v>46282</v>
      </c>
      <c r="B21" s="7" t="inlineStr">
        <is>
          <t>četvrtak</t>
        </is>
      </c>
      <c r="C21" s="7" t="inlineStr">
        <is>
          <t>rujan</t>
        </is>
      </c>
      <c r="D21" s="7" t="n"/>
      <c r="E21" s="7" t="inlineStr">
        <is>
          <t>x</t>
        </is>
      </c>
      <c r="F21" s="19" t="n"/>
    </row>
    <row r="22">
      <c r="A22" s="6" t="n">
        <v>46287</v>
      </c>
      <c r="B22" s="7" t="inlineStr">
        <is>
          <t>utorak</t>
        </is>
      </c>
      <c r="C22" s="7" t="inlineStr">
        <is>
          <t>rujan</t>
        </is>
      </c>
      <c r="D22" s="7" t="inlineStr">
        <is>
          <t>x</t>
        </is>
      </c>
      <c r="E22" s="7" t="n"/>
      <c r="F22" s="19" t="n"/>
    </row>
    <row r="23">
      <c r="A23" s="6" t="n">
        <v>46315</v>
      </c>
      <c r="B23" s="7" t="inlineStr">
        <is>
          <t>utorak</t>
        </is>
      </c>
      <c r="C23" s="7" t="inlineStr">
        <is>
          <t>listopad</t>
        </is>
      </c>
      <c r="D23" s="7" t="n"/>
      <c r="E23" s="7" t="inlineStr">
        <is>
          <t>x</t>
        </is>
      </c>
      <c r="F23" s="19" t="n"/>
    </row>
    <row r="24">
      <c r="A24" s="6" t="n">
        <v>46317</v>
      </c>
      <c r="B24" s="7" t="inlineStr">
        <is>
          <t>četvrtak</t>
        </is>
      </c>
      <c r="C24" s="7" t="inlineStr">
        <is>
          <t>listopad</t>
        </is>
      </c>
      <c r="D24" s="7" t="inlineStr">
        <is>
          <t>x</t>
        </is>
      </c>
      <c r="E24" s="7" t="n"/>
      <c r="F24" s="19" t="n"/>
    </row>
    <row r="25">
      <c r="A25" s="6" t="n">
        <v>46342</v>
      </c>
      <c r="B25" s="7" t="inlineStr">
        <is>
          <t>ponedjeljak</t>
        </is>
      </c>
      <c r="C25" s="7" t="inlineStr">
        <is>
          <t>studeni</t>
        </is>
      </c>
      <c r="D25" s="7" t="n"/>
      <c r="E25" s="7" t="inlineStr">
        <is>
          <t>x</t>
        </is>
      </c>
      <c r="F25" s="19" t="n"/>
    </row>
    <row r="26">
      <c r="A26" s="6" t="n">
        <v>46349</v>
      </c>
      <c r="B26" s="7" t="inlineStr">
        <is>
          <t>ponedjeljak</t>
        </is>
      </c>
      <c r="C26" s="7" t="inlineStr">
        <is>
          <t>studeni</t>
        </is>
      </c>
      <c r="D26" s="7" t="inlineStr">
        <is>
          <t>x</t>
        </is>
      </c>
      <c r="E26" s="7" t="n"/>
      <c r="F26" s="19" t="n"/>
    </row>
    <row r="27">
      <c r="A27" s="6" t="n">
        <v>46372</v>
      </c>
      <c r="B27" s="7" t="inlineStr">
        <is>
          <t>srijeda</t>
        </is>
      </c>
      <c r="C27" s="7" t="inlineStr">
        <is>
          <t>prosinac</t>
        </is>
      </c>
      <c r="D27" s="7" t="n"/>
      <c r="E27" s="7" t="inlineStr">
        <is>
          <t>x</t>
        </is>
      </c>
      <c r="F27" s="19" t="n"/>
    </row>
    <row r="28">
      <c r="A28" s="6" t="n">
        <v>46377</v>
      </c>
      <c r="B28" s="7" t="inlineStr">
        <is>
          <t>ponedjeljak</t>
        </is>
      </c>
      <c r="C28" s="7" t="inlineStr">
        <is>
          <t>prosinac</t>
        </is>
      </c>
      <c r="D28" s="7" t="inlineStr">
        <is>
          <t>x</t>
        </is>
      </c>
      <c r="E28" s="7" t="n"/>
      <c r="F28" s="19" t="n"/>
    </row>
  </sheetData>
  <autoFilter ref="A4:F28"/>
  <conditionalFormatting sqref="D5:D28">
    <cfRule type="expression" priority="1" dxfId="0">
      <formula>D5="x"</formula>
    </cfRule>
  </conditionalFormatting>
  <conditionalFormatting sqref="E5:E28">
    <cfRule type="expression" priority="2" dxfId="1">
      <formula>E5="x"</formula>
    </cfRule>
  </conditionalFormatting>
  <conditionalFormatting sqref="A5:F28">
    <cfRule type="expression" priority="3" dxfId="2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0" t="n">
        <v>46042</v>
      </c>
      <c r="B2" s="13" t="inlineStr">
        <is>
          <t>utorak</t>
        </is>
      </c>
      <c r="C2" s="9" t="inlineStr">
        <is>
          <t>Papir i karton (plava kanta)</t>
        </is>
      </c>
      <c r="D2" s="13" t="n"/>
    </row>
    <row r="3">
      <c r="A3" s="20" t="n">
        <v>46044</v>
      </c>
      <c r="B3" s="13" t="inlineStr">
        <is>
          <t>četvrtak</t>
        </is>
      </c>
      <c r="C3" s="5" t="inlineStr">
        <is>
          <t>Plastična i metalna ambalaža (žuta kanta)</t>
        </is>
      </c>
      <c r="D3" s="13" t="n"/>
    </row>
    <row r="4">
      <c r="A4" s="20" t="n">
        <v>46070</v>
      </c>
      <c r="B4" s="13" t="inlineStr">
        <is>
          <t>utorak</t>
        </is>
      </c>
      <c r="C4" s="9" t="inlineStr">
        <is>
          <t>Papir i karton (plava kanta)</t>
        </is>
      </c>
      <c r="D4" s="13" t="n"/>
    </row>
    <row r="5">
      <c r="A5" s="20" t="n">
        <v>46072</v>
      </c>
      <c r="B5" s="13" t="inlineStr">
        <is>
          <t>četvrtak</t>
        </is>
      </c>
      <c r="C5" s="5" t="inlineStr">
        <is>
          <t>Plastična i metalna ambalaža (žuta kanta)</t>
        </is>
      </c>
      <c r="D5" s="13" t="n"/>
    </row>
    <row r="6">
      <c r="A6" s="20" t="n">
        <v>46100</v>
      </c>
      <c r="B6" s="13" t="inlineStr">
        <is>
          <t>četvrtak</t>
        </is>
      </c>
      <c r="C6" s="9" t="inlineStr">
        <is>
          <t>Papir i karton (plava kanta)</t>
        </is>
      </c>
      <c r="D6" s="13" t="n"/>
    </row>
    <row r="7">
      <c r="A7" s="20" t="n">
        <v>46105</v>
      </c>
      <c r="B7" s="13" t="inlineStr">
        <is>
          <t>utorak</t>
        </is>
      </c>
      <c r="C7" s="5" t="inlineStr">
        <is>
          <t>Plastična i metalna ambalaža (žuta kanta)</t>
        </is>
      </c>
      <c r="D7" s="13" t="n"/>
    </row>
    <row r="8">
      <c r="A8" s="20" t="n">
        <v>46132</v>
      </c>
      <c r="B8" s="13" t="inlineStr">
        <is>
          <t>ponedjeljak</t>
        </is>
      </c>
      <c r="C8" s="9" t="inlineStr">
        <is>
          <t>Papir i karton (plava kanta)</t>
        </is>
      </c>
      <c r="D8" s="13" t="n"/>
    </row>
    <row r="9">
      <c r="A9" s="20" t="n">
        <v>46134</v>
      </c>
      <c r="B9" s="13" t="inlineStr">
        <is>
          <t>srijeda</t>
        </is>
      </c>
      <c r="C9" s="5" t="inlineStr">
        <is>
          <t>Plastična i metalna ambalaža (žuta kanta)</t>
        </is>
      </c>
      <c r="D9" s="13" t="n"/>
    </row>
    <row r="10">
      <c r="A10" s="20" t="n">
        <v>46160</v>
      </c>
      <c r="B10" s="13" t="inlineStr">
        <is>
          <t>ponedjeljak</t>
        </is>
      </c>
      <c r="C10" s="9" t="inlineStr">
        <is>
          <t>Papir i karton (plava kanta)</t>
        </is>
      </c>
      <c r="D10" s="13" t="n"/>
    </row>
    <row r="11">
      <c r="A11" s="20" t="n">
        <v>46162</v>
      </c>
      <c r="B11" s="13" t="inlineStr">
        <is>
          <t>srijeda</t>
        </is>
      </c>
      <c r="C11" s="5" t="inlineStr">
        <is>
          <t>Plastična i metalna ambalaža (žuta kanta)</t>
        </is>
      </c>
      <c r="D11" s="13" t="n"/>
    </row>
    <row r="12">
      <c r="A12" s="20" t="n">
        <v>46190</v>
      </c>
      <c r="B12" s="13" t="inlineStr">
        <is>
          <t>srijeda</t>
        </is>
      </c>
      <c r="C12" s="9" t="inlineStr">
        <is>
          <t>Papir i karton (plava kanta)</t>
        </is>
      </c>
      <c r="D12" s="13" t="n"/>
    </row>
    <row r="13">
      <c r="A13" s="20" t="n">
        <v>46196</v>
      </c>
      <c r="B13" s="13" t="inlineStr">
        <is>
          <t>utorak</t>
        </is>
      </c>
      <c r="C13" s="5" t="inlineStr">
        <is>
          <t>Plastična i metalna ambalaža (žuta kanta)</t>
        </is>
      </c>
      <c r="D13" s="13" t="n"/>
    </row>
    <row r="14">
      <c r="A14" s="20" t="n">
        <v>46224</v>
      </c>
      <c r="B14" s="13" t="inlineStr">
        <is>
          <t>utorak</t>
        </is>
      </c>
      <c r="C14" s="9" t="inlineStr">
        <is>
          <t>Papir i karton (plava kanta)</t>
        </is>
      </c>
      <c r="D14" s="13" t="n"/>
    </row>
    <row r="15">
      <c r="A15" s="20" t="n">
        <v>46226</v>
      </c>
      <c r="B15" s="13" t="inlineStr">
        <is>
          <t>četvrtak</t>
        </is>
      </c>
      <c r="C15" s="5" t="inlineStr">
        <is>
          <t>Plastična i metalna ambalaža (žuta kanta)</t>
        </is>
      </c>
      <c r="D15" s="13" t="n"/>
    </row>
    <row r="16">
      <c r="A16" s="20" t="n">
        <v>46253</v>
      </c>
      <c r="B16" s="13" t="inlineStr">
        <is>
          <t>srijeda</t>
        </is>
      </c>
      <c r="C16" s="9" t="inlineStr">
        <is>
          <t>Papir i karton (plava kanta)</t>
        </is>
      </c>
      <c r="D16" s="13" t="n"/>
    </row>
    <row r="17">
      <c r="A17" s="20" t="n">
        <v>46258</v>
      </c>
      <c r="B17" s="13" t="inlineStr">
        <is>
          <t>ponedjeljak</t>
        </is>
      </c>
      <c r="C17" s="5" t="inlineStr">
        <is>
          <t>Plastična i metalna ambalaža (žuta kanta)</t>
        </is>
      </c>
      <c r="D17" s="13" t="n"/>
    </row>
    <row r="18">
      <c r="A18" s="20" t="n">
        <v>46282</v>
      </c>
      <c r="B18" s="13" t="inlineStr">
        <is>
          <t>četvrtak</t>
        </is>
      </c>
      <c r="C18" s="9" t="inlineStr">
        <is>
          <t>Papir i karton (plava kanta)</t>
        </is>
      </c>
      <c r="D18" s="13" t="n"/>
    </row>
    <row r="19">
      <c r="A19" s="20" t="n">
        <v>46287</v>
      </c>
      <c r="B19" s="13" t="inlineStr">
        <is>
          <t>utorak</t>
        </is>
      </c>
      <c r="C19" s="5" t="inlineStr">
        <is>
          <t>Plastična i metalna ambalaža (žuta kanta)</t>
        </is>
      </c>
      <c r="D19" s="13" t="n"/>
    </row>
    <row r="20">
      <c r="A20" s="20" t="n">
        <v>46315</v>
      </c>
      <c r="B20" s="13" t="inlineStr">
        <is>
          <t>utorak</t>
        </is>
      </c>
      <c r="C20" s="9" t="inlineStr">
        <is>
          <t>Papir i karton (plava kanta)</t>
        </is>
      </c>
      <c r="D20" s="13" t="n"/>
    </row>
    <row r="21">
      <c r="A21" s="20" t="n">
        <v>46317</v>
      </c>
      <c r="B21" s="13" t="inlineStr">
        <is>
          <t>četvrtak</t>
        </is>
      </c>
      <c r="C21" s="5" t="inlineStr">
        <is>
          <t>Plastična i metalna ambalaža (žuta kanta)</t>
        </is>
      </c>
      <c r="D21" s="13" t="n"/>
    </row>
    <row r="22">
      <c r="A22" s="20" t="n">
        <v>46342</v>
      </c>
      <c r="B22" s="13" t="inlineStr">
        <is>
          <t>ponedjeljak</t>
        </is>
      </c>
      <c r="C22" s="9" t="inlineStr">
        <is>
          <t>Papir i karton (plava kanta)</t>
        </is>
      </c>
      <c r="D22" s="13" t="n"/>
    </row>
    <row r="23">
      <c r="A23" s="20" t="n">
        <v>46349</v>
      </c>
      <c r="B23" s="13" t="inlineStr">
        <is>
          <t>ponedjeljak</t>
        </is>
      </c>
      <c r="C23" s="5" t="inlineStr">
        <is>
          <t>Plastična i metalna ambalaža (žuta kanta)</t>
        </is>
      </c>
      <c r="D23" s="13" t="n"/>
    </row>
    <row r="24">
      <c r="A24" s="20" t="n">
        <v>46372</v>
      </c>
      <c r="B24" s="13" t="inlineStr">
        <is>
          <t>srijeda</t>
        </is>
      </c>
      <c r="C24" s="9" t="inlineStr">
        <is>
          <t>Papir i karton (plava kanta)</t>
        </is>
      </c>
      <c r="D24" s="13" t="n"/>
    </row>
    <row r="25">
      <c r="A25" s="20" t="n">
        <v>46377</v>
      </c>
      <c r="B25" s="13" t="inlineStr">
        <is>
          <t>ponedjeljak</t>
        </is>
      </c>
      <c r="C25" s="5" t="inlineStr">
        <is>
          <t>Plastična i metalna ambalaža (žuta kanta)</t>
        </is>
      </c>
      <c r="D25" s="13" t="n"/>
    </row>
  </sheetData>
  <autoFilter ref="A1:D2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16 (Ogulin): ulice i naselja</t>
        </is>
      </c>
    </row>
    <row r="2">
      <c r="A2" s="18" t="inlineStr">
        <is>
          <t>Mjesni odbor: Ogulin</t>
        </is>
      </c>
    </row>
    <row r="4">
      <c r="A4" s="4" t="inlineStr">
        <is>
          <t>Ulica / naselje</t>
        </is>
      </c>
    </row>
    <row r="5">
      <c r="A5" s="13" t="inlineStr">
        <is>
          <t>Ogulin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2026-10-07T18:09:03Z</dcterms:created>
  <dcterms:modified xmlns:dcterms="http://purl.org/dc/terms/" xmlns:xsi="http://www.w3.org/2001/XMLSchema-instance" xsi:type="dcterms:W3CDTF">2026-10-07T18:09:03Z</dcterms:modified>
</cp:coreProperties>
</file>
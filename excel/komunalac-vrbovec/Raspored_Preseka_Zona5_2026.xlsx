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'Raspored'!$A$4:$G$41</definedName>
    <definedName name="_xlnm._FilterDatabase" localSheetId="2" hidden="1">'Po vrsti'!$A$1:$D$50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IFERROR(1/(1/_xlfn.MINIFS(Raspored!$A$5:$A$41,Raspored!$D$5:$D$41,"x",Raspored!$A$5:$A$41,"&gt;="&amp;$B$3)),"nema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COUNTIF(Raspored!$D$5:$D$41,"x")</f>
        <v/>
      </c>
    </row>
    <row r="7">
      <c r="A7" s="9" t="inlineStr">
        <is>
          <t>Plastika i metal</t>
        </is>
      </c>
      <c r="B7" s="6">
        <f>IFERROR(1/(1/_xlfn.MINIFS(Raspored!$A$5:$A$41,Raspored!$E$5:$E$41,"x",Raspored!$A$5:$A$41,"&gt;="&amp;$B$3)),"nema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COUNTIF(Raspored!$E$5:$E$41,"x")</f>
        <v/>
      </c>
    </row>
    <row r="8">
      <c r="A8" s="10" t="inlineStr">
        <is>
          <t>Papir i karton</t>
        </is>
      </c>
      <c r="B8" s="6">
        <f>IFERROR(1/(1/_xlfn.MINIFS(Raspored!$A$5:$A$41,Raspored!$F$5:$F$41,"x",Raspored!$A$5:$A$41,"&gt;="&amp;$B$3)),"nema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COUNTIFS(Raspored!$C$5:$C$41,$A12,Raspored!$D$5:$D$41,"x")</f>
        <v/>
      </c>
      <c r="C12" s="7">
        <f>COUNTIFS(Raspored!$C$5:$C$41,$A12,Raspored!$E$5:$E$41,"x")</f>
        <v/>
      </c>
      <c r="D12" s="7">
        <f>COUNTIFS(Raspored!$C$5:$C$41,$A12,Raspored!$F$5:$F$41,"x")</f>
        <v/>
      </c>
    </row>
    <row r="13">
      <c r="A13" s="15" t="inlineStr">
        <is>
          <t>veljača</t>
        </is>
      </c>
      <c r="B13" s="7">
        <f>COUNTIFS(Raspored!$C$5:$C$41,$A13,Raspored!$D$5:$D$41,"x")</f>
        <v/>
      </c>
      <c r="C13" s="7">
        <f>COUNTIFS(Raspored!$C$5:$C$41,$A13,Raspored!$E$5:$E$41,"x")</f>
        <v/>
      </c>
      <c r="D13" s="7">
        <f>COUNTIFS(Raspored!$C$5:$C$41,$A13,Raspored!$F$5:$F$41,"x")</f>
        <v/>
      </c>
    </row>
    <row r="14">
      <c r="A14" s="15" t="inlineStr">
        <is>
          <t>ožujak</t>
        </is>
      </c>
      <c r="B14" s="7">
        <f>COUNTIFS(Raspored!$C$5:$C$41,$A14,Raspored!$D$5:$D$41,"x")</f>
        <v/>
      </c>
      <c r="C14" s="7">
        <f>COUNTIFS(Raspored!$C$5:$C$41,$A14,Raspored!$E$5:$E$41,"x")</f>
        <v/>
      </c>
      <c r="D14" s="7">
        <f>COUNTIFS(Raspored!$C$5:$C$41,$A14,Raspored!$F$5:$F$41,"x")</f>
        <v/>
      </c>
    </row>
    <row r="15">
      <c r="A15" s="15" t="inlineStr">
        <is>
          <t>travanj</t>
        </is>
      </c>
      <c r="B15" s="7">
        <f>COUNTIFS(Raspored!$C$5:$C$41,$A15,Raspored!$D$5:$D$41,"x")</f>
        <v/>
      </c>
      <c r="C15" s="7">
        <f>COUNTIFS(Raspored!$C$5:$C$41,$A15,Raspored!$E$5:$E$41,"x")</f>
        <v/>
      </c>
      <c r="D15" s="7">
        <f>COUNTIFS(Raspored!$C$5:$C$41,$A15,Raspored!$F$5:$F$41,"x")</f>
        <v/>
      </c>
    </row>
    <row r="16">
      <c r="A16" s="15" t="inlineStr">
        <is>
          <t>svibanj</t>
        </is>
      </c>
      <c r="B16" s="7">
        <f>COUNTIFS(Raspored!$C$5:$C$41,$A16,Raspored!$D$5:$D$41,"x")</f>
        <v/>
      </c>
      <c r="C16" s="7">
        <f>COUNTIFS(Raspored!$C$5:$C$41,$A16,Raspored!$E$5:$E$41,"x")</f>
        <v/>
      </c>
      <c r="D16" s="7">
        <f>COUNTIFS(Raspored!$C$5:$C$41,$A16,Raspored!$F$5:$F$41,"x")</f>
        <v/>
      </c>
    </row>
    <row r="17">
      <c r="A17" s="15" t="inlineStr">
        <is>
          <t>lipanj</t>
        </is>
      </c>
      <c r="B17" s="7">
        <f>COUNTIFS(Raspored!$C$5:$C$41,$A17,Raspored!$D$5:$D$41,"x")</f>
        <v/>
      </c>
      <c r="C17" s="7">
        <f>COUNTIFS(Raspored!$C$5:$C$41,$A17,Raspored!$E$5:$E$41,"x")</f>
        <v/>
      </c>
      <c r="D17" s="7">
        <f>COUNTIFS(Raspored!$C$5:$C$41,$A17,Raspored!$F$5:$F$41,"x")</f>
        <v/>
      </c>
    </row>
    <row r="18">
      <c r="A18" s="15" t="inlineStr">
        <is>
          <t>srpanj</t>
        </is>
      </c>
      <c r="B18" s="7">
        <f>COUNTIFS(Raspored!$C$5:$C$41,$A18,Raspored!$D$5:$D$41,"x")</f>
        <v/>
      </c>
      <c r="C18" s="7">
        <f>COUNTIFS(Raspored!$C$5:$C$41,$A18,Raspored!$E$5:$E$41,"x")</f>
        <v/>
      </c>
      <c r="D18" s="7">
        <f>COUNTIFS(Raspored!$C$5:$C$41,$A18,Raspored!$F$5:$F$41,"x")</f>
        <v/>
      </c>
    </row>
    <row r="19">
      <c r="A19" s="15" t="inlineStr">
        <is>
          <t>kolovoz</t>
        </is>
      </c>
      <c r="B19" s="7">
        <f>COUNTIFS(Raspored!$C$5:$C$41,$A19,Raspored!$D$5:$D$41,"x")</f>
        <v/>
      </c>
      <c r="C19" s="7">
        <f>COUNTIFS(Raspored!$C$5:$C$41,$A19,Raspored!$E$5:$E$41,"x")</f>
        <v/>
      </c>
      <c r="D19" s="7">
        <f>COUNTIFS(Raspored!$C$5:$C$41,$A19,Raspored!$F$5:$F$41,"x")</f>
        <v/>
      </c>
    </row>
    <row r="20">
      <c r="A20" s="15" t="inlineStr">
        <is>
          <t>rujan</t>
        </is>
      </c>
      <c r="B20" s="7">
        <f>COUNTIFS(Raspored!$C$5:$C$41,$A20,Raspored!$D$5:$D$41,"x")</f>
        <v/>
      </c>
      <c r="C20" s="7">
        <f>COUNTIFS(Raspored!$C$5:$C$41,$A20,Raspored!$E$5:$E$41,"x")</f>
        <v/>
      </c>
      <c r="D20" s="7">
        <f>COUNTIFS(Raspored!$C$5:$C$41,$A20,Raspored!$F$5:$F$41,"x")</f>
        <v/>
      </c>
    </row>
    <row r="21">
      <c r="A21" s="15" t="inlineStr">
        <is>
          <t>listopad</t>
        </is>
      </c>
      <c r="B21" s="7">
        <f>COUNTIFS(Raspored!$C$5:$C$41,$A21,Raspored!$D$5:$D$41,"x")</f>
        <v/>
      </c>
      <c r="C21" s="7">
        <f>COUNTIFS(Raspored!$C$5:$C$41,$A21,Raspored!$E$5:$E$41,"x")</f>
        <v/>
      </c>
      <c r="D21" s="7">
        <f>COUNTIFS(Raspored!$C$5:$C$41,$A21,Raspored!$F$5:$F$41,"x")</f>
        <v/>
      </c>
    </row>
    <row r="22">
      <c r="A22" s="15" t="inlineStr">
        <is>
          <t>studeni</t>
        </is>
      </c>
      <c r="B22" s="7">
        <f>COUNTIFS(Raspored!$C$5:$C$41,$A22,Raspored!$D$5:$D$41,"x")</f>
        <v/>
      </c>
      <c r="C22" s="7">
        <f>COUNTIFS(Raspored!$C$5:$C$41,$A22,Raspored!$E$5:$E$41,"x")</f>
        <v/>
      </c>
      <c r="D22" s="7">
        <f>COUNTIFS(Raspored!$C$5:$C$41,$A22,Raspored!$F$5:$F$41,"x")</f>
        <v/>
      </c>
    </row>
    <row r="23">
      <c r="A23" s="15" t="inlineStr">
        <is>
          <t>prosinac</t>
        </is>
      </c>
      <c r="B23" s="7">
        <f>COUNTIFS(Raspored!$C$5:$C$41,$A23,Raspored!$D$5:$D$41,"x")</f>
        <v/>
      </c>
      <c r="C23" s="7">
        <f>COUNTIFS(Raspored!$C$5:$C$41,$A23,Raspored!$E$5:$E$41,"x")</f>
        <v/>
      </c>
      <c r="D23" s="7">
        <f>COUNTIFS(Raspored!$C$5:$C$41,$A23,Raspored!$F$5:$F$41,"x")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Kante i/ili vreće s logotipom Komunalca Vrbovec iznijeti najkasnije do 7 sati ujutro na dan odvoza.</t>
        </is>
      </c>
    </row>
    <row r="28">
      <c r="A28" s="19" t="inlineStr">
        <is>
          <t>• Papir (plava kanta) i plastika (narančasta kanta) odvoze se zajedno jednom mjesečno; izvan Grada Vrbovca toga dana nema odvoza miješanog otpada.</t>
        </is>
      </c>
    </row>
    <row r="29">
      <c r="A29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0">
      <c r="A30" s="19" t="inlineStr">
        <is>
          <t>• Višak miješanog otpada u zelenim vrećama s logotipom (120 l), Komunalac Vrbovec, Kolodvorska 29.</t>
        </is>
      </c>
    </row>
    <row r="31">
      <c r="A31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(Preseka)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46063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46091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46133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46140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46147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46154</v>
      </c>
      <c r="B19" s="7" t="inlineStr">
        <is>
          <t>utorak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46217</v>
      </c>
      <c r="B25" s="7" t="inlineStr">
        <is>
          <t>utorak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46245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46273</v>
      </c>
      <c r="B31" s="7" t="inlineStr">
        <is>
          <t>utorak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46301</v>
      </c>
      <c r="B33" s="7" t="inlineStr">
        <is>
          <t>utorak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46308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46322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46329</v>
      </c>
      <c r="B36" s="7" t="inlineStr">
        <is>
          <t>utorak</t>
        </is>
      </c>
      <c r="C36" s="7" t="inlineStr">
        <is>
          <t>studeni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46336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46350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46364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46378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</sheetData>
  <autoFilter ref="A4:G41"/>
  <conditionalFormatting sqref="D5:D41">
    <cfRule type="expression" priority="1" dxfId="0">
      <formula>D5="x"</formula>
    </cfRule>
  </conditionalFormatting>
  <conditionalFormatting sqref="E5:E41">
    <cfRule type="expression" priority="2" dxfId="1">
      <formula>E5="x"</formula>
    </cfRule>
  </conditionalFormatting>
  <conditionalFormatting sqref="F5:F41">
    <cfRule type="expression" priority="3" dxfId="2">
      <formula>F5="x"</formula>
    </cfRule>
  </conditionalFormatting>
  <conditionalFormatting sqref="A5:G4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46035</v>
      </c>
      <c r="B2" s="15" t="inlineStr">
        <is>
          <t>utorak</t>
        </is>
      </c>
      <c r="C2" s="9" t="inlineStr">
        <is>
          <t>Plastika i metal</t>
        </is>
      </c>
      <c r="D2" s="15" t="n"/>
    </row>
    <row r="3">
      <c r="A3" s="22" t="n">
        <v>46035</v>
      </c>
      <c r="B3" s="15" t="inlineStr">
        <is>
          <t>utorak</t>
        </is>
      </c>
      <c r="C3" s="10" t="inlineStr">
        <is>
          <t>Papir i karton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46056</v>
      </c>
      <c r="B6" s="15" t="inlineStr">
        <is>
          <t>utorak</t>
        </is>
      </c>
      <c r="C6" s="9" t="inlineStr">
        <is>
          <t>Plastika i metal</t>
        </is>
      </c>
      <c r="D6" s="15" t="n"/>
    </row>
    <row r="7">
      <c r="A7" s="22" t="n">
        <v>46056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46063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46077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46084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2" t="n">
        <v>46084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46091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46105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46126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2" t="n">
        <v>46126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2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46140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46147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2" t="n">
        <v>46147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2" t="n">
        <v>46154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46168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46175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2" t="n">
        <v>46175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2" t="n">
        <v>46182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46210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46210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2" t="n">
        <v>46217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46231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46238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2" t="n">
        <v>46238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2" t="n">
        <v>46245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46259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46266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2" t="n">
        <v>46266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46273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46287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46301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2" t="n">
        <v>46301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46308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46322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46329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2" t="n">
        <v>46329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2" t="n">
        <v>46336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46350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46357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2" t="n">
        <v>46357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46364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46378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</sheetData>
  <autoFilter ref="A1:D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(Preseka): ulice i naselja</t>
        </is>
      </c>
    </row>
    <row r="2">
      <c r="A2" s="20" t="inlineStr">
        <is>
          <t>ŠELOVEC, VINKOVEC, GORNJAKI, PRESEKA, KAMENICA, POGANČEC, SLATINA, KRUŠLJEVAC, LEDINA, K.VRH, ŽABNJAK, STRMEC, G.ŽABNJAK, D.VELIKA, S.VELIKA, G.VELIKA</t>
        </is>
      </c>
    </row>
    <row r="4">
      <c r="A4" s="4" t="inlineStr">
        <is>
          <t>Ulica / naselje</t>
        </is>
      </c>
    </row>
    <row r="5">
      <c r="A5" s="15" t="inlineStr">
        <is>
          <t>Šelovec</t>
        </is>
      </c>
    </row>
    <row r="6">
      <c r="A6" s="15" t="inlineStr">
        <is>
          <t>Vinkovec</t>
        </is>
      </c>
    </row>
    <row r="7">
      <c r="A7" s="15" t="inlineStr">
        <is>
          <t>Gornjaki</t>
        </is>
      </c>
    </row>
    <row r="8">
      <c r="A8" s="15" t="inlineStr">
        <is>
          <t>Preseka</t>
        </is>
      </c>
    </row>
    <row r="9">
      <c r="A9" s="15" t="inlineStr">
        <is>
          <t>Kamenica</t>
        </is>
      </c>
    </row>
    <row r="10">
      <c r="A10" s="15" t="inlineStr">
        <is>
          <t>Pogančec</t>
        </is>
      </c>
    </row>
    <row r="11">
      <c r="A11" s="15" t="inlineStr">
        <is>
          <t>Slatina</t>
        </is>
      </c>
    </row>
    <row r="12">
      <c r="A12" s="15" t="inlineStr">
        <is>
          <t>Krušljevac</t>
        </is>
      </c>
    </row>
    <row r="13">
      <c r="A13" s="15" t="inlineStr">
        <is>
          <t>Ledina</t>
        </is>
      </c>
    </row>
    <row r="14">
      <c r="A14" s="15" t="inlineStr">
        <is>
          <t>K.Vrh</t>
        </is>
      </c>
    </row>
    <row r="15">
      <c r="A15" s="15" t="inlineStr">
        <is>
          <t>Žabnjak</t>
        </is>
      </c>
    </row>
    <row r="16">
      <c r="A16" s="15" t="inlineStr">
        <is>
          <t>Strmec</t>
        </is>
      </c>
    </row>
    <row r="17">
      <c r="A17" s="15" t="inlineStr">
        <is>
          <t>G.Žabnjak</t>
        </is>
      </c>
    </row>
    <row r="18">
      <c r="A18" s="15" t="inlineStr">
        <is>
          <t>D.Velika</t>
        </is>
      </c>
    </row>
    <row r="19">
      <c r="A19" s="15" t="inlineStr">
        <is>
          <t>S.Velika</t>
        </is>
      </c>
    </row>
    <row r="20">
      <c r="A20" s="15" t="inlineStr">
        <is>
          <t>G.Velika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
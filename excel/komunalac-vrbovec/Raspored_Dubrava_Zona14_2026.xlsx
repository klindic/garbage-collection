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'Raspored'!$A$4:$G$53</definedName>
    <definedName name="_xlnm._FilterDatabase" localSheetId="2" hidden="1">'Po vrsti'!$A$1:$D$62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IFERROR(1/(1/_xlfn.MINIFS(Raspored!$A$5:$A$53,Raspored!$D$5:$D$53,"x",Raspored!$A$5:$A$53,"&gt;="&amp;$B$3)),"nema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COUNTIF(Raspored!$D$5:$D$53,"x")</f>
        <v/>
      </c>
    </row>
    <row r="7">
      <c r="A7" s="9" t="inlineStr">
        <is>
          <t>Plastika i metal</t>
        </is>
      </c>
      <c r="B7" s="6">
        <f>IFERROR(1/(1/_xlfn.MINIFS(Raspored!$A$5:$A$53,Raspored!$E$5:$E$53,"x",Raspored!$A$5:$A$53,"&gt;="&amp;$B$3)),"nema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COUNTIF(Raspored!$E$5:$E$53,"x")</f>
        <v/>
      </c>
    </row>
    <row r="8">
      <c r="A8" s="10" t="inlineStr">
        <is>
          <t>Papir i karton</t>
        </is>
      </c>
      <c r="B8" s="6">
        <f>IFERROR(1/(1/_xlfn.MINIFS(Raspored!$A$5:$A$53,Raspored!$F$5:$F$53,"x",Raspored!$A$5:$A$53,"&gt;="&amp;$B$3)),"nema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COUNTIF(Raspored!$F$5:$F$53,"x")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COUNTIFS(Raspored!$C$5:$C$53,$A12,Raspored!$D$5:$D$53,"x")</f>
        <v/>
      </c>
      <c r="C12" s="7">
        <f>COUNTIFS(Raspored!$C$5:$C$53,$A12,Raspored!$E$5:$E$53,"x")</f>
        <v/>
      </c>
      <c r="D12" s="7">
        <f>COUNTIFS(Raspored!$C$5:$C$53,$A12,Raspored!$F$5:$F$53,"x")</f>
        <v/>
      </c>
    </row>
    <row r="13">
      <c r="A13" s="15" t="inlineStr">
        <is>
          <t>veljača</t>
        </is>
      </c>
      <c r="B13" s="7">
        <f>COUNTIFS(Raspored!$C$5:$C$53,$A13,Raspored!$D$5:$D$53,"x")</f>
        <v/>
      </c>
      <c r="C13" s="7">
        <f>COUNTIFS(Raspored!$C$5:$C$53,$A13,Raspored!$E$5:$E$53,"x")</f>
        <v/>
      </c>
      <c r="D13" s="7">
        <f>COUNTIFS(Raspored!$C$5:$C$53,$A13,Raspored!$F$5:$F$53,"x")</f>
        <v/>
      </c>
    </row>
    <row r="14">
      <c r="A14" s="15" t="inlineStr">
        <is>
          <t>ožujak</t>
        </is>
      </c>
      <c r="B14" s="7">
        <f>COUNTIFS(Raspored!$C$5:$C$53,$A14,Raspored!$D$5:$D$53,"x")</f>
        <v/>
      </c>
      <c r="C14" s="7">
        <f>COUNTIFS(Raspored!$C$5:$C$53,$A14,Raspored!$E$5:$E$53,"x")</f>
        <v/>
      </c>
      <c r="D14" s="7">
        <f>COUNTIFS(Raspored!$C$5:$C$53,$A14,Raspored!$F$5:$F$53,"x")</f>
        <v/>
      </c>
    </row>
    <row r="15">
      <c r="A15" s="15" t="inlineStr">
        <is>
          <t>travanj</t>
        </is>
      </c>
      <c r="B15" s="7">
        <f>COUNTIFS(Raspored!$C$5:$C$53,$A15,Raspored!$D$5:$D$53,"x")</f>
        <v/>
      </c>
      <c r="C15" s="7">
        <f>COUNTIFS(Raspored!$C$5:$C$53,$A15,Raspored!$E$5:$E$53,"x")</f>
        <v/>
      </c>
      <c r="D15" s="7">
        <f>COUNTIFS(Raspored!$C$5:$C$53,$A15,Raspored!$F$5:$F$53,"x")</f>
        <v/>
      </c>
    </row>
    <row r="16">
      <c r="A16" s="15" t="inlineStr">
        <is>
          <t>svibanj</t>
        </is>
      </c>
      <c r="B16" s="7">
        <f>COUNTIFS(Raspored!$C$5:$C$53,$A16,Raspored!$D$5:$D$53,"x")</f>
        <v/>
      </c>
      <c r="C16" s="7">
        <f>COUNTIFS(Raspored!$C$5:$C$53,$A16,Raspored!$E$5:$E$53,"x")</f>
        <v/>
      </c>
      <c r="D16" s="7">
        <f>COUNTIFS(Raspored!$C$5:$C$53,$A16,Raspored!$F$5:$F$53,"x")</f>
        <v/>
      </c>
    </row>
    <row r="17">
      <c r="A17" s="15" t="inlineStr">
        <is>
          <t>lipanj</t>
        </is>
      </c>
      <c r="B17" s="7">
        <f>COUNTIFS(Raspored!$C$5:$C$53,$A17,Raspored!$D$5:$D$53,"x")</f>
        <v/>
      </c>
      <c r="C17" s="7">
        <f>COUNTIFS(Raspored!$C$5:$C$53,$A17,Raspored!$E$5:$E$53,"x")</f>
        <v/>
      </c>
      <c r="D17" s="7">
        <f>COUNTIFS(Raspored!$C$5:$C$53,$A17,Raspored!$F$5:$F$53,"x")</f>
        <v/>
      </c>
    </row>
    <row r="18">
      <c r="A18" s="15" t="inlineStr">
        <is>
          <t>srpanj</t>
        </is>
      </c>
      <c r="B18" s="7">
        <f>COUNTIFS(Raspored!$C$5:$C$53,$A18,Raspored!$D$5:$D$53,"x")</f>
        <v/>
      </c>
      <c r="C18" s="7">
        <f>COUNTIFS(Raspored!$C$5:$C$53,$A18,Raspored!$E$5:$E$53,"x")</f>
        <v/>
      </c>
      <c r="D18" s="7">
        <f>COUNTIFS(Raspored!$C$5:$C$53,$A18,Raspored!$F$5:$F$53,"x")</f>
        <v/>
      </c>
    </row>
    <row r="19">
      <c r="A19" s="15" t="inlineStr">
        <is>
          <t>kolovoz</t>
        </is>
      </c>
      <c r="B19" s="7">
        <f>COUNTIFS(Raspored!$C$5:$C$53,$A19,Raspored!$D$5:$D$53,"x")</f>
        <v/>
      </c>
      <c r="C19" s="7">
        <f>COUNTIFS(Raspored!$C$5:$C$53,$A19,Raspored!$E$5:$E$53,"x")</f>
        <v/>
      </c>
      <c r="D19" s="7">
        <f>COUNTIFS(Raspored!$C$5:$C$53,$A19,Raspored!$F$5:$F$53,"x")</f>
        <v/>
      </c>
    </row>
    <row r="20">
      <c r="A20" s="15" t="inlineStr">
        <is>
          <t>rujan</t>
        </is>
      </c>
      <c r="B20" s="7">
        <f>COUNTIFS(Raspored!$C$5:$C$53,$A20,Raspored!$D$5:$D$53,"x")</f>
        <v/>
      </c>
      <c r="C20" s="7">
        <f>COUNTIFS(Raspored!$C$5:$C$53,$A20,Raspored!$E$5:$E$53,"x")</f>
        <v/>
      </c>
      <c r="D20" s="7">
        <f>COUNTIFS(Raspored!$C$5:$C$53,$A20,Raspored!$F$5:$F$53,"x")</f>
        <v/>
      </c>
    </row>
    <row r="21">
      <c r="A21" s="15" t="inlineStr">
        <is>
          <t>listopad</t>
        </is>
      </c>
      <c r="B21" s="7">
        <f>COUNTIFS(Raspored!$C$5:$C$53,$A21,Raspored!$D$5:$D$53,"x")</f>
        <v/>
      </c>
      <c r="C21" s="7">
        <f>COUNTIFS(Raspored!$C$5:$C$53,$A21,Raspored!$E$5:$E$53,"x")</f>
        <v/>
      </c>
      <c r="D21" s="7">
        <f>COUNTIFS(Raspored!$C$5:$C$53,$A21,Raspored!$F$5:$F$53,"x")</f>
        <v/>
      </c>
    </row>
    <row r="22">
      <c r="A22" s="15" t="inlineStr">
        <is>
          <t>studeni</t>
        </is>
      </c>
      <c r="B22" s="7">
        <f>COUNTIFS(Raspored!$C$5:$C$53,$A22,Raspored!$D$5:$D$53,"x")</f>
        <v/>
      </c>
      <c r="C22" s="7">
        <f>COUNTIFS(Raspored!$C$5:$C$53,$A22,Raspored!$E$5:$E$53,"x")</f>
        <v/>
      </c>
      <c r="D22" s="7">
        <f>COUNTIFS(Raspored!$C$5:$C$53,$A22,Raspored!$F$5:$F$53,"x")</f>
        <v/>
      </c>
    </row>
    <row r="23">
      <c r="A23" s="15" t="inlineStr">
        <is>
          <t>prosinac</t>
        </is>
      </c>
      <c r="B23" s="7">
        <f>COUNTIFS(Raspored!$C$5:$C$53,$A23,Raspored!$D$5:$D$53,"x")</f>
        <v/>
      </c>
      <c r="C23" s="7">
        <f>COUNTIFS(Raspored!$C$5:$C$53,$A23,Raspored!$E$5:$E$53,"x")</f>
        <v/>
      </c>
      <c r="D23" s="7">
        <f>COUNTIFS(Raspored!$C$5:$C$53,$A23,Raspored!$F$5:$F$53,"x")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Pomaci zbog blagdana: 25.12. → 28.12. (sljedeći radni dan, obavijest još nije objavljena).</t>
        </is>
      </c>
    </row>
    <row r="29">
      <c r="A29" s="19" t="inlineStr">
        <is>
          <t>• Kante i/ili vreće s logotipom Komunalca Vrbovec iznijeti najkasnije do 7 sati ujutro na dan odvoza.</t>
        </is>
      </c>
    </row>
    <row r="30">
      <c r="A30" s="19" t="inlineStr">
        <is>
          <t>• Papir (plava kanta) i plastika (narančasta kanta) odvoze se zajedno jednom mjesečno; izvan Grada Vrbovca toga dana nema odvoza miješanog otpada.</t>
        </is>
      </c>
    </row>
    <row r="31">
      <c r="A31" s="19" t="inlineStr">
        <is>
          <t>• Blagdani i praznici: odvoz sljedeći radni dan ili prema obavijesti na komunalac-vrbovec.hr i Radiju Vrbovec. Upisani su datumi iz obavijesti, a gdje obavijest još nije objavljena sljedeći radni dan (vidi napomenu zone).</t>
        </is>
      </c>
    </row>
    <row r="32">
      <c r="A32" s="19" t="inlineStr">
        <is>
          <t>• Višak miješanog otpada u zelenim vrećama s logotipom (120 l), Komunalac Vrbovec, Kolodvorska 29.</t>
        </is>
      </c>
    </row>
    <row r="33">
      <c r="A33" s="19" t="inlineStr">
        <is>
          <t>• Reciklažno dvorište na odlagalištu Beljavina (za građane Grada Vrbovca): zimi pon–sub 7–18 h, ljeti pon–pet 7–21 h i sub 8–18 h; nedjeljom i praznikom zatvoreno. Telefon 01 2790 380.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14 (Dubrava)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21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46059</v>
      </c>
      <c r="B9" s="7" t="inlineStr">
        <is>
          <t>petak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46066</v>
      </c>
      <c r="B10" s="7" t="inlineStr">
        <is>
          <t>petak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inlineStr">
        <is>
          <t>x</t>
        </is>
      </c>
      <c r="G10" s="21" t="n"/>
    </row>
    <row r="11">
      <c r="A11" s="6" t="n">
        <v>46073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46080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46087</v>
      </c>
      <c r="B13" s="7" t="inlineStr">
        <is>
          <t>petak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46094</v>
      </c>
      <c r="B14" s="7" t="inlineStr">
        <is>
          <t>petak</t>
        </is>
      </c>
      <c r="C14" s="7" t="inlineStr">
        <is>
          <t>ožujak</t>
        </is>
      </c>
      <c r="D14" s="7" t="n"/>
      <c r="E14" s="7" t="inlineStr">
        <is>
          <t>x</t>
        </is>
      </c>
      <c r="F14" s="7" t="inlineStr">
        <is>
          <t>x</t>
        </is>
      </c>
      <c r="G14" s="21" t="n"/>
    </row>
    <row r="15">
      <c r="A15" s="6" t="n">
        <v>46101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46108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46115</v>
      </c>
      <c r="B17" s="7" t="inlineStr">
        <is>
          <t>petak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46122</v>
      </c>
      <c r="B18" s="7" t="inlineStr">
        <is>
          <t>petak</t>
        </is>
      </c>
      <c r="C18" s="7" t="inlineStr">
        <is>
          <t>travanj</t>
        </is>
      </c>
      <c r="D18" s="7" t="n"/>
      <c r="E18" s="7" t="inlineStr">
        <is>
          <t>x</t>
        </is>
      </c>
      <c r="F18" s="7" t="inlineStr">
        <is>
          <t>x</t>
        </is>
      </c>
      <c r="G18" s="21" t="n"/>
    </row>
    <row r="19">
      <c r="A19" s="6" t="n">
        <v>46129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46136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46150</v>
      </c>
      <c r="B21" s="7" t="inlineStr">
        <is>
          <t>petak</t>
        </is>
      </c>
      <c r="C21" s="7" t="inlineStr">
        <is>
          <t>svibanj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46157</v>
      </c>
      <c r="B22" s="7" t="inlineStr">
        <is>
          <t>petak</t>
        </is>
      </c>
      <c r="C22" s="7" t="inlineStr">
        <is>
          <t>svibanj</t>
        </is>
      </c>
      <c r="D22" s="7" t="n"/>
      <c r="E22" s="7" t="inlineStr">
        <is>
          <t>x</t>
        </is>
      </c>
      <c r="F22" s="7" t="inlineStr">
        <is>
          <t>x</t>
        </is>
      </c>
      <c r="G22" s="21" t="n"/>
    </row>
    <row r="23">
      <c r="A23" s="6" t="n">
        <v>46164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46171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46178</v>
      </c>
      <c r="B25" s="7" t="inlineStr">
        <is>
          <t>petak</t>
        </is>
      </c>
      <c r="C25" s="7" t="inlineStr">
        <is>
          <t>lipanj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46185</v>
      </c>
      <c r="B26" s="7" t="inlineStr">
        <is>
          <t>petak</t>
        </is>
      </c>
      <c r="C26" s="7" t="inlineStr">
        <is>
          <t>lipanj</t>
        </is>
      </c>
      <c r="D26" s="7" t="n"/>
      <c r="E26" s="7" t="inlineStr">
        <is>
          <t>x</t>
        </is>
      </c>
      <c r="F26" s="7" t="inlineStr">
        <is>
          <t>x</t>
        </is>
      </c>
      <c r="G26" s="21" t="n"/>
    </row>
    <row r="27">
      <c r="A27" s="6" t="n">
        <v>46192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46199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46206</v>
      </c>
      <c r="B29" s="7" t="inlineStr">
        <is>
          <t>petak</t>
        </is>
      </c>
      <c r="C29" s="7" t="inlineStr">
        <is>
          <t>srpanj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46213</v>
      </c>
      <c r="B30" s="7" t="inlineStr">
        <is>
          <t>petak</t>
        </is>
      </c>
      <c r="C30" s="7" t="inlineStr">
        <is>
          <t>srpanj</t>
        </is>
      </c>
      <c r="D30" s="7" t="n"/>
      <c r="E30" s="7" t="inlineStr">
        <is>
          <t>x</t>
        </is>
      </c>
      <c r="F30" s="7" t="inlineStr">
        <is>
          <t>x</t>
        </is>
      </c>
      <c r="G30" s="21" t="n"/>
    </row>
    <row r="31">
      <c r="A31" s="6" t="n">
        <v>46220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46227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46234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46241</v>
      </c>
      <c r="B34" s="7" t="inlineStr">
        <is>
          <t>petak</t>
        </is>
      </c>
      <c r="C34" s="7" t="inlineStr">
        <is>
          <t>kolovoz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46248</v>
      </c>
      <c r="B35" s="7" t="inlineStr">
        <is>
          <t>petak</t>
        </is>
      </c>
      <c r="C35" s="7" t="inlineStr">
        <is>
          <t>kolovoz</t>
        </is>
      </c>
      <c r="D35" s="7" t="n"/>
      <c r="E35" s="7" t="inlineStr">
        <is>
          <t>x</t>
        </is>
      </c>
      <c r="F35" s="7" t="inlineStr">
        <is>
          <t>x</t>
        </is>
      </c>
      <c r="G35" s="21" t="n"/>
    </row>
    <row r="36">
      <c r="A36" s="6" t="n">
        <v>46255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46262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46269</v>
      </c>
      <c r="B38" s="7" t="inlineStr">
        <is>
          <t>petak</t>
        </is>
      </c>
      <c r="C38" s="7" t="inlineStr">
        <is>
          <t>rujan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46276</v>
      </c>
      <c r="B39" s="7" t="inlineStr">
        <is>
          <t>petak</t>
        </is>
      </c>
      <c r="C39" s="7" t="inlineStr">
        <is>
          <t>rujan</t>
        </is>
      </c>
      <c r="D39" s="7" t="n"/>
      <c r="E39" s="7" t="inlineStr">
        <is>
          <t>x</t>
        </is>
      </c>
      <c r="F39" s="7" t="inlineStr">
        <is>
          <t>x</t>
        </is>
      </c>
      <c r="G39" s="21" t="n"/>
    </row>
    <row r="40">
      <c r="A40" s="6" t="n">
        <v>46283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46290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46297</v>
      </c>
      <c r="B42" s="7" t="inlineStr">
        <is>
          <t>petak</t>
        </is>
      </c>
      <c r="C42" s="7" t="inlineStr">
        <is>
          <t>listopad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46304</v>
      </c>
      <c r="B43" s="7" t="inlineStr">
        <is>
          <t>petak</t>
        </is>
      </c>
      <c r="C43" s="7" t="inlineStr">
        <is>
          <t>listopad</t>
        </is>
      </c>
      <c r="D43" s="7" t="n"/>
      <c r="E43" s="7" t="inlineStr">
        <is>
          <t>x</t>
        </is>
      </c>
      <c r="F43" s="7" t="inlineStr">
        <is>
          <t>x</t>
        </is>
      </c>
      <c r="G43" s="21" t="n"/>
    </row>
    <row r="44">
      <c r="A44" s="6" t="n">
        <v>46311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46318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46332</v>
      </c>
      <c r="B46" s="7" t="inlineStr">
        <is>
          <t>petak</t>
        </is>
      </c>
      <c r="C46" s="7" t="inlineStr">
        <is>
          <t>studeni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46339</v>
      </c>
      <c r="B47" s="7" t="inlineStr">
        <is>
          <t>petak</t>
        </is>
      </c>
      <c r="C47" s="7" t="inlineStr">
        <is>
          <t>studeni</t>
        </is>
      </c>
      <c r="D47" s="7" t="n"/>
      <c r="E47" s="7" t="inlineStr">
        <is>
          <t>x</t>
        </is>
      </c>
      <c r="F47" s="7" t="inlineStr">
        <is>
          <t>x</t>
        </is>
      </c>
      <c r="G47" s="21" t="n"/>
    </row>
    <row r="48">
      <c r="A48" s="6" t="n">
        <v>46346</v>
      </c>
      <c r="B48" s="7" t="inlineStr">
        <is>
          <t>petak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46353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46360</v>
      </c>
      <c r="B50" s="7" t="inlineStr">
        <is>
          <t>petak</t>
        </is>
      </c>
      <c r="C50" s="7" t="inlineStr">
        <is>
          <t>prosinac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46367</v>
      </c>
      <c r="B51" s="7" t="inlineStr">
        <is>
          <t>petak</t>
        </is>
      </c>
      <c r="C51" s="7" t="inlineStr">
        <is>
          <t>prosinac</t>
        </is>
      </c>
      <c r="D51" s="7" t="n"/>
      <c r="E51" s="7" t="inlineStr">
        <is>
          <t>x</t>
        </is>
      </c>
      <c r="F51" s="7" t="inlineStr">
        <is>
          <t>x</t>
        </is>
      </c>
      <c r="G51" s="21" t="n"/>
    </row>
    <row r="52">
      <c r="A52" s="6" t="n">
        <v>46374</v>
      </c>
      <c r="B52" s="7" t="inlineStr">
        <is>
          <t>petak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21" t="n"/>
    </row>
    <row r="53">
      <c r="A53" s="22" t="n">
        <v>46384</v>
      </c>
      <c r="B53" s="23" t="inlineStr">
        <is>
          <t>ponedjeljak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1" t="inlineStr">
        <is>
          <t>Pomaknuto zbog neradnog dana u tjednu</t>
        </is>
      </c>
    </row>
  </sheetData>
  <autoFilter ref="A4:G53"/>
  <conditionalFormatting sqref="D5:D53">
    <cfRule type="expression" priority="1" dxfId="0">
      <formula>D5="x"</formula>
    </cfRule>
  </conditionalFormatting>
  <conditionalFormatting sqref="E5:E53">
    <cfRule type="expression" priority="2" dxfId="1">
      <formula>E5="x"</formula>
    </cfRule>
  </conditionalFormatting>
  <conditionalFormatting sqref="F5:F53">
    <cfRule type="expression" priority="3" dxfId="2">
      <formula>F5="x"</formula>
    </cfRule>
  </conditionalFormatting>
  <conditionalFormatting sqref="A5:G53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46031</v>
      </c>
      <c r="B3" s="15" t="inlineStr">
        <is>
          <t>petak</t>
        </is>
      </c>
      <c r="C3" s="5" t="inlineStr">
        <is>
          <t>Miješani komunalni otpad</t>
        </is>
      </c>
      <c r="D3" s="15" t="n"/>
    </row>
    <row r="4">
      <c r="A4" s="24" t="n">
        <v>46038</v>
      </c>
      <c r="B4" s="15" t="inlineStr">
        <is>
          <t>petak</t>
        </is>
      </c>
      <c r="C4" s="9" t="inlineStr">
        <is>
          <t>Plastika i metal</t>
        </is>
      </c>
      <c r="D4" s="15" t="n"/>
    </row>
    <row r="5">
      <c r="A5" s="24" t="n">
        <v>46038</v>
      </c>
      <c r="B5" s="15" t="inlineStr">
        <is>
          <t>petak</t>
        </is>
      </c>
      <c r="C5" s="10" t="inlineStr">
        <is>
          <t>Papir i karton</t>
        </is>
      </c>
      <c r="D5" s="15" t="n"/>
    </row>
    <row r="6">
      <c r="A6" s="24" t="n">
        <v>46045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4" t="n">
        <v>46059</v>
      </c>
      <c r="B7" s="15" t="inlineStr">
        <is>
          <t>petak</t>
        </is>
      </c>
      <c r="C7" s="5" t="inlineStr">
        <is>
          <t>Miješani komunalni otpad</t>
        </is>
      </c>
      <c r="D7" s="15" t="n"/>
    </row>
    <row r="8">
      <c r="A8" s="24" t="n">
        <v>46066</v>
      </c>
      <c r="B8" s="15" t="inlineStr">
        <is>
          <t>petak</t>
        </is>
      </c>
      <c r="C8" s="9" t="inlineStr">
        <is>
          <t>Plastika i metal</t>
        </is>
      </c>
      <c r="D8" s="15" t="n"/>
    </row>
    <row r="9">
      <c r="A9" s="24" t="n">
        <v>46066</v>
      </c>
      <c r="B9" s="15" t="inlineStr">
        <is>
          <t>petak</t>
        </is>
      </c>
      <c r="C9" s="10" t="inlineStr">
        <is>
          <t>Papir i karton</t>
        </is>
      </c>
      <c r="D9" s="15" t="n"/>
    </row>
    <row r="10">
      <c r="A10" s="24" t="n">
        <v>46073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4" t="n">
        <v>46080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4" t="n">
        <v>46087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4" t="n">
        <v>46094</v>
      </c>
      <c r="B13" s="15" t="inlineStr">
        <is>
          <t>petak</t>
        </is>
      </c>
      <c r="C13" s="9" t="inlineStr">
        <is>
          <t>Plastika i metal</t>
        </is>
      </c>
      <c r="D13" s="15" t="n"/>
    </row>
    <row r="14">
      <c r="A14" s="24" t="n">
        <v>46094</v>
      </c>
      <c r="B14" s="15" t="inlineStr">
        <is>
          <t>petak</t>
        </is>
      </c>
      <c r="C14" s="10" t="inlineStr">
        <is>
          <t>Papir i karton</t>
        </is>
      </c>
      <c r="D14" s="15" t="n"/>
    </row>
    <row r="15">
      <c r="A15" s="24" t="n">
        <v>46101</v>
      </c>
      <c r="B15" s="15" t="inlineStr">
        <is>
          <t>petak</t>
        </is>
      </c>
      <c r="C15" s="5" t="inlineStr">
        <is>
          <t>Miješani komunalni otpad</t>
        </is>
      </c>
      <c r="D15" s="15" t="n"/>
    </row>
    <row r="16">
      <c r="A16" s="24" t="n">
        <v>46108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4" t="n">
        <v>46115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4" t="n">
        <v>46122</v>
      </c>
      <c r="B18" s="15" t="inlineStr">
        <is>
          <t>petak</t>
        </is>
      </c>
      <c r="C18" s="9" t="inlineStr">
        <is>
          <t>Plastika i metal</t>
        </is>
      </c>
      <c r="D18" s="15" t="n"/>
    </row>
    <row r="19">
      <c r="A19" s="24" t="n">
        <v>46122</v>
      </c>
      <c r="B19" s="15" t="inlineStr">
        <is>
          <t>petak</t>
        </is>
      </c>
      <c r="C19" s="10" t="inlineStr">
        <is>
          <t>Papir i karton</t>
        </is>
      </c>
      <c r="D19" s="15" t="n"/>
    </row>
    <row r="20">
      <c r="A20" s="24" t="n">
        <v>46129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4" t="n">
        <v>46136</v>
      </c>
      <c r="B21" s="15" t="inlineStr">
        <is>
          <t>petak</t>
        </is>
      </c>
      <c r="C21" s="5" t="inlineStr">
        <is>
          <t>Miješani komunalni otpad</t>
        </is>
      </c>
      <c r="D21" s="15" t="n"/>
    </row>
    <row r="22">
      <c r="A22" s="24" t="n">
        <v>46150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4" t="n">
        <v>46157</v>
      </c>
      <c r="B23" s="15" t="inlineStr">
        <is>
          <t>petak</t>
        </is>
      </c>
      <c r="C23" s="9" t="inlineStr">
        <is>
          <t>Plastika i metal</t>
        </is>
      </c>
      <c r="D23" s="15" t="n"/>
    </row>
    <row r="24">
      <c r="A24" s="24" t="n">
        <v>46157</v>
      </c>
      <c r="B24" s="15" t="inlineStr">
        <is>
          <t>petak</t>
        </is>
      </c>
      <c r="C24" s="10" t="inlineStr">
        <is>
          <t>Papir i karton</t>
        </is>
      </c>
      <c r="D24" s="15" t="n"/>
    </row>
    <row r="25">
      <c r="A25" s="24" t="n">
        <v>46164</v>
      </c>
      <c r="B25" s="15" t="inlineStr">
        <is>
          <t>petak</t>
        </is>
      </c>
      <c r="C25" s="5" t="inlineStr">
        <is>
          <t>Miješani komunalni otpad</t>
        </is>
      </c>
      <c r="D25" s="15" t="n"/>
    </row>
    <row r="26">
      <c r="A26" s="24" t="n">
        <v>46171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4" t="n">
        <v>46178</v>
      </c>
      <c r="B27" s="15" t="inlineStr">
        <is>
          <t>petak</t>
        </is>
      </c>
      <c r="C27" s="5" t="inlineStr">
        <is>
          <t>Miješani komunalni otpad</t>
        </is>
      </c>
      <c r="D27" s="15" t="n"/>
    </row>
    <row r="28">
      <c r="A28" s="24" t="n">
        <v>46185</v>
      </c>
      <c r="B28" s="15" t="inlineStr">
        <is>
          <t>petak</t>
        </is>
      </c>
      <c r="C28" s="9" t="inlineStr">
        <is>
          <t>Plastika i metal</t>
        </is>
      </c>
      <c r="D28" s="15" t="n"/>
    </row>
    <row r="29">
      <c r="A29" s="24" t="n">
        <v>46185</v>
      </c>
      <c r="B29" s="15" t="inlineStr">
        <is>
          <t>petak</t>
        </is>
      </c>
      <c r="C29" s="10" t="inlineStr">
        <is>
          <t>Papir i karton</t>
        </is>
      </c>
      <c r="D29" s="15" t="n"/>
    </row>
    <row r="30">
      <c r="A30" s="24" t="n">
        <v>46192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4" t="n">
        <v>46199</v>
      </c>
      <c r="B31" s="15" t="inlineStr">
        <is>
          <t>petak</t>
        </is>
      </c>
      <c r="C31" s="5" t="inlineStr">
        <is>
          <t>Miješani komunalni otpad</t>
        </is>
      </c>
      <c r="D31" s="15" t="n"/>
    </row>
    <row r="32">
      <c r="A32" s="24" t="n">
        <v>46206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4" t="n">
        <v>46213</v>
      </c>
      <c r="B33" s="15" t="inlineStr">
        <is>
          <t>petak</t>
        </is>
      </c>
      <c r="C33" s="9" t="inlineStr">
        <is>
          <t>Plastika i metal</t>
        </is>
      </c>
      <c r="D33" s="15" t="n"/>
    </row>
    <row r="34">
      <c r="A34" s="24" t="n">
        <v>46213</v>
      </c>
      <c r="B34" s="15" t="inlineStr">
        <is>
          <t>petak</t>
        </is>
      </c>
      <c r="C34" s="10" t="inlineStr">
        <is>
          <t>Papir i karton</t>
        </is>
      </c>
      <c r="D34" s="15" t="n"/>
    </row>
    <row r="35">
      <c r="A35" s="24" t="n">
        <v>46220</v>
      </c>
      <c r="B35" s="15" t="inlineStr">
        <is>
          <t>petak</t>
        </is>
      </c>
      <c r="C35" s="5" t="inlineStr">
        <is>
          <t>Miješani komunalni otpad</t>
        </is>
      </c>
      <c r="D35" s="15" t="n"/>
    </row>
    <row r="36">
      <c r="A36" s="24" t="n">
        <v>46227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4" t="n">
        <v>46234</v>
      </c>
      <c r="B37" s="15" t="inlineStr">
        <is>
          <t>petak</t>
        </is>
      </c>
      <c r="C37" s="5" t="inlineStr">
        <is>
          <t>Miješani komunalni otpad</t>
        </is>
      </c>
      <c r="D37" s="15" t="n"/>
    </row>
    <row r="38">
      <c r="A38" s="24" t="n">
        <v>46241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46248</v>
      </c>
      <c r="B39" s="15" t="inlineStr">
        <is>
          <t>petak</t>
        </is>
      </c>
      <c r="C39" s="9" t="inlineStr">
        <is>
          <t>Plastika i metal</t>
        </is>
      </c>
      <c r="D39" s="15" t="n"/>
    </row>
    <row r="40">
      <c r="A40" s="24" t="n">
        <v>46248</v>
      </c>
      <c r="B40" s="15" t="inlineStr">
        <is>
          <t>petak</t>
        </is>
      </c>
      <c r="C40" s="10" t="inlineStr">
        <is>
          <t>Papir i karton</t>
        </is>
      </c>
      <c r="D40" s="15" t="n"/>
    </row>
    <row r="41">
      <c r="A41" s="24" t="n">
        <v>46255</v>
      </c>
      <c r="B41" s="15" t="inlineStr">
        <is>
          <t>petak</t>
        </is>
      </c>
      <c r="C41" s="5" t="inlineStr">
        <is>
          <t>Miješani komunalni otpad</t>
        </is>
      </c>
      <c r="D41" s="15" t="n"/>
    </row>
    <row r="42">
      <c r="A42" s="24" t="n">
        <v>46262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4" t="n">
        <v>46269</v>
      </c>
      <c r="B43" s="15" t="inlineStr">
        <is>
          <t>petak</t>
        </is>
      </c>
      <c r="C43" s="5" t="inlineStr">
        <is>
          <t>Miješani komunalni otpad</t>
        </is>
      </c>
      <c r="D43" s="15" t="n"/>
    </row>
    <row r="44">
      <c r="A44" s="24" t="n">
        <v>46276</v>
      </c>
      <c r="B44" s="15" t="inlineStr">
        <is>
          <t>petak</t>
        </is>
      </c>
      <c r="C44" s="9" t="inlineStr">
        <is>
          <t>Plastika i metal</t>
        </is>
      </c>
      <c r="D44" s="15" t="n"/>
    </row>
    <row r="45">
      <c r="A45" s="24" t="n">
        <v>46276</v>
      </c>
      <c r="B45" s="15" t="inlineStr">
        <is>
          <t>petak</t>
        </is>
      </c>
      <c r="C45" s="10" t="inlineStr">
        <is>
          <t>Papir i karton</t>
        </is>
      </c>
      <c r="D45" s="15" t="n"/>
    </row>
    <row r="46">
      <c r="A46" s="24" t="n">
        <v>46283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4" t="n">
        <v>46290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4" t="n">
        <v>46297</v>
      </c>
      <c r="B48" s="15" t="inlineStr">
        <is>
          <t>petak</t>
        </is>
      </c>
      <c r="C48" s="5" t="inlineStr">
        <is>
          <t>Miješani komunalni otpad</t>
        </is>
      </c>
      <c r="D48" s="15" t="n"/>
    </row>
    <row r="49">
      <c r="A49" s="24" t="n">
        <v>46304</v>
      </c>
      <c r="B49" s="15" t="inlineStr">
        <is>
          <t>petak</t>
        </is>
      </c>
      <c r="C49" s="9" t="inlineStr">
        <is>
          <t>Plastika i metal</t>
        </is>
      </c>
      <c r="D49" s="15" t="n"/>
    </row>
    <row r="50">
      <c r="A50" s="24" t="n">
        <v>46304</v>
      </c>
      <c r="B50" s="15" t="inlineStr">
        <is>
          <t>petak</t>
        </is>
      </c>
      <c r="C50" s="10" t="inlineStr">
        <is>
          <t>Papir i karton</t>
        </is>
      </c>
      <c r="D50" s="15" t="n"/>
    </row>
    <row r="51">
      <c r="A51" s="24" t="n">
        <v>46311</v>
      </c>
      <c r="B51" s="15" t="inlineStr">
        <is>
          <t>petak</t>
        </is>
      </c>
      <c r="C51" s="5" t="inlineStr">
        <is>
          <t>Miješani komunalni otpad</t>
        </is>
      </c>
      <c r="D51" s="15" t="n"/>
    </row>
    <row r="52">
      <c r="A52" s="24" t="n">
        <v>46318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4" t="n">
        <v>46332</v>
      </c>
      <c r="B53" s="15" t="inlineStr">
        <is>
          <t>petak</t>
        </is>
      </c>
      <c r="C53" s="5" t="inlineStr">
        <is>
          <t>Miješani komunalni otpad</t>
        </is>
      </c>
      <c r="D53" s="15" t="n"/>
    </row>
    <row r="54">
      <c r="A54" s="24" t="n">
        <v>46339</v>
      </c>
      <c r="B54" s="15" t="inlineStr">
        <is>
          <t>petak</t>
        </is>
      </c>
      <c r="C54" s="9" t="inlineStr">
        <is>
          <t>Plastika i metal</t>
        </is>
      </c>
      <c r="D54" s="15" t="n"/>
    </row>
    <row r="55">
      <c r="A55" s="24" t="n">
        <v>46339</v>
      </c>
      <c r="B55" s="15" t="inlineStr">
        <is>
          <t>petak</t>
        </is>
      </c>
      <c r="C55" s="10" t="inlineStr">
        <is>
          <t>Papir i karton</t>
        </is>
      </c>
      <c r="D55" s="15" t="n"/>
    </row>
    <row r="56">
      <c r="A56" s="24" t="n">
        <v>46346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4" t="n">
        <v>46353</v>
      </c>
      <c r="B57" s="15" t="inlineStr">
        <is>
          <t>petak</t>
        </is>
      </c>
      <c r="C57" s="5" t="inlineStr">
        <is>
          <t>Miješani komunalni otpad</t>
        </is>
      </c>
      <c r="D57" s="15" t="n"/>
    </row>
    <row r="58">
      <c r="A58" s="24" t="n">
        <v>46360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4" t="n">
        <v>46367</v>
      </c>
      <c r="B59" s="15" t="inlineStr">
        <is>
          <t>petak</t>
        </is>
      </c>
      <c r="C59" s="9" t="inlineStr">
        <is>
          <t>Plastika i metal</t>
        </is>
      </c>
      <c r="D59" s="15" t="n"/>
    </row>
    <row r="60">
      <c r="A60" s="24" t="n">
        <v>46367</v>
      </c>
      <c r="B60" s="15" t="inlineStr">
        <is>
          <t>petak</t>
        </is>
      </c>
      <c r="C60" s="10" t="inlineStr">
        <is>
          <t>Papir i karton</t>
        </is>
      </c>
      <c r="D60" s="15" t="n"/>
    </row>
    <row r="61">
      <c r="A61" s="24" t="n">
        <v>46374</v>
      </c>
      <c r="B61" s="15" t="inlineStr">
        <is>
          <t>petak</t>
        </is>
      </c>
      <c r="C61" s="5" t="inlineStr">
        <is>
          <t>Miješani komunalni otpad</t>
        </is>
      </c>
      <c r="D61" s="15" t="n"/>
    </row>
    <row r="62">
      <c r="A62" s="24" t="n">
        <v>46384</v>
      </c>
      <c r="B62" s="15" t="inlineStr">
        <is>
          <t>ponedjeljak</t>
        </is>
      </c>
      <c r="C62" s="5" t="inlineStr">
        <is>
          <t>Miješani komunalni otpad</t>
        </is>
      </c>
      <c r="D62" s="15" t="inlineStr">
        <is>
          <t>Pomaknuto zbog neradnog dana u tjednu</t>
        </is>
      </c>
    </row>
  </sheetData>
  <autoFilter ref="A1:D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14 (Dubrava): ulice i naselja</t>
        </is>
      </c>
    </row>
    <row r="2">
      <c r="A2" s="20" t="inlineStr">
        <is>
          <t>NOVAKI, KUNĐEVAC, GORNJI VUKŠINAC, DONJI VUKŠINAC, STARA KAPELA, NOVA KAPELA, HABJANOVAC, ŽUKOVAC, LADINA, KORITNA, DUBRAVSKI MARKOVAC, PARUŽEVAC, RADULEC, ZVEKOVAC, BREZJE, GORNJI MARINKOVAC, DONJI MARINKOVAC, MOSTARI</t>
        </is>
      </c>
    </row>
    <row r="4">
      <c r="A4" s="4" t="inlineStr">
        <is>
          <t>Ulica / naselje</t>
        </is>
      </c>
    </row>
    <row r="5">
      <c r="A5" s="15" t="inlineStr">
        <is>
          <t>Novaki</t>
        </is>
      </c>
    </row>
    <row r="6">
      <c r="A6" s="15" t="inlineStr">
        <is>
          <t>Kunđevac</t>
        </is>
      </c>
    </row>
    <row r="7">
      <c r="A7" s="15" t="inlineStr">
        <is>
          <t>Gornji Vukšinac</t>
        </is>
      </c>
    </row>
    <row r="8">
      <c r="A8" s="15" t="inlineStr">
        <is>
          <t>Donji Vukšinac</t>
        </is>
      </c>
    </row>
    <row r="9">
      <c r="A9" s="15" t="inlineStr">
        <is>
          <t>Stara Kapela</t>
        </is>
      </c>
    </row>
    <row r="10">
      <c r="A10" s="15" t="inlineStr">
        <is>
          <t>Nova Kapela</t>
        </is>
      </c>
    </row>
    <row r="11">
      <c r="A11" s="15" t="inlineStr">
        <is>
          <t>Habjanovac</t>
        </is>
      </c>
    </row>
    <row r="12">
      <c r="A12" s="15" t="inlineStr">
        <is>
          <t>Žukovac</t>
        </is>
      </c>
    </row>
    <row r="13">
      <c r="A13" s="15" t="inlineStr">
        <is>
          <t>Ladina</t>
        </is>
      </c>
    </row>
    <row r="14">
      <c r="A14" s="15" t="inlineStr">
        <is>
          <t>Koritna</t>
        </is>
      </c>
    </row>
    <row r="15">
      <c r="A15" s="15" t="inlineStr">
        <is>
          <t>Dubravski Markovac</t>
        </is>
      </c>
    </row>
    <row r="16">
      <c r="A16" s="15" t="inlineStr">
        <is>
          <t>Paruževac</t>
        </is>
      </c>
    </row>
    <row r="17">
      <c r="A17" s="15" t="inlineStr">
        <is>
          <t>Radulec</t>
        </is>
      </c>
    </row>
    <row r="18">
      <c r="A18" s="15" t="inlineStr">
        <is>
          <t>Zvekovac</t>
        </is>
      </c>
    </row>
    <row r="19">
      <c r="A19" s="15" t="inlineStr">
        <is>
          <t>Brezje</t>
        </is>
      </c>
    </row>
    <row r="20">
      <c r="A20" s="15" t="inlineStr">
        <is>
          <t>Gornji Marinkovac</t>
        </is>
      </c>
    </row>
    <row r="21">
      <c r="A21" s="15" t="inlineStr">
        <is>
          <t>Donji Marinkovac</t>
        </is>
      </c>
    </row>
    <row r="22">
      <c r="A22" s="15" t="inlineStr">
        <is>
          <t>Mostari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2026-10-07T18:23:31Z</dcterms:created>
  <dcterms:modified xmlns:dcterms="http://purl.org/dc/terms/" xmlns:xsi="http://www.w3.org/2001/XMLSchema-instance" xsi:type="dcterms:W3CDTF">2026-10-07T18:23:31Z</dcterms:modified>
</cp:coreProperties>
</file>
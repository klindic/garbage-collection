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'Raspored'!$A$4:$H$30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Plastika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i karton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Staklo (boce i teglice)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COUNTIFS(Raspored!$C$5:$C$30,$A13,Raspored!$D$5:$D$30,"x")</f>
        <v/>
      </c>
      <c r="C13" s="7">
        <f>COUNTIFS(Raspored!$C$5:$C$30,$A13,Raspored!$E$5:$E$30,"x")</f>
        <v/>
      </c>
      <c r="D13" s="7">
        <f>COUNTIFS(Raspored!$C$5:$C$30,$A13,Raspored!$F$5:$F$30,"x")</f>
        <v/>
      </c>
      <c r="E13" s="7">
        <f>COUNTIFS(Raspored!$C$5:$C$30,$A13,Raspored!$G$5:$G$30,"x")</f>
        <v/>
      </c>
    </row>
    <row r="14">
      <c r="A14" s="17" t="inlineStr">
        <is>
          <t>veljača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</row>
    <row r="15">
      <c r="A15" s="17" t="inlineStr">
        <is>
          <t>ožujak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</row>
    <row r="16">
      <c r="A16" s="17" t="inlineStr">
        <is>
          <t>travanj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</row>
    <row r="17">
      <c r="A17" s="17" t="inlineStr">
        <is>
          <t>svibanj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</row>
    <row r="18">
      <c r="A18" s="17" t="inlineStr">
        <is>
          <t>lipanj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</row>
    <row r="19">
      <c r="A19" s="17" t="inlineStr">
        <is>
          <t>srpanj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</row>
    <row r="20">
      <c r="A20" s="17" t="inlineStr">
        <is>
          <t>kolovoz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</row>
    <row r="21">
      <c r="A21" s="17" t="inlineStr">
        <is>
          <t>rujan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</row>
    <row r="22">
      <c r="A22" s="17" t="inlineStr">
        <is>
          <t>listopad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</row>
    <row r="23">
      <c r="A23" s="17" t="inlineStr">
        <is>
          <t>studeni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</row>
    <row r="24">
      <c r="A24" s="17" t="inlineStr">
        <is>
          <t>prosinac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https://new.jakob-becker.hr/brodskistupnik/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(Brodski Stupnik)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46044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46058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46072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46086</v>
      </c>
      <c r="B9" s="7" t="inlineStr">
        <is>
          <t>četvrtak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46100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46114</v>
      </c>
      <c r="B11" s="7" t="inlineStr">
        <is>
          <t>četvrtak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46128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46142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46156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46170</v>
      </c>
      <c r="B15" s="7" t="inlineStr">
        <is>
          <t>četvrtak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46184</v>
      </c>
      <c r="B16" s="7" t="inlineStr">
        <is>
          <t>četvrtak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46198</v>
      </c>
      <c r="B17" s="7" t="inlineStr">
        <is>
          <t>četvrtak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46212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46226</v>
      </c>
      <c r="B19" s="7" t="inlineStr">
        <is>
          <t>četvrtak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46240</v>
      </c>
      <c r="B20" s="7" t="inlineStr">
        <is>
          <t>četvrtak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46254</v>
      </c>
      <c r="B21" s="7" t="inlineStr">
        <is>
          <t>četvrtak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46268</v>
      </c>
      <c r="B22" s="7" t="inlineStr">
        <is>
          <t>četvrtak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46282</v>
      </c>
      <c r="B23" s="7" t="inlineStr">
        <is>
          <t>četvrtak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46296</v>
      </c>
      <c r="B24" s="7" t="inlineStr">
        <is>
          <t>četvrtak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46310</v>
      </c>
      <c r="B25" s="7" t="inlineStr">
        <is>
          <t>četvrtak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46324</v>
      </c>
      <c r="B26" s="7" t="inlineStr">
        <is>
          <t>četvrtak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46338</v>
      </c>
      <c r="B27" s="7" t="inlineStr">
        <is>
          <t>četvrtak</t>
        </is>
      </c>
      <c r="C27" s="7" t="inlineStr">
        <is>
          <t>studeni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46352</v>
      </c>
      <c r="B28" s="7" t="inlineStr">
        <is>
          <t>četvrtak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46366</v>
      </c>
      <c r="B29" s="7" t="inlineStr">
        <is>
          <t>četvrtak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46380</v>
      </c>
      <c r="B30" s="7" t="inlineStr">
        <is>
          <t>četvrtak</t>
        </is>
      </c>
      <c r="C30" s="7" t="inlineStr">
        <is>
          <t>prosinac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3" t="n"/>
    </row>
  </sheetData>
  <autoFilter ref="A4:H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A5:H3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46044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46044</v>
      </c>
      <c r="B4" s="17" t="inlineStr">
        <is>
          <t>četvrtak</t>
        </is>
      </c>
      <c r="C4" s="9" t="inlineStr">
        <is>
          <t>Plastika</t>
        </is>
      </c>
      <c r="D4" s="17" t="n"/>
    </row>
    <row r="5">
      <c r="A5" s="24" t="n">
        <v>46044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4" t="n">
        <v>46058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46072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46072</v>
      </c>
      <c r="B8" s="17" t="inlineStr">
        <is>
          <t>četvrtak</t>
        </is>
      </c>
      <c r="C8" s="9" t="inlineStr">
        <is>
          <t>Plastika</t>
        </is>
      </c>
      <c r="D8" s="17" t="n"/>
    </row>
    <row r="9">
      <c r="A9" s="24" t="n">
        <v>46072</v>
      </c>
      <c r="B9" s="17" t="inlineStr">
        <is>
          <t>četvrtak</t>
        </is>
      </c>
      <c r="C9" s="10" t="inlineStr">
        <is>
          <t>Papir i karton</t>
        </is>
      </c>
      <c r="D9" s="17" t="n"/>
    </row>
    <row r="10">
      <c r="A10" s="24" t="n">
        <v>46086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46100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46100</v>
      </c>
      <c r="B12" s="17" t="inlineStr">
        <is>
          <t>četvrtak</t>
        </is>
      </c>
      <c r="C12" s="9" t="inlineStr">
        <is>
          <t>Plastika</t>
        </is>
      </c>
      <c r="D12" s="17" t="n"/>
    </row>
    <row r="13">
      <c r="A13" s="24" t="n">
        <v>46100</v>
      </c>
      <c r="B13" s="17" t="inlineStr">
        <is>
          <t>četvrtak</t>
        </is>
      </c>
      <c r="C13" s="10" t="inlineStr">
        <is>
          <t>Papir i karton</t>
        </is>
      </c>
      <c r="D13" s="17" t="n"/>
    </row>
    <row r="14">
      <c r="A14" s="24" t="n">
        <v>46114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46128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46128</v>
      </c>
      <c r="B16" s="17" t="inlineStr">
        <is>
          <t>četvrtak</t>
        </is>
      </c>
      <c r="C16" s="9" t="inlineStr">
        <is>
          <t>Plastika</t>
        </is>
      </c>
      <c r="D16" s="17" t="n"/>
    </row>
    <row r="17">
      <c r="A17" s="24" t="n">
        <v>46128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4" t="n">
        <v>46128</v>
      </c>
      <c r="B18" s="17" t="inlineStr">
        <is>
          <t>četvrtak</t>
        </is>
      </c>
      <c r="C18" s="11" t="inlineStr">
        <is>
          <t>Staklo (boce i teglice)</t>
        </is>
      </c>
      <c r="D18" s="17" t="n"/>
    </row>
    <row r="19">
      <c r="A19" s="24" t="n">
        <v>46142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46156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46170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46170</v>
      </c>
      <c r="B22" s="17" t="inlineStr">
        <is>
          <t>četvrtak</t>
        </is>
      </c>
      <c r="C22" s="9" t="inlineStr">
        <is>
          <t>Plastika</t>
        </is>
      </c>
      <c r="D22" s="17" t="n"/>
    </row>
    <row r="23">
      <c r="A23" s="24" t="n">
        <v>46170</v>
      </c>
      <c r="B23" s="17" t="inlineStr">
        <is>
          <t>četvrtak</t>
        </is>
      </c>
      <c r="C23" s="10" t="inlineStr">
        <is>
          <t>Papir i karton</t>
        </is>
      </c>
      <c r="D23" s="17" t="n"/>
    </row>
    <row r="24">
      <c r="A24" s="24" t="n">
        <v>46184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46198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4" t="n">
        <v>46198</v>
      </c>
      <c r="B26" s="17" t="inlineStr">
        <is>
          <t>četvrtak</t>
        </is>
      </c>
      <c r="C26" s="9" t="inlineStr">
        <is>
          <t>Plastika</t>
        </is>
      </c>
      <c r="D26" s="17" t="n"/>
    </row>
    <row r="27">
      <c r="A27" s="24" t="n">
        <v>46198</v>
      </c>
      <c r="B27" s="17" t="inlineStr">
        <is>
          <t>četvrtak</t>
        </is>
      </c>
      <c r="C27" s="10" t="inlineStr">
        <is>
          <t>Papir i karton</t>
        </is>
      </c>
      <c r="D27" s="17" t="n"/>
    </row>
    <row r="28">
      <c r="A28" s="24" t="n">
        <v>46212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46226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46226</v>
      </c>
      <c r="B30" s="17" t="inlineStr">
        <is>
          <t>četvrtak</t>
        </is>
      </c>
      <c r="C30" s="9" t="inlineStr">
        <is>
          <t>Plastika</t>
        </is>
      </c>
      <c r="D30" s="17" t="n"/>
    </row>
    <row r="31">
      <c r="A31" s="24" t="n">
        <v>46226</v>
      </c>
      <c r="B31" s="17" t="inlineStr">
        <is>
          <t>četvrtak</t>
        </is>
      </c>
      <c r="C31" s="10" t="inlineStr">
        <is>
          <t>Papir i karton</t>
        </is>
      </c>
      <c r="D31" s="17" t="n"/>
    </row>
    <row r="32">
      <c r="A32" s="24" t="n">
        <v>46240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46254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4" t="n">
        <v>46254</v>
      </c>
      <c r="B34" s="17" t="inlineStr">
        <is>
          <t>četvrtak</t>
        </is>
      </c>
      <c r="C34" s="9" t="inlineStr">
        <is>
          <t>Plastika</t>
        </is>
      </c>
      <c r="D34" s="17" t="n"/>
    </row>
    <row r="35">
      <c r="A35" s="24" t="n">
        <v>46254</v>
      </c>
      <c r="B35" s="17" t="inlineStr">
        <is>
          <t>četvrtak</t>
        </is>
      </c>
      <c r="C35" s="10" t="inlineStr">
        <is>
          <t>Papir i karton</t>
        </is>
      </c>
      <c r="D35" s="17" t="n"/>
    </row>
    <row r="36">
      <c r="A36" s="24" t="n">
        <v>46254</v>
      </c>
      <c r="B36" s="17" t="inlineStr">
        <is>
          <t>četvrtak</t>
        </is>
      </c>
      <c r="C36" s="11" t="inlineStr">
        <is>
          <t>Staklo (boce i teglice)</t>
        </is>
      </c>
      <c r="D36" s="17" t="n"/>
    </row>
    <row r="37">
      <c r="A37" s="24" t="n">
        <v>46268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46282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46282</v>
      </c>
      <c r="B39" s="17" t="inlineStr">
        <is>
          <t>četvrtak</t>
        </is>
      </c>
      <c r="C39" s="9" t="inlineStr">
        <is>
          <t>Plastika</t>
        </is>
      </c>
      <c r="D39" s="17" t="n"/>
    </row>
    <row r="40">
      <c r="A40" s="24" t="n">
        <v>46282</v>
      </c>
      <c r="B40" s="17" t="inlineStr">
        <is>
          <t>četvrtak</t>
        </is>
      </c>
      <c r="C40" s="10" t="inlineStr">
        <is>
          <t>Papir i karton</t>
        </is>
      </c>
      <c r="D40" s="17" t="n"/>
    </row>
    <row r="41">
      <c r="A41" s="24" t="n">
        <v>46296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46310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46310</v>
      </c>
      <c r="B43" s="17" t="inlineStr">
        <is>
          <t>četvrtak</t>
        </is>
      </c>
      <c r="C43" s="9" t="inlineStr">
        <is>
          <t>Plastika</t>
        </is>
      </c>
      <c r="D43" s="17" t="n"/>
    </row>
    <row r="44">
      <c r="A44" s="24" t="n">
        <v>46310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4" t="n">
        <v>46324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46338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46352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46352</v>
      </c>
      <c r="B48" s="17" t="inlineStr">
        <is>
          <t>četvrtak</t>
        </is>
      </c>
      <c r="C48" s="9" t="inlineStr">
        <is>
          <t>Plastika</t>
        </is>
      </c>
      <c r="D48" s="17" t="n"/>
    </row>
    <row r="49">
      <c r="A49" s="24" t="n">
        <v>46352</v>
      </c>
      <c r="B49" s="17" t="inlineStr">
        <is>
          <t>četvrtak</t>
        </is>
      </c>
      <c r="C49" s="10" t="inlineStr">
        <is>
          <t>Papir i karton</t>
        </is>
      </c>
      <c r="D49" s="17" t="n"/>
    </row>
    <row r="50">
      <c r="A50" s="24" t="n">
        <v>46366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46380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46380</v>
      </c>
      <c r="B52" s="17" t="inlineStr">
        <is>
          <t>četvrtak</t>
        </is>
      </c>
      <c r="C52" s="9" t="inlineStr">
        <is>
          <t>Plastika</t>
        </is>
      </c>
      <c r="D52" s="17" t="n"/>
    </row>
    <row r="53">
      <c r="A53" s="24" t="n">
        <v>46380</v>
      </c>
      <c r="B53" s="17" t="inlineStr">
        <is>
          <t>četvrtak</t>
        </is>
      </c>
      <c r="C53" s="10" t="inlineStr">
        <is>
          <t>Papir i karton</t>
        </is>
      </c>
      <c r="D53" s="17" t="n"/>
    </row>
    <row r="54">
      <c r="A54" s="24" t="n">
        <v>46380</v>
      </c>
      <c r="B54" s="17" t="inlineStr">
        <is>
          <t>četvrtak</t>
        </is>
      </c>
      <c r="C54" s="11" t="inlineStr">
        <is>
          <t>Staklo (boce i teglice)</t>
        </is>
      </c>
      <c r="D54" s="17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(Brodski Stupnik): ulice i naselja</t>
        </is>
      </c>
    </row>
    <row r="4">
      <c r="A4" s="4" t="inlineStr">
        <is>
          <t>Ulica / naselje</t>
        </is>
      </c>
    </row>
    <row r="5">
      <c r="A5" s="17" t="inlineStr">
        <is>
          <t>Brodski Stupnik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
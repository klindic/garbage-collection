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'Raspored'!$A$4:$G$36</definedName>
    <definedName name="_xlnm._FilterDatabase" localSheetId="2" hidden="1">'Po vrsti'!$A$1:$D$61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2E8B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2E8B57"/>
          <bgColor rgb="002E8B57"/>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IFERROR(1/(1/_xlfn.MINIFS(Raspored!$A$5:$A$36,Raspored!$D$5:$D$36,"x",Raspored!$A$5:$A$36,"&gt;="&amp;$B$3)),"nema više u 2026.")</f>
        <v/>
      </c>
      <c r="C6" s="7">
        <f>IF(ISNUMBER(B6),INDEX({"nedjelja","ponedjeljak","utorak","srijeda","četvrtak","petak","subota"},WEEKDAY(B6)),"")</f>
        <v/>
      </c>
      <c r="D6" s="8">
        <f>IF(ISNUMBER(B6),B6-$B$3,"")</f>
        <v/>
      </c>
      <c r="E6" s="7">
        <f>COUNTIF(Raspored!$D$5:$D$36,"x")</f>
        <v/>
      </c>
    </row>
    <row r="7">
      <c r="A7" s="9" t="inlineStr">
        <is>
          <t>Reciklabilni otpad (papir, karton, plastika, metal)</t>
        </is>
      </c>
      <c r="B7" s="6">
        <f>IFERROR(1/(1/_xlfn.MINIFS(Raspored!$A$5:$A$36,Raspored!$E$5:$E$36,"x",Raspored!$A$5:$A$36,"&gt;="&amp;$B$3)),"nema više u 2026.")</f>
        <v/>
      </c>
      <c r="C7" s="7">
        <f>IF(ISNUMBER(B7),INDEX({"nedjelja","ponedjeljak","utorak","srijeda","četvrtak","petak","subota"},WEEKDAY(B7)),"")</f>
        <v/>
      </c>
      <c r="D7" s="8">
        <f>IF(ISNUMBER(B7),B7-$B$3,"")</f>
        <v/>
      </c>
      <c r="E7" s="7">
        <f>COUNTIF(Raspored!$E$5:$E$36,"x")</f>
        <v/>
      </c>
    </row>
    <row r="8">
      <c r="A8" s="10" t="inlineStr">
        <is>
          <t>Staklo</t>
        </is>
      </c>
      <c r="B8" s="6">
        <f>IFERROR(1/(1/_xlfn.MINIFS(Raspored!$A$5:$A$36,Raspored!$F$5:$F$36,"x",Raspored!$A$5:$A$36,"&gt;="&amp;$B$3)),"nema više u 2026.")</f>
        <v/>
      </c>
      <c r="C8" s="7">
        <f>IF(ISNUMBER(B8),INDEX({"nedjelja","ponedjeljak","utorak","srijeda","četvrtak","petak","subota"},WEEKDAY(B8)),"")</f>
        <v/>
      </c>
      <c r="D8" s="8">
        <f>IF(ISNUMBER(B8),B8-$B$3,"")</f>
        <v/>
      </c>
      <c r="E8" s="7">
        <f>COUNTIF(Raspored!$F$5:$F$36,"x")</f>
        <v/>
      </c>
    </row>
    <row r="10">
      <c r="A10" s="11" t="inlineStr">
        <is>
          <t>Broj odvoza po mjesecu</t>
        </is>
      </c>
    </row>
    <row r="11" ht="30" customHeight="1">
      <c r="A11" s="4" t="inlineStr">
        <is>
          <t>Mjesec</t>
        </is>
      </c>
      <c r="B11" s="12" t="inlineStr">
        <is>
          <t>Miješani komunalni otpad</t>
        </is>
      </c>
      <c r="C11" s="13" t="inlineStr">
        <is>
          <t>Reciklabilni otpad (papir, karton, plastika, metal)</t>
        </is>
      </c>
      <c r="D11" s="14" t="inlineStr">
        <is>
          <t>Staklo</t>
        </is>
      </c>
    </row>
    <row r="12">
      <c r="A12" s="15" t="inlineStr">
        <is>
          <t>siječanj</t>
        </is>
      </c>
      <c r="B12" s="7">
        <f>COUNTIFS(Raspored!$C$5:$C$36,$A12,Raspored!$D$5:$D$36,"x")</f>
        <v/>
      </c>
      <c r="C12" s="7">
        <f>COUNTIFS(Raspored!$C$5:$C$36,$A12,Raspored!$E$5:$E$36,"x")</f>
        <v/>
      </c>
      <c r="D12" s="7">
        <f>COUNTIFS(Raspored!$C$5:$C$36,$A12,Raspored!$F$5:$F$36,"x")</f>
        <v/>
      </c>
    </row>
    <row r="13">
      <c r="A13" s="15" t="inlineStr">
        <is>
          <t>veljača</t>
        </is>
      </c>
      <c r="B13" s="7">
        <f>COUNTIFS(Raspored!$C$5:$C$36,$A13,Raspored!$D$5:$D$36,"x")</f>
        <v/>
      </c>
      <c r="C13" s="7">
        <f>COUNTIFS(Raspored!$C$5:$C$36,$A13,Raspored!$E$5:$E$36,"x")</f>
        <v/>
      </c>
      <c r="D13" s="7">
        <f>COUNTIFS(Raspored!$C$5:$C$36,$A13,Raspored!$F$5:$F$36,"x")</f>
        <v/>
      </c>
    </row>
    <row r="14">
      <c r="A14" s="15" t="inlineStr">
        <is>
          <t>ožujak</t>
        </is>
      </c>
      <c r="B14" s="7">
        <f>COUNTIFS(Raspored!$C$5:$C$36,$A14,Raspored!$D$5:$D$36,"x")</f>
        <v/>
      </c>
      <c r="C14" s="7">
        <f>COUNTIFS(Raspored!$C$5:$C$36,$A14,Raspored!$E$5:$E$36,"x")</f>
        <v/>
      </c>
      <c r="D14" s="7">
        <f>COUNTIFS(Raspored!$C$5:$C$36,$A14,Raspored!$F$5:$F$36,"x")</f>
        <v/>
      </c>
    </row>
    <row r="15">
      <c r="A15" s="15" t="inlineStr">
        <is>
          <t>travanj</t>
        </is>
      </c>
      <c r="B15" s="7">
        <f>COUNTIFS(Raspored!$C$5:$C$36,$A15,Raspored!$D$5:$D$36,"x")</f>
        <v/>
      </c>
      <c r="C15" s="7">
        <f>COUNTIFS(Raspored!$C$5:$C$36,$A15,Raspored!$E$5:$E$36,"x")</f>
        <v/>
      </c>
      <c r="D15" s="7">
        <f>COUNTIFS(Raspored!$C$5:$C$36,$A15,Raspored!$F$5:$F$36,"x")</f>
        <v/>
      </c>
    </row>
    <row r="16">
      <c r="A16" s="15" t="inlineStr">
        <is>
          <t>svibanj</t>
        </is>
      </c>
      <c r="B16" s="7">
        <f>COUNTIFS(Raspored!$C$5:$C$36,$A16,Raspored!$D$5:$D$36,"x")</f>
        <v/>
      </c>
      <c r="C16" s="7">
        <f>COUNTIFS(Raspored!$C$5:$C$36,$A16,Raspored!$E$5:$E$36,"x")</f>
        <v/>
      </c>
      <c r="D16" s="7">
        <f>COUNTIFS(Raspored!$C$5:$C$36,$A16,Raspored!$F$5:$F$36,"x")</f>
        <v/>
      </c>
    </row>
    <row r="17">
      <c r="A17" s="15" t="inlineStr">
        <is>
          <t>lipanj</t>
        </is>
      </c>
      <c r="B17" s="7">
        <f>COUNTIFS(Raspored!$C$5:$C$36,$A17,Raspored!$D$5:$D$36,"x")</f>
        <v/>
      </c>
      <c r="C17" s="7">
        <f>COUNTIFS(Raspored!$C$5:$C$36,$A17,Raspored!$E$5:$E$36,"x")</f>
        <v/>
      </c>
      <c r="D17" s="7">
        <f>COUNTIFS(Raspored!$C$5:$C$36,$A17,Raspored!$F$5:$F$36,"x")</f>
        <v/>
      </c>
    </row>
    <row r="18">
      <c r="A18" s="15" t="inlineStr">
        <is>
          <t>srpanj</t>
        </is>
      </c>
      <c r="B18" s="7">
        <f>COUNTIFS(Raspored!$C$5:$C$36,$A18,Raspored!$D$5:$D$36,"x")</f>
        <v/>
      </c>
      <c r="C18" s="7">
        <f>COUNTIFS(Raspored!$C$5:$C$36,$A18,Raspored!$E$5:$E$36,"x")</f>
        <v/>
      </c>
      <c r="D18" s="7">
        <f>COUNTIFS(Raspored!$C$5:$C$36,$A18,Raspored!$F$5:$F$36,"x")</f>
        <v/>
      </c>
    </row>
    <row r="19">
      <c r="A19" s="15" t="inlineStr">
        <is>
          <t>kolovoz</t>
        </is>
      </c>
      <c r="B19" s="7">
        <f>COUNTIFS(Raspored!$C$5:$C$36,$A19,Raspored!$D$5:$D$36,"x")</f>
        <v/>
      </c>
      <c r="C19" s="7">
        <f>COUNTIFS(Raspored!$C$5:$C$36,$A19,Raspored!$E$5:$E$36,"x")</f>
        <v/>
      </c>
      <c r="D19" s="7">
        <f>COUNTIFS(Raspored!$C$5:$C$36,$A19,Raspored!$F$5:$F$36,"x")</f>
        <v/>
      </c>
    </row>
    <row r="20">
      <c r="A20" s="15" t="inlineStr">
        <is>
          <t>rujan</t>
        </is>
      </c>
      <c r="B20" s="7">
        <f>COUNTIFS(Raspored!$C$5:$C$36,$A20,Raspored!$D$5:$D$36,"x")</f>
        <v/>
      </c>
      <c r="C20" s="7">
        <f>COUNTIFS(Raspored!$C$5:$C$36,$A20,Raspored!$E$5:$E$36,"x")</f>
        <v/>
      </c>
      <c r="D20" s="7">
        <f>COUNTIFS(Raspored!$C$5:$C$36,$A20,Raspored!$F$5:$F$36,"x")</f>
        <v/>
      </c>
    </row>
    <row r="21">
      <c r="A21" s="15" t="inlineStr">
        <is>
          <t>listopad</t>
        </is>
      </c>
      <c r="B21" s="7">
        <f>COUNTIFS(Raspored!$C$5:$C$36,$A21,Raspored!$D$5:$D$36,"x")</f>
        <v/>
      </c>
      <c r="C21" s="7">
        <f>COUNTIFS(Raspored!$C$5:$C$36,$A21,Raspored!$E$5:$E$36,"x")</f>
        <v/>
      </c>
      <c r="D21" s="7">
        <f>COUNTIFS(Raspored!$C$5:$C$36,$A21,Raspored!$F$5:$F$36,"x")</f>
        <v/>
      </c>
    </row>
    <row r="22">
      <c r="A22" s="15" t="inlineStr">
        <is>
          <t>studeni</t>
        </is>
      </c>
      <c r="B22" s="7">
        <f>COUNTIFS(Raspored!$C$5:$C$36,$A22,Raspored!$D$5:$D$36,"x")</f>
        <v/>
      </c>
      <c r="C22" s="7">
        <f>COUNTIFS(Raspored!$C$5:$C$36,$A22,Raspored!$E$5:$E$36,"x")</f>
        <v/>
      </c>
      <c r="D22" s="7">
        <f>COUNTIFS(Raspored!$C$5:$C$36,$A22,Raspored!$F$5:$F$36,"x")</f>
        <v/>
      </c>
    </row>
    <row r="23">
      <c r="A23" s="15" t="inlineStr">
        <is>
          <t>prosinac</t>
        </is>
      </c>
      <c r="B23" s="7">
        <f>COUNTIFS(Raspored!$C$5:$C$36,$A23,Raspored!$D$5:$D$36,"x")</f>
        <v/>
      </c>
      <c r="C23" s="7">
        <f>COUNTIFS(Raspored!$C$5:$C$36,$A23,Raspored!$E$5:$E$36,"x")</f>
        <v/>
      </c>
      <c r="D23" s="7">
        <f>COUNTIFS(Raspored!$C$5:$C$36,$A23,Raspored!$F$5:$F$36,"x")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utorkom).</t>
        </is>
      </c>
    </row>
    <row r="28">
      <c r="A28" s="19" t="inlineStr">
        <is>
          <t>• Miješani komunalni otpad odvozi se svaki drugi tjedan, a reciklabilni otpad (papir, karton, plastika, aluminijska i metalna ambalaža) svaki četvrti tjedan zajedno s miješanim, na dan skupine.</t>
        </is>
      </c>
    </row>
    <row r="29">
      <c r="A29" s="19" t="inlineStr">
        <is>
          <t>• Staklo se odvozi prvog utorka u mjesecu (zeleni okvir u kalendaru); u raspored je upisano svim skupinama.</t>
        </is>
      </c>
    </row>
    <row r="30">
      <c r="A30" s="19" t="inlineStr">
        <is>
          <t>• Blagdanski pomaci prema napomenama u kalendaru su uključeni.</t>
        </is>
      </c>
    </row>
    <row r="31">
      <c r="A31" s="19" t="inlineStr">
        <is>
          <t>• Poslovni subjekti imaju zaseban raspored odvoza miješanog otpada (narančasto u kalendaru); nije uključen.</t>
        </is>
      </c>
    </row>
    <row r="32">
      <c r="A32" s="19" t="inlineStr">
        <is>
          <t>• Informacije: Komunalac d.o.o. Vrbovsko, Željeznička 1A, tel. 051 875 278.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1" customWidth="1" min="6" max="6"/>
    <col width="44" customWidth="1" min="7" max="7"/>
  </cols>
  <sheetData>
    <row r="1">
      <c r="A1" s="1" t="inlineStr">
        <is>
          <t>Raspored odvoza otpada 2026., Zona 2 (Vrbovsko)</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Reciklabilni otpad (papir, karton, plastika, metal)</t>
        </is>
      </c>
      <c r="F4" s="14" t="inlineStr">
        <is>
          <t>Staklo</t>
        </is>
      </c>
      <c r="G4" s="4" t="inlineStr">
        <is>
          <t>Napomena</t>
        </is>
      </c>
    </row>
    <row r="5">
      <c r="A5" s="21" t="n">
        <v>46035</v>
      </c>
      <c r="B5" s="22" t="inlineStr">
        <is>
          <t>utorak</t>
        </is>
      </c>
      <c r="C5" s="7" t="inlineStr">
        <is>
          <t>siječanj</t>
        </is>
      </c>
      <c r="D5" s="7" t="inlineStr">
        <is>
          <t>x</t>
        </is>
      </c>
      <c r="E5" s="7" t="inlineStr">
        <is>
          <t>x</t>
        </is>
      </c>
      <c r="F5" s="7" t="inlineStr">
        <is>
          <t>x</t>
        </is>
      </c>
      <c r="G5" s="23" t="inlineStr">
        <is>
          <t>Pomaknuto zbog neradnog dana u tjednu</t>
        </is>
      </c>
    </row>
    <row r="6">
      <c r="A6" s="6" t="n">
        <v>46042</v>
      </c>
      <c r="B6" s="7" t="inlineStr">
        <is>
          <t>utorak</t>
        </is>
      </c>
      <c r="C6" s="7" t="inlineStr">
        <is>
          <t>siječanj</t>
        </is>
      </c>
      <c r="D6" s="7" t="inlineStr">
        <is>
          <t>x</t>
        </is>
      </c>
      <c r="E6" s="7" t="n"/>
      <c r="F6" s="7" t="n"/>
      <c r="G6" s="23" t="n"/>
    </row>
    <row r="7">
      <c r="A7" s="6" t="n">
        <v>46056</v>
      </c>
      <c r="B7" s="7" t="inlineStr">
        <is>
          <t>utorak</t>
        </is>
      </c>
      <c r="C7" s="7" t="inlineStr">
        <is>
          <t>veljača</t>
        </is>
      </c>
      <c r="D7" s="7" t="inlineStr">
        <is>
          <t>x</t>
        </is>
      </c>
      <c r="E7" s="7" t="inlineStr">
        <is>
          <t>x</t>
        </is>
      </c>
      <c r="F7" s="7" t="inlineStr">
        <is>
          <t>x</t>
        </is>
      </c>
      <c r="G7" s="23" t="n"/>
    </row>
    <row r="8">
      <c r="A8" s="6" t="n">
        <v>46070</v>
      </c>
      <c r="B8" s="7" t="inlineStr">
        <is>
          <t>utorak</t>
        </is>
      </c>
      <c r="C8" s="7" t="inlineStr">
        <is>
          <t>veljača</t>
        </is>
      </c>
      <c r="D8" s="7" t="inlineStr">
        <is>
          <t>x</t>
        </is>
      </c>
      <c r="E8" s="7" t="n"/>
      <c r="F8" s="7" t="n"/>
      <c r="G8" s="23" t="n"/>
    </row>
    <row r="9">
      <c r="A9" s="6" t="n">
        <v>46084</v>
      </c>
      <c r="B9" s="7" t="inlineStr">
        <is>
          <t>utorak</t>
        </is>
      </c>
      <c r="C9" s="7" t="inlineStr">
        <is>
          <t>ožujak</t>
        </is>
      </c>
      <c r="D9" s="7" t="inlineStr">
        <is>
          <t>x</t>
        </is>
      </c>
      <c r="E9" s="7" t="inlineStr">
        <is>
          <t>x</t>
        </is>
      </c>
      <c r="F9" s="7" t="inlineStr">
        <is>
          <t>x</t>
        </is>
      </c>
      <c r="G9" s="23" t="n"/>
    </row>
    <row r="10">
      <c r="A10" s="6" t="n">
        <v>46098</v>
      </c>
      <c r="B10" s="7" t="inlineStr">
        <is>
          <t>utorak</t>
        </is>
      </c>
      <c r="C10" s="7" t="inlineStr">
        <is>
          <t>ožujak</t>
        </is>
      </c>
      <c r="D10" s="7" t="inlineStr">
        <is>
          <t>x</t>
        </is>
      </c>
      <c r="E10" s="7" t="n"/>
      <c r="F10" s="7" t="n"/>
      <c r="G10" s="23" t="n"/>
    </row>
    <row r="11">
      <c r="A11" s="6" t="n">
        <v>46112</v>
      </c>
      <c r="B11" s="7" t="inlineStr">
        <is>
          <t>utorak</t>
        </is>
      </c>
      <c r="C11" s="7" t="inlineStr">
        <is>
          <t>ožujak</t>
        </is>
      </c>
      <c r="D11" s="7" t="inlineStr">
        <is>
          <t>x</t>
        </is>
      </c>
      <c r="E11" s="7" t="n"/>
      <c r="F11" s="7" t="n"/>
      <c r="G11" s="23" t="n"/>
    </row>
    <row r="12">
      <c r="A12" s="6" t="n">
        <v>46119</v>
      </c>
      <c r="B12" s="7" t="inlineStr">
        <is>
          <t>utorak</t>
        </is>
      </c>
      <c r="C12" s="7" t="inlineStr">
        <is>
          <t>travanj</t>
        </is>
      </c>
      <c r="D12" s="7" t="inlineStr">
        <is>
          <t>x</t>
        </is>
      </c>
      <c r="E12" s="7" t="inlineStr">
        <is>
          <t>x</t>
        </is>
      </c>
      <c r="F12" s="7" t="inlineStr">
        <is>
          <t>x</t>
        </is>
      </c>
      <c r="G12" s="23" t="n"/>
    </row>
    <row r="13">
      <c r="A13" s="6" t="n">
        <v>46133</v>
      </c>
      <c r="B13" s="7" t="inlineStr">
        <is>
          <t>utorak</t>
        </is>
      </c>
      <c r="C13" s="7" t="inlineStr">
        <is>
          <t>travanj</t>
        </is>
      </c>
      <c r="D13" s="7" t="inlineStr">
        <is>
          <t>x</t>
        </is>
      </c>
      <c r="E13" s="7" t="n"/>
      <c r="F13" s="7" t="n"/>
      <c r="G13" s="23" t="n"/>
    </row>
    <row r="14">
      <c r="A14" s="6" t="n">
        <v>46147</v>
      </c>
      <c r="B14" s="7" t="inlineStr">
        <is>
          <t>utorak</t>
        </is>
      </c>
      <c r="C14" s="7" t="inlineStr">
        <is>
          <t>svibanj</t>
        </is>
      </c>
      <c r="D14" s="7" t="inlineStr">
        <is>
          <t>x</t>
        </is>
      </c>
      <c r="E14" s="7" t="inlineStr">
        <is>
          <t>x</t>
        </is>
      </c>
      <c r="F14" s="7" t="inlineStr">
        <is>
          <t>x</t>
        </is>
      </c>
      <c r="G14" s="23" t="n"/>
    </row>
    <row r="15">
      <c r="A15" s="6" t="n">
        <v>46161</v>
      </c>
      <c r="B15" s="7" t="inlineStr">
        <is>
          <t>utorak</t>
        </is>
      </c>
      <c r="C15" s="7" t="inlineStr">
        <is>
          <t>svibanj</t>
        </is>
      </c>
      <c r="D15" s="7" t="inlineStr">
        <is>
          <t>x</t>
        </is>
      </c>
      <c r="E15" s="7" t="n"/>
      <c r="F15" s="7" t="n"/>
      <c r="G15" s="23" t="n"/>
    </row>
    <row r="16">
      <c r="A16" s="6" t="n">
        <v>46175</v>
      </c>
      <c r="B16" s="7" t="inlineStr">
        <is>
          <t>utorak</t>
        </is>
      </c>
      <c r="C16" s="7" t="inlineStr">
        <is>
          <t>lipanj</t>
        </is>
      </c>
      <c r="D16" s="7" t="inlineStr">
        <is>
          <t>x</t>
        </is>
      </c>
      <c r="E16" s="7" t="inlineStr">
        <is>
          <t>x</t>
        </is>
      </c>
      <c r="F16" s="7" t="inlineStr">
        <is>
          <t>x</t>
        </is>
      </c>
      <c r="G16" s="23" t="n"/>
    </row>
    <row r="17">
      <c r="A17" s="6" t="n">
        <v>46189</v>
      </c>
      <c r="B17" s="7" t="inlineStr">
        <is>
          <t>utorak</t>
        </is>
      </c>
      <c r="C17" s="7" t="inlineStr">
        <is>
          <t>lipanj</t>
        </is>
      </c>
      <c r="D17" s="7" t="inlineStr">
        <is>
          <t>x</t>
        </is>
      </c>
      <c r="E17" s="7" t="inlineStr">
        <is>
          <t>x</t>
        </is>
      </c>
      <c r="F17" s="7" t="n"/>
      <c r="G17" s="23" t="n"/>
    </row>
    <row r="18">
      <c r="A18" s="6" t="n">
        <v>46203</v>
      </c>
      <c r="B18" s="7" t="inlineStr">
        <is>
          <t>utorak</t>
        </is>
      </c>
      <c r="C18" s="7" t="inlineStr">
        <is>
          <t>lipanj</t>
        </is>
      </c>
      <c r="D18" s="7" t="inlineStr">
        <is>
          <t>x</t>
        </is>
      </c>
      <c r="E18" s="7" t="n"/>
      <c r="F18" s="7" t="n"/>
      <c r="G18" s="23" t="n"/>
    </row>
    <row r="19">
      <c r="A19" s="6" t="n">
        <v>46210</v>
      </c>
      <c r="B19" s="7" t="inlineStr">
        <is>
          <t>utorak</t>
        </is>
      </c>
      <c r="C19" s="7" t="inlineStr">
        <is>
          <t>srpanj</t>
        </is>
      </c>
      <c r="D19" s="7" t="inlineStr">
        <is>
          <t>x</t>
        </is>
      </c>
      <c r="E19" s="7" t="inlineStr">
        <is>
          <t>x</t>
        </is>
      </c>
      <c r="F19" s="7" t="inlineStr">
        <is>
          <t>x</t>
        </is>
      </c>
      <c r="G19" s="23" t="n"/>
    </row>
    <row r="20">
      <c r="A20" s="6" t="n">
        <v>46217</v>
      </c>
      <c r="B20" s="7" t="inlineStr">
        <is>
          <t>utorak</t>
        </is>
      </c>
      <c r="C20" s="7" t="inlineStr">
        <is>
          <t>srpanj</t>
        </is>
      </c>
      <c r="D20" s="7" t="inlineStr">
        <is>
          <t>x</t>
        </is>
      </c>
      <c r="E20" s="7" t="n"/>
      <c r="F20" s="7" t="n"/>
      <c r="G20" s="23" t="n"/>
    </row>
    <row r="21">
      <c r="A21" s="6" t="n">
        <v>46224</v>
      </c>
      <c r="B21" s="7" t="inlineStr">
        <is>
          <t>utorak</t>
        </is>
      </c>
      <c r="C21" s="7" t="inlineStr">
        <is>
          <t>srpanj</t>
        </is>
      </c>
      <c r="D21" s="7" t="inlineStr">
        <is>
          <t>x</t>
        </is>
      </c>
      <c r="E21" s="7" t="inlineStr">
        <is>
          <t>x</t>
        </is>
      </c>
      <c r="F21" s="7" t="n"/>
      <c r="G21" s="23" t="n"/>
    </row>
    <row r="22">
      <c r="A22" s="6" t="n">
        <v>46231</v>
      </c>
      <c r="B22" s="7" t="inlineStr">
        <is>
          <t>utorak</t>
        </is>
      </c>
      <c r="C22" s="7" t="inlineStr">
        <is>
          <t>srpanj</t>
        </is>
      </c>
      <c r="D22" s="7" t="inlineStr">
        <is>
          <t>x</t>
        </is>
      </c>
      <c r="E22" s="7" t="n"/>
      <c r="F22" s="7" t="n"/>
      <c r="G22" s="23" t="n"/>
    </row>
    <row r="23">
      <c r="A23" s="6" t="n">
        <v>46238</v>
      </c>
      <c r="B23" s="7" t="inlineStr">
        <is>
          <t>utorak</t>
        </is>
      </c>
      <c r="C23" s="7" t="inlineStr">
        <is>
          <t>kolovoz</t>
        </is>
      </c>
      <c r="D23" s="7" t="inlineStr">
        <is>
          <t>x</t>
        </is>
      </c>
      <c r="E23" s="7" t="inlineStr">
        <is>
          <t>x</t>
        </is>
      </c>
      <c r="F23" s="7" t="inlineStr">
        <is>
          <t>x</t>
        </is>
      </c>
      <c r="G23" s="23" t="n"/>
    </row>
    <row r="24">
      <c r="A24" s="6" t="n">
        <v>46245</v>
      </c>
      <c r="B24" s="7" t="inlineStr">
        <is>
          <t>utorak</t>
        </is>
      </c>
      <c r="C24" s="7" t="inlineStr">
        <is>
          <t>kolovoz</t>
        </is>
      </c>
      <c r="D24" s="7" t="inlineStr">
        <is>
          <t>x</t>
        </is>
      </c>
      <c r="E24" s="7" t="n"/>
      <c r="F24" s="7" t="n"/>
      <c r="G24" s="23" t="n"/>
    </row>
    <row r="25">
      <c r="A25" s="6" t="n">
        <v>46252</v>
      </c>
      <c r="B25" s="7" t="inlineStr">
        <is>
          <t>utorak</t>
        </is>
      </c>
      <c r="C25" s="7" t="inlineStr">
        <is>
          <t>kolovoz</t>
        </is>
      </c>
      <c r="D25" s="7" t="inlineStr">
        <is>
          <t>x</t>
        </is>
      </c>
      <c r="E25" s="7" t="inlineStr">
        <is>
          <t>x</t>
        </is>
      </c>
      <c r="F25" s="7" t="n"/>
      <c r="G25" s="23" t="n"/>
    </row>
    <row r="26">
      <c r="A26" s="6" t="n">
        <v>46259</v>
      </c>
      <c r="B26" s="7" t="inlineStr">
        <is>
          <t>utorak</t>
        </is>
      </c>
      <c r="C26" s="7" t="inlineStr">
        <is>
          <t>kolovoz</t>
        </is>
      </c>
      <c r="D26" s="7" t="inlineStr">
        <is>
          <t>x</t>
        </is>
      </c>
      <c r="E26" s="7" t="n"/>
      <c r="F26" s="7" t="n"/>
      <c r="G26" s="23" t="n"/>
    </row>
    <row r="27">
      <c r="A27" s="6" t="n">
        <v>46266</v>
      </c>
      <c r="B27" s="7" t="inlineStr">
        <is>
          <t>utorak</t>
        </is>
      </c>
      <c r="C27" s="7" t="inlineStr">
        <is>
          <t>rujan</t>
        </is>
      </c>
      <c r="D27" s="7" t="inlineStr">
        <is>
          <t>x</t>
        </is>
      </c>
      <c r="E27" s="7" t="inlineStr">
        <is>
          <t>x</t>
        </is>
      </c>
      <c r="F27" s="7" t="inlineStr">
        <is>
          <t>x</t>
        </is>
      </c>
      <c r="G27" s="23" t="n"/>
    </row>
    <row r="28">
      <c r="A28" s="6" t="n">
        <v>46273</v>
      </c>
      <c r="B28" s="7" t="inlineStr">
        <is>
          <t>utorak</t>
        </is>
      </c>
      <c r="C28" s="7" t="inlineStr">
        <is>
          <t>rujan</t>
        </is>
      </c>
      <c r="D28" s="7" t="inlineStr">
        <is>
          <t>x</t>
        </is>
      </c>
      <c r="E28" s="7" t="n"/>
      <c r="F28" s="7" t="n"/>
      <c r="G28" s="23" t="n"/>
    </row>
    <row r="29">
      <c r="A29" s="6" t="n">
        <v>46287</v>
      </c>
      <c r="B29" s="7" t="inlineStr">
        <is>
          <t>utorak</t>
        </is>
      </c>
      <c r="C29" s="7" t="inlineStr">
        <is>
          <t>rujan</t>
        </is>
      </c>
      <c r="D29" s="7" t="inlineStr">
        <is>
          <t>x</t>
        </is>
      </c>
      <c r="E29" s="7" t="inlineStr">
        <is>
          <t>x</t>
        </is>
      </c>
      <c r="F29" s="7" t="n"/>
      <c r="G29" s="23" t="n"/>
    </row>
    <row r="30">
      <c r="A30" s="6" t="n">
        <v>46301</v>
      </c>
      <c r="B30" s="7" t="inlineStr">
        <is>
          <t>utorak</t>
        </is>
      </c>
      <c r="C30" s="7" t="inlineStr">
        <is>
          <t>listopad</t>
        </is>
      </c>
      <c r="D30" s="7" t="inlineStr">
        <is>
          <t>x</t>
        </is>
      </c>
      <c r="E30" s="7" t="inlineStr">
        <is>
          <t>x</t>
        </is>
      </c>
      <c r="F30" s="7" t="inlineStr">
        <is>
          <t>x</t>
        </is>
      </c>
      <c r="G30" s="23" t="n"/>
    </row>
    <row r="31">
      <c r="A31" s="6" t="n">
        <v>46315</v>
      </c>
      <c r="B31" s="7" t="inlineStr">
        <is>
          <t>utorak</t>
        </is>
      </c>
      <c r="C31" s="7" t="inlineStr">
        <is>
          <t>listopad</t>
        </is>
      </c>
      <c r="D31" s="7" t="inlineStr">
        <is>
          <t>x</t>
        </is>
      </c>
      <c r="E31" s="7" t="n"/>
      <c r="F31" s="7" t="n"/>
      <c r="G31" s="23" t="n"/>
    </row>
    <row r="32">
      <c r="A32" s="6" t="n">
        <v>46329</v>
      </c>
      <c r="B32" s="7" t="inlineStr">
        <is>
          <t>utorak</t>
        </is>
      </c>
      <c r="C32" s="7" t="inlineStr">
        <is>
          <t>studeni</t>
        </is>
      </c>
      <c r="D32" s="7" t="inlineStr">
        <is>
          <t>x</t>
        </is>
      </c>
      <c r="E32" s="7" t="inlineStr">
        <is>
          <t>x</t>
        </is>
      </c>
      <c r="F32" s="7" t="inlineStr">
        <is>
          <t>x</t>
        </is>
      </c>
      <c r="G32" s="23" t="n"/>
    </row>
    <row r="33">
      <c r="A33" s="6" t="n">
        <v>46343</v>
      </c>
      <c r="B33" s="7" t="inlineStr">
        <is>
          <t>utorak</t>
        </is>
      </c>
      <c r="C33" s="7" t="inlineStr">
        <is>
          <t>studeni</t>
        </is>
      </c>
      <c r="D33" s="7" t="inlineStr">
        <is>
          <t>x</t>
        </is>
      </c>
      <c r="E33" s="7" t="n"/>
      <c r="F33" s="7" t="n"/>
      <c r="G33" s="23" t="n"/>
    </row>
    <row r="34">
      <c r="A34" s="6" t="n">
        <v>46357</v>
      </c>
      <c r="B34" s="7" t="inlineStr">
        <is>
          <t>utorak</t>
        </is>
      </c>
      <c r="C34" s="7" t="inlineStr">
        <is>
          <t>prosinac</t>
        </is>
      </c>
      <c r="D34" s="7" t="inlineStr">
        <is>
          <t>x</t>
        </is>
      </c>
      <c r="E34" s="7" t="inlineStr">
        <is>
          <t>x</t>
        </is>
      </c>
      <c r="F34" s="7" t="inlineStr">
        <is>
          <t>x</t>
        </is>
      </c>
      <c r="G34" s="23" t="n"/>
    </row>
    <row r="35">
      <c r="A35" s="6" t="n">
        <v>46371</v>
      </c>
      <c r="B35" s="7" t="inlineStr">
        <is>
          <t>utorak</t>
        </is>
      </c>
      <c r="C35" s="7" t="inlineStr">
        <is>
          <t>prosinac</t>
        </is>
      </c>
      <c r="D35" s="7" t="inlineStr">
        <is>
          <t>x</t>
        </is>
      </c>
      <c r="E35" s="7" t="n"/>
      <c r="F35" s="7" t="n"/>
      <c r="G35" s="23" t="n"/>
    </row>
    <row r="36">
      <c r="A36" s="6" t="n">
        <v>46385</v>
      </c>
      <c r="B36" s="7" t="inlineStr">
        <is>
          <t>utorak</t>
        </is>
      </c>
      <c r="C36" s="7" t="inlineStr">
        <is>
          <t>prosinac</t>
        </is>
      </c>
      <c r="D36" s="7" t="inlineStr">
        <is>
          <t>x</t>
        </is>
      </c>
      <c r="E36" s="7" t="n"/>
      <c r="F36" s="7" t="n"/>
      <c r="G36" s="23" t="n"/>
    </row>
  </sheetData>
  <autoFilter ref="A4:G36"/>
  <conditionalFormatting sqref="D5:D36">
    <cfRule type="expression" priority="1" dxfId="0">
      <formula>D5="x"</formula>
    </cfRule>
  </conditionalFormatting>
  <conditionalFormatting sqref="E5:E36">
    <cfRule type="expression" priority="2" dxfId="1">
      <formula>E5="x"</formula>
    </cfRule>
  </conditionalFormatting>
  <conditionalFormatting sqref="F5:F36">
    <cfRule type="expression" priority="3" dxfId="2">
      <formula>F5="x"</formula>
    </cfRule>
  </conditionalFormatting>
  <conditionalFormatting sqref="A5:G3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46035</v>
      </c>
      <c r="B2" s="15" t="inlineStr">
        <is>
          <t>utorak</t>
        </is>
      </c>
      <c r="C2" s="5" t="inlineStr">
        <is>
          <t>Miješani komunalni otpad</t>
        </is>
      </c>
      <c r="D2" s="15" t="inlineStr">
        <is>
          <t>Pomaknuto zbog neradnog dana u tjednu</t>
        </is>
      </c>
    </row>
    <row r="3">
      <c r="A3" s="24" t="n">
        <v>46035</v>
      </c>
      <c r="B3" s="15" t="inlineStr">
        <is>
          <t>utorak</t>
        </is>
      </c>
      <c r="C3" s="9" t="inlineStr">
        <is>
          <t>Reciklabilni otpad (papir, karton, plastika, metal)</t>
        </is>
      </c>
      <c r="D3" s="15" t="inlineStr">
        <is>
          <t>Pomaknuto zbog neradnog dana u tjednu</t>
        </is>
      </c>
    </row>
    <row r="4">
      <c r="A4" s="24" t="n">
        <v>46035</v>
      </c>
      <c r="B4" s="15" t="inlineStr">
        <is>
          <t>utorak</t>
        </is>
      </c>
      <c r="C4" s="10" t="inlineStr">
        <is>
          <t>Staklo</t>
        </is>
      </c>
      <c r="D4" s="15" t="inlineStr">
        <is>
          <t>Pomaknuto zbog neradnog dana u tjednu</t>
        </is>
      </c>
    </row>
    <row r="5">
      <c r="A5" s="24" t="n">
        <v>46042</v>
      </c>
      <c r="B5" s="15" t="inlineStr">
        <is>
          <t>utorak</t>
        </is>
      </c>
      <c r="C5" s="5" t="inlineStr">
        <is>
          <t>Miješani komunalni otpad</t>
        </is>
      </c>
      <c r="D5" s="15" t="n"/>
    </row>
    <row r="6">
      <c r="A6" s="24" t="n">
        <v>46056</v>
      </c>
      <c r="B6" s="15" t="inlineStr">
        <is>
          <t>utorak</t>
        </is>
      </c>
      <c r="C6" s="5" t="inlineStr">
        <is>
          <t>Miješani komunalni otpad</t>
        </is>
      </c>
      <c r="D6" s="15" t="n"/>
    </row>
    <row r="7">
      <c r="A7" s="24" t="n">
        <v>46056</v>
      </c>
      <c r="B7" s="15" t="inlineStr">
        <is>
          <t>utorak</t>
        </is>
      </c>
      <c r="C7" s="9" t="inlineStr">
        <is>
          <t>Reciklabilni otpad (papir, karton, plastika, metal)</t>
        </is>
      </c>
      <c r="D7" s="15" t="n"/>
    </row>
    <row r="8">
      <c r="A8" s="24" t="n">
        <v>46056</v>
      </c>
      <c r="B8" s="15" t="inlineStr">
        <is>
          <t>utorak</t>
        </is>
      </c>
      <c r="C8" s="10" t="inlineStr">
        <is>
          <t>Staklo</t>
        </is>
      </c>
      <c r="D8" s="15" t="n"/>
    </row>
    <row r="9">
      <c r="A9" s="24" t="n">
        <v>46070</v>
      </c>
      <c r="B9" s="15" t="inlineStr">
        <is>
          <t>utorak</t>
        </is>
      </c>
      <c r="C9" s="5" t="inlineStr">
        <is>
          <t>Miješani komunalni otpad</t>
        </is>
      </c>
      <c r="D9" s="15" t="n"/>
    </row>
    <row r="10">
      <c r="A10" s="24" t="n">
        <v>46084</v>
      </c>
      <c r="B10" s="15" t="inlineStr">
        <is>
          <t>utorak</t>
        </is>
      </c>
      <c r="C10" s="5" t="inlineStr">
        <is>
          <t>Miješani komunalni otpad</t>
        </is>
      </c>
      <c r="D10" s="15" t="n"/>
    </row>
    <row r="11">
      <c r="A11" s="24" t="n">
        <v>46084</v>
      </c>
      <c r="B11" s="15" t="inlineStr">
        <is>
          <t>utorak</t>
        </is>
      </c>
      <c r="C11" s="9" t="inlineStr">
        <is>
          <t>Reciklabilni otpad (papir, karton, plastika, metal)</t>
        </is>
      </c>
      <c r="D11" s="15" t="n"/>
    </row>
    <row r="12">
      <c r="A12" s="24" t="n">
        <v>46084</v>
      </c>
      <c r="B12" s="15" t="inlineStr">
        <is>
          <t>utorak</t>
        </is>
      </c>
      <c r="C12" s="10" t="inlineStr">
        <is>
          <t>Staklo</t>
        </is>
      </c>
      <c r="D12" s="15" t="n"/>
    </row>
    <row r="13">
      <c r="A13" s="24" t="n">
        <v>46098</v>
      </c>
      <c r="B13" s="15" t="inlineStr">
        <is>
          <t>utorak</t>
        </is>
      </c>
      <c r="C13" s="5" t="inlineStr">
        <is>
          <t>Miješani komunalni otpad</t>
        </is>
      </c>
      <c r="D13" s="15" t="n"/>
    </row>
    <row r="14">
      <c r="A14" s="24" t="n">
        <v>46112</v>
      </c>
      <c r="B14" s="15" t="inlineStr">
        <is>
          <t>utorak</t>
        </is>
      </c>
      <c r="C14" s="5" t="inlineStr">
        <is>
          <t>Miješani komunalni otpad</t>
        </is>
      </c>
      <c r="D14" s="15" t="n"/>
    </row>
    <row r="15">
      <c r="A15" s="24" t="n">
        <v>46119</v>
      </c>
      <c r="B15" s="15" t="inlineStr">
        <is>
          <t>utorak</t>
        </is>
      </c>
      <c r="C15" s="5" t="inlineStr">
        <is>
          <t>Miješani komunalni otpad</t>
        </is>
      </c>
      <c r="D15" s="15" t="n"/>
    </row>
    <row r="16">
      <c r="A16" s="24" t="n">
        <v>46119</v>
      </c>
      <c r="B16" s="15" t="inlineStr">
        <is>
          <t>utorak</t>
        </is>
      </c>
      <c r="C16" s="9" t="inlineStr">
        <is>
          <t>Reciklabilni otpad (papir, karton, plastika, metal)</t>
        </is>
      </c>
      <c r="D16" s="15" t="n"/>
    </row>
    <row r="17">
      <c r="A17" s="24" t="n">
        <v>46119</v>
      </c>
      <c r="B17" s="15" t="inlineStr">
        <is>
          <t>utorak</t>
        </is>
      </c>
      <c r="C17" s="10" t="inlineStr">
        <is>
          <t>Staklo</t>
        </is>
      </c>
      <c r="D17" s="15" t="n"/>
    </row>
    <row r="18">
      <c r="A18" s="24" t="n">
        <v>46133</v>
      </c>
      <c r="B18" s="15" t="inlineStr">
        <is>
          <t>utorak</t>
        </is>
      </c>
      <c r="C18" s="5" t="inlineStr">
        <is>
          <t>Miješani komunalni otpad</t>
        </is>
      </c>
      <c r="D18" s="15" t="n"/>
    </row>
    <row r="19">
      <c r="A19" s="24" t="n">
        <v>46147</v>
      </c>
      <c r="B19" s="15" t="inlineStr">
        <is>
          <t>utorak</t>
        </is>
      </c>
      <c r="C19" s="5" t="inlineStr">
        <is>
          <t>Miješani komunalni otpad</t>
        </is>
      </c>
      <c r="D19" s="15" t="n"/>
    </row>
    <row r="20">
      <c r="A20" s="24" t="n">
        <v>46147</v>
      </c>
      <c r="B20" s="15" t="inlineStr">
        <is>
          <t>utorak</t>
        </is>
      </c>
      <c r="C20" s="9" t="inlineStr">
        <is>
          <t>Reciklabilni otpad (papir, karton, plastika, metal)</t>
        </is>
      </c>
      <c r="D20" s="15" t="n"/>
    </row>
    <row r="21">
      <c r="A21" s="24" t="n">
        <v>46147</v>
      </c>
      <c r="B21" s="15" t="inlineStr">
        <is>
          <t>utorak</t>
        </is>
      </c>
      <c r="C21" s="10" t="inlineStr">
        <is>
          <t>Staklo</t>
        </is>
      </c>
      <c r="D21" s="15" t="n"/>
    </row>
    <row r="22">
      <c r="A22" s="24" t="n">
        <v>46161</v>
      </c>
      <c r="B22" s="15" t="inlineStr">
        <is>
          <t>utorak</t>
        </is>
      </c>
      <c r="C22" s="5" t="inlineStr">
        <is>
          <t>Miješani komunalni otpad</t>
        </is>
      </c>
      <c r="D22" s="15" t="n"/>
    </row>
    <row r="23">
      <c r="A23" s="24" t="n">
        <v>46175</v>
      </c>
      <c r="B23" s="15" t="inlineStr">
        <is>
          <t>utorak</t>
        </is>
      </c>
      <c r="C23" s="5" t="inlineStr">
        <is>
          <t>Miješani komunalni otpad</t>
        </is>
      </c>
      <c r="D23" s="15" t="n"/>
    </row>
    <row r="24">
      <c r="A24" s="24" t="n">
        <v>46175</v>
      </c>
      <c r="B24" s="15" t="inlineStr">
        <is>
          <t>utorak</t>
        </is>
      </c>
      <c r="C24" s="9" t="inlineStr">
        <is>
          <t>Reciklabilni otpad (papir, karton, plastika, metal)</t>
        </is>
      </c>
      <c r="D24" s="15" t="n"/>
    </row>
    <row r="25">
      <c r="A25" s="24" t="n">
        <v>46175</v>
      </c>
      <c r="B25" s="15" t="inlineStr">
        <is>
          <t>utorak</t>
        </is>
      </c>
      <c r="C25" s="10" t="inlineStr">
        <is>
          <t>Staklo</t>
        </is>
      </c>
      <c r="D25" s="15" t="n"/>
    </row>
    <row r="26">
      <c r="A26" s="24" t="n">
        <v>46189</v>
      </c>
      <c r="B26" s="15" t="inlineStr">
        <is>
          <t>utorak</t>
        </is>
      </c>
      <c r="C26" s="5" t="inlineStr">
        <is>
          <t>Miješani komunalni otpad</t>
        </is>
      </c>
      <c r="D26" s="15" t="n"/>
    </row>
    <row r="27">
      <c r="A27" s="24" t="n">
        <v>46189</v>
      </c>
      <c r="B27" s="15" t="inlineStr">
        <is>
          <t>utorak</t>
        </is>
      </c>
      <c r="C27" s="9" t="inlineStr">
        <is>
          <t>Reciklabilni otpad (papir, karton, plastika, metal)</t>
        </is>
      </c>
      <c r="D27" s="15" t="n"/>
    </row>
    <row r="28">
      <c r="A28" s="24" t="n">
        <v>46203</v>
      </c>
      <c r="B28" s="15" t="inlineStr">
        <is>
          <t>utorak</t>
        </is>
      </c>
      <c r="C28" s="5" t="inlineStr">
        <is>
          <t>Miješani komunalni otpad</t>
        </is>
      </c>
      <c r="D28" s="15" t="n"/>
    </row>
    <row r="29">
      <c r="A29" s="24" t="n">
        <v>46210</v>
      </c>
      <c r="B29" s="15" t="inlineStr">
        <is>
          <t>utorak</t>
        </is>
      </c>
      <c r="C29" s="5" t="inlineStr">
        <is>
          <t>Miješani komunalni otpad</t>
        </is>
      </c>
      <c r="D29" s="15" t="n"/>
    </row>
    <row r="30">
      <c r="A30" s="24" t="n">
        <v>46210</v>
      </c>
      <c r="B30" s="15" t="inlineStr">
        <is>
          <t>utorak</t>
        </is>
      </c>
      <c r="C30" s="9" t="inlineStr">
        <is>
          <t>Reciklabilni otpad (papir, karton, plastika, metal)</t>
        </is>
      </c>
      <c r="D30" s="15" t="n"/>
    </row>
    <row r="31">
      <c r="A31" s="24" t="n">
        <v>46210</v>
      </c>
      <c r="B31" s="15" t="inlineStr">
        <is>
          <t>utorak</t>
        </is>
      </c>
      <c r="C31" s="10" t="inlineStr">
        <is>
          <t>Staklo</t>
        </is>
      </c>
      <c r="D31" s="15" t="n"/>
    </row>
    <row r="32">
      <c r="A32" s="24" t="n">
        <v>46217</v>
      </c>
      <c r="B32" s="15" t="inlineStr">
        <is>
          <t>utorak</t>
        </is>
      </c>
      <c r="C32" s="5" t="inlineStr">
        <is>
          <t>Miješani komunalni otpad</t>
        </is>
      </c>
      <c r="D32" s="15" t="n"/>
    </row>
    <row r="33">
      <c r="A33" s="24" t="n">
        <v>46224</v>
      </c>
      <c r="B33" s="15" t="inlineStr">
        <is>
          <t>utorak</t>
        </is>
      </c>
      <c r="C33" s="5" t="inlineStr">
        <is>
          <t>Miješani komunalni otpad</t>
        </is>
      </c>
      <c r="D33" s="15" t="n"/>
    </row>
    <row r="34">
      <c r="A34" s="24" t="n">
        <v>46224</v>
      </c>
      <c r="B34" s="15" t="inlineStr">
        <is>
          <t>utorak</t>
        </is>
      </c>
      <c r="C34" s="9" t="inlineStr">
        <is>
          <t>Reciklabilni otpad (papir, karton, plastika, metal)</t>
        </is>
      </c>
      <c r="D34" s="15" t="n"/>
    </row>
    <row r="35">
      <c r="A35" s="24" t="n">
        <v>46231</v>
      </c>
      <c r="B35" s="15" t="inlineStr">
        <is>
          <t>utorak</t>
        </is>
      </c>
      <c r="C35" s="5" t="inlineStr">
        <is>
          <t>Miješani komunalni otpad</t>
        </is>
      </c>
      <c r="D35" s="15" t="n"/>
    </row>
    <row r="36">
      <c r="A36" s="24" t="n">
        <v>46238</v>
      </c>
      <c r="B36" s="15" t="inlineStr">
        <is>
          <t>utorak</t>
        </is>
      </c>
      <c r="C36" s="5" t="inlineStr">
        <is>
          <t>Miješani komunalni otpad</t>
        </is>
      </c>
      <c r="D36" s="15" t="n"/>
    </row>
    <row r="37">
      <c r="A37" s="24" t="n">
        <v>46238</v>
      </c>
      <c r="B37" s="15" t="inlineStr">
        <is>
          <t>utorak</t>
        </is>
      </c>
      <c r="C37" s="9" t="inlineStr">
        <is>
          <t>Reciklabilni otpad (papir, karton, plastika, metal)</t>
        </is>
      </c>
      <c r="D37" s="15" t="n"/>
    </row>
    <row r="38">
      <c r="A38" s="24" t="n">
        <v>46238</v>
      </c>
      <c r="B38" s="15" t="inlineStr">
        <is>
          <t>utorak</t>
        </is>
      </c>
      <c r="C38" s="10" t="inlineStr">
        <is>
          <t>Staklo</t>
        </is>
      </c>
      <c r="D38" s="15" t="n"/>
    </row>
    <row r="39">
      <c r="A39" s="24" t="n">
        <v>46245</v>
      </c>
      <c r="B39" s="15" t="inlineStr">
        <is>
          <t>utorak</t>
        </is>
      </c>
      <c r="C39" s="5" t="inlineStr">
        <is>
          <t>Miješani komunalni otpad</t>
        </is>
      </c>
      <c r="D39" s="15" t="n"/>
    </row>
    <row r="40">
      <c r="A40" s="24" t="n">
        <v>46252</v>
      </c>
      <c r="B40" s="15" t="inlineStr">
        <is>
          <t>utorak</t>
        </is>
      </c>
      <c r="C40" s="5" t="inlineStr">
        <is>
          <t>Miješani komunalni otpad</t>
        </is>
      </c>
      <c r="D40" s="15" t="n"/>
    </row>
    <row r="41">
      <c r="A41" s="24" t="n">
        <v>46252</v>
      </c>
      <c r="B41" s="15" t="inlineStr">
        <is>
          <t>utorak</t>
        </is>
      </c>
      <c r="C41" s="9" t="inlineStr">
        <is>
          <t>Reciklabilni otpad (papir, karton, plastika, metal)</t>
        </is>
      </c>
      <c r="D41" s="15" t="n"/>
    </row>
    <row r="42">
      <c r="A42" s="24" t="n">
        <v>46259</v>
      </c>
      <c r="B42" s="15" t="inlineStr">
        <is>
          <t>utorak</t>
        </is>
      </c>
      <c r="C42" s="5" t="inlineStr">
        <is>
          <t>Miješani komunalni otpad</t>
        </is>
      </c>
      <c r="D42" s="15" t="n"/>
    </row>
    <row r="43">
      <c r="A43" s="24" t="n">
        <v>46266</v>
      </c>
      <c r="B43" s="15" t="inlineStr">
        <is>
          <t>utorak</t>
        </is>
      </c>
      <c r="C43" s="5" t="inlineStr">
        <is>
          <t>Miješani komunalni otpad</t>
        </is>
      </c>
      <c r="D43" s="15" t="n"/>
    </row>
    <row r="44">
      <c r="A44" s="24" t="n">
        <v>46266</v>
      </c>
      <c r="B44" s="15" t="inlineStr">
        <is>
          <t>utorak</t>
        </is>
      </c>
      <c r="C44" s="9" t="inlineStr">
        <is>
          <t>Reciklabilni otpad (papir, karton, plastika, metal)</t>
        </is>
      </c>
      <c r="D44" s="15" t="n"/>
    </row>
    <row r="45">
      <c r="A45" s="24" t="n">
        <v>46266</v>
      </c>
      <c r="B45" s="15" t="inlineStr">
        <is>
          <t>utorak</t>
        </is>
      </c>
      <c r="C45" s="10" t="inlineStr">
        <is>
          <t>Staklo</t>
        </is>
      </c>
      <c r="D45" s="15" t="n"/>
    </row>
    <row r="46">
      <c r="A46" s="24" t="n">
        <v>46273</v>
      </c>
      <c r="B46" s="15" t="inlineStr">
        <is>
          <t>utorak</t>
        </is>
      </c>
      <c r="C46" s="5" t="inlineStr">
        <is>
          <t>Miješani komunalni otpad</t>
        </is>
      </c>
      <c r="D46" s="15" t="n"/>
    </row>
    <row r="47">
      <c r="A47" s="24" t="n">
        <v>46287</v>
      </c>
      <c r="B47" s="15" t="inlineStr">
        <is>
          <t>utorak</t>
        </is>
      </c>
      <c r="C47" s="5" t="inlineStr">
        <is>
          <t>Miješani komunalni otpad</t>
        </is>
      </c>
      <c r="D47" s="15" t="n"/>
    </row>
    <row r="48">
      <c r="A48" s="24" t="n">
        <v>46287</v>
      </c>
      <c r="B48" s="15" t="inlineStr">
        <is>
          <t>utorak</t>
        </is>
      </c>
      <c r="C48" s="9" t="inlineStr">
        <is>
          <t>Reciklabilni otpad (papir, karton, plastika, metal)</t>
        </is>
      </c>
      <c r="D48" s="15" t="n"/>
    </row>
    <row r="49">
      <c r="A49" s="24" t="n">
        <v>46301</v>
      </c>
      <c r="B49" s="15" t="inlineStr">
        <is>
          <t>utorak</t>
        </is>
      </c>
      <c r="C49" s="5" t="inlineStr">
        <is>
          <t>Miješani komunalni otpad</t>
        </is>
      </c>
      <c r="D49" s="15" t="n"/>
    </row>
    <row r="50">
      <c r="A50" s="24" t="n">
        <v>46301</v>
      </c>
      <c r="B50" s="15" t="inlineStr">
        <is>
          <t>utorak</t>
        </is>
      </c>
      <c r="C50" s="9" t="inlineStr">
        <is>
          <t>Reciklabilni otpad (papir, karton, plastika, metal)</t>
        </is>
      </c>
      <c r="D50" s="15" t="n"/>
    </row>
    <row r="51">
      <c r="A51" s="24" t="n">
        <v>46301</v>
      </c>
      <c r="B51" s="15" t="inlineStr">
        <is>
          <t>utorak</t>
        </is>
      </c>
      <c r="C51" s="10" t="inlineStr">
        <is>
          <t>Staklo</t>
        </is>
      </c>
      <c r="D51" s="15" t="n"/>
    </row>
    <row r="52">
      <c r="A52" s="24" t="n">
        <v>46315</v>
      </c>
      <c r="B52" s="15" t="inlineStr">
        <is>
          <t>utorak</t>
        </is>
      </c>
      <c r="C52" s="5" t="inlineStr">
        <is>
          <t>Miješani komunalni otpad</t>
        </is>
      </c>
      <c r="D52" s="15" t="n"/>
    </row>
    <row r="53">
      <c r="A53" s="24" t="n">
        <v>46329</v>
      </c>
      <c r="B53" s="15" t="inlineStr">
        <is>
          <t>utorak</t>
        </is>
      </c>
      <c r="C53" s="5" t="inlineStr">
        <is>
          <t>Miješani komunalni otpad</t>
        </is>
      </c>
      <c r="D53" s="15" t="n"/>
    </row>
    <row r="54">
      <c r="A54" s="24" t="n">
        <v>46329</v>
      </c>
      <c r="B54" s="15" t="inlineStr">
        <is>
          <t>utorak</t>
        </is>
      </c>
      <c r="C54" s="9" t="inlineStr">
        <is>
          <t>Reciklabilni otpad (papir, karton, plastika, metal)</t>
        </is>
      </c>
      <c r="D54" s="15" t="n"/>
    </row>
    <row r="55">
      <c r="A55" s="24" t="n">
        <v>46329</v>
      </c>
      <c r="B55" s="15" t="inlineStr">
        <is>
          <t>utorak</t>
        </is>
      </c>
      <c r="C55" s="10" t="inlineStr">
        <is>
          <t>Staklo</t>
        </is>
      </c>
      <c r="D55" s="15" t="n"/>
    </row>
    <row r="56">
      <c r="A56" s="24" t="n">
        <v>46343</v>
      </c>
      <c r="B56" s="15" t="inlineStr">
        <is>
          <t>utorak</t>
        </is>
      </c>
      <c r="C56" s="5" t="inlineStr">
        <is>
          <t>Miješani komunalni otpad</t>
        </is>
      </c>
      <c r="D56" s="15" t="n"/>
    </row>
    <row r="57">
      <c r="A57" s="24" t="n">
        <v>46357</v>
      </c>
      <c r="B57" s="15" t="inlineStr">
        <is>
          <t>utorak</t>
        </is>
      </c>
      <c r="C57" s="5" t="inlineStr">
        <is>
          <t>Miješani komunalni otpad</t>
        </is>
      </c>
      <c r="D57" s="15" t="n"/>
    </row>
    <row r="58">
      <c r="A58" s="24" t="n">
        <v>46357</v>
      </c>
      <c r="B58" s="15" t="inlineStr">
        <is>
          <t>utorak</t>
        </is>
      </c>
      <c r="C58" s="9" t="inlineStr">
        <is>
          <t>Reciklabilni otpad (papir, karton, plastika, metal)</t>
        </is>
      </c>
      <c r="D58" s="15" t="n"/>
    </row>
    <row r="59">
      <c r="A59" s="24" t="n">
        <v>46357</v>
      </c>
      <c r="B59" s="15" t="inlineStr">
        <is>
          <t>utorak</t>
        </is>
      </c>
      <c r="C59" s="10" t="inlineStr">
        <is>
          <t>Staklo</t>
        </is>
      </c>
      <c r="D59" s="15" t="n"/>
    </row>
    <row r="60">
      <c r="A60" s="24" t="n">
        <v>46371</v>
      </c>
      <c r="B60" s="15" t="inlineStr">
        <is>
          <t>utorak</t>
        </is>
      </c>
      <c r="C60" s="5" t="inlineStr">
        <is>
          <t>Miješani komunalni otpad</t>
        </is>
      </c>
      <c r="D60" s="15" t="n"/>
    </row>
    <row r="61">
      <c r="A61" s="24" t="n">
        <v>46385</v>
      </c>
      <c r="B61" s="15" t="inlineStr">
        <is>
          <t>utorak</t>
        </is>
      </c>
      <c r="C61" s="5" t="inlineStr">
        <is>
          <t>Miješani komunalni otpad</t>
        </is>
      </c>
      <c r="D61" s="15" t="n"/>
    </row>
  </sheetData>
  <autoFilter ref="A1:D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(Vrbovsko): ulice i naselja</t>
        </is>
      </c>
    </row>
    <row r="2">
      <c r="A2" s="20" t="inlineStr">
        <is>
          <t>MO VRBOVSKO, GOMIRJE, LJUBOŠINA: Tuk, Mrzle Drage, Rožman Brdo, Hambarište, Luke, Zelići, Kovačevići, Ribnjak, Musulini, Polovine, Kosanovići, Jove Mamule, Pozderska, Bogdana Jančića, Jove Stojanovića, Đurići, Majer, Ključ, Carevo Brdo, Palajse, Trnova Poljana, Gvozdeni, Tatalovići, Maravići, Ljubošina, Hrvatskih Branitelja, Kralja Tomislava, Radnička</t>
        </is>
      </c>
    </row>
    <row r="4">
      <c r="A4" s="4" t="inlineStr">
        <is>
          <t>Ulica / naselje</t>
        </is>
      </c>
    </row>
    <row r="5">
      <c r="A5" s="15" t="inlineStr">
        <is>
          <t>Tuk</t>
        </is>
      </c>
    </row>
    <row r="6">
      <c r="A6" s="15" t="inlineStr">
        <is>
          <t>Mrzle Drage</t>
        </is>
      </c>
    </row>
    <row r="7">
      <c r="A7" s="15" t="inlineStr">
        <is>
          <t>Rožman Brdo</t>
        </is>
      </c>
    </row>
    <row r="8">
      <c r="A8" s="15" t="inlineStr">
        <is>
          <t>Hambarište</t>
        </is>
      </c>
    </row>
    <row r="9">
      <c r="A9" s="15" t="inlineStr">
        <is>
          <t>Luke</t>
        </is>
      </c>
    </row>
    <row r="10">
      <c r="A10" s="15" t="inlineStr">
        <is>
          <t>Zelići</t>
        </is>
      </c>
    </row>
    <row r="11">
      <c r="A11" s="15" t="inlineStr">
        <is>
          <t>Kovačevići</t>
        </is>
      </c>
    </row>
    <row r="12">
      <c r="A12" s="15" t="inlineStr">
        <is>
          <t>Ribnjak</t>
        </is>
      </c>
    </row>
    <row r="13">
      <c r="A13" s="15" t="inlineStr">
        <is>
          <t>Musulini</t>
        </is>
      </c>
    </row>
    <row r="14">
      <c r="A14" s="15" t="inlineStr">
        <is>
          <t>Polovine</t>
        </is>
      </c>
    </row>
    <row r="15">
      <c r="A15" s="15" t="inlineStr">
        <is>
          <t>Kosanovići</t>
        </is>
      </c>
    </row>
    <row r="16">
      <c r="A16" s="15" t="inlineStr">
        <is>
          <t>Jove Mamule</t>
        </is>
      </c>
    </row>
    <row r="17">
      <c r="A17" s="15" t="inlineStr">
        <is>
          <t>Pozderska</t>
        </is>
      </c>
    </row>
    <row r="18">
      <c r="A18" s="15" t="inlineStr">
        <is>
          <t>Bogdana Jančića</t>
        </is>
      </c>
    </row>
    <row r="19">
      <c r="A19" s="15" t="inlineStr">
        <is>
          <t>Jove Stojanovića</t>
        </is>
      </c>
    </row>
    <row r="20">
      <c r="A20" s="15" t="inlineStr">
        <is>
          <t>Đurići</t>
        </is>
      </c>
    </row>
    <row r="21">
      <c r="A21" s="15" t="inlineStr">
        <is>
          <t>Majer</t>
        </is>
      </c>
    </row>
    <row r="22">
      <c r="A22" s="15" t="inlineStr">
        <is>
          <t>Ključ</t>
        </is>
      </c>
    </row>
    <row r="23">
      <c r="A23" s="15" t="inlineStr">
        <is>
          <t>Carevo Brdo</t>
        </is>
      </c>
    </row>
    <row r="24">
      <c r="A24" s="15" t="inlineStr">
        <is>
          <t>Palajse</t>
        </is>
      </c>
    </row>
    <row r="25">
      <c r="A25" s="15" t="inlineStr">
        <is>
          <t>Trnova Poljana</t>
        </is>
      </c>
    </row>
    <row r="26">
      <c r="A26" s="15" t="inlineStr">
        <is>
          <t>Gvozdeni</t>
        </is>
      </c>
    </row>
    <row r="27">
      <c r="A27" s="15" t="inlineStr">
        <is>
          <t>Tatalovići</t>
        </is>
      </c>
    </row>
    <row r="28">
      <c r="A28" s="15" t="inlineStr">
        <is>
          <t>Maravići</t>
        </is>
      </c>
    </row>
    <row r="29">
      <c r="A29" s="15" t="inlineStr">
        <is>
          <t>Ljubošina</t>
        </is>
      </c>
    </row>
    <row r="30">
      <c r="A30" s="15" t="inlineStr">
        <is>
          <t>Hrvatskih Branitelja</t>
        </is>
      </c>
    </row>
    <row r="31">
      <c r="A31" s="15" t="inlineStr">
        <is>
          <t>Kralja Tomislava</t>
        </is>
      </c>
    </row>
    <row r="32">
      <c r="A32" s="15" t="inlineStr">
        <is>
          <t>Radnička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2026-10-08T06:00:55Z</dcterms:created>
  <dcterms:modified xmlns:dcterms="http://purl.org/dc/terms/" xmlns:xsi="http://www.w3.org/2001/XMLSchema-instance" xsi:type="dcterms:W3CDTF">2026-10-08T06:00:55Z</dcterms:modified>
</cp:coreProperties>
</file>
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'Raspored'!$A$4:$G$49</definedName>
    <definedName name="_xlnm._FilterDatabase" localSheetId="2" hidden="1">'Po vrsti'!$A$1:$D$62</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2E8B5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8"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2E8B57"/>
          <bgColor rgb="002E8B57"/>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4,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IFERROR(1/(1/_xlfn.MINIFS(Raspored!$A$5:$A$49,Raspored!$D$5:$D$49,"x",Raspored!$A$5:$A$49,"&gt;="&amp;$B$3)),"nema više u 2026.")</f>
        <v/>
      </c>
      <c r="C6" s="7">
        <f>IF(ISNUMBER(B6),INDEX({"nedjelja","ponedjeljak","utorak","srijeda","četvrtak","petak","subota"},WEEKDAY(B6)),"")</f>
        <v/>
      </c>
      <c r="D6" s="8">
        <f>IF(ISNUMBER(B6),B6-$B$3,"")</f>
        <v/>
      </c>
      <c r="E6" s="7">
        <f>COUNTIF(Raspored!$D$5:$D$49,"x")</f>
        <v/>
      </c>
    </row>
    <row r="7">
      <c r="A7" s="9" t="inlineStr">
        <is>
          <t>Reciklabilni otpad (papir, karton, plastika, metal)</t>
        </is>
      </c>
      <c r="B7" s="6">
        <f>IFERROR(1/(1/_xlfn.MINIFS(Raspored!$A$5:$A$49,Raspored!$E$5:$E$49,"x",Raspored!$A$5:$A$49,"&gt;="&amp;$B$3)),"nema više u 2026.")</f>
        <v/>
      </c>
      <c r="C7" s="7">
        <f>IF(ISNUMBER(B7),INDEX({"nedjelja","ponedjeljak","utorak","srijeda","četvrtak","petak","subota"},WEEKDAY(B7)),"")</f>
        <v/>
      </c>
      <c r="D7" s="8">
        <f>IF(ISNUMBER(B7),B7-$B$3,"")</f>
        <v/>
      </c>
      <c r="E7" s="7">
        <f>COUNTIF(Raspored!$E$5:$E$49,"x")</f>
        <v/>
      </c>
    </row>
    <row r="8">
      <c r="A8" s="10" t="inlineStr">
        <is>
          <t>Staklo</t>
        </is>
      </c>
      <c r="B8" s="6">
        <f>IFERROR(1/(1/_xlfn.MINIFS(Raspored!$A$5:$A$49,Raspored!$F$5:$F$49,"x",Raspored!$A$5:$A$49,"&gt;="&amp;$B$3)),"nema više u 2026.")</f>
        <v/>
      </c>
      <c r="C8" s="7">
        <f>IF(ISNUMBER(B8),INDEX({"nedjelja","ponedjeljak","utorak","srijeda","četvrtak","petak","subota"},WEEKDAY(B8)),"")</f>
        <v/>
      </c>
      <c r="D8" s="8">
        <f>IF(ISNUMBER(B8),B8-$B$3,"")</f>
        <v/>
      </c>
      <c r="E8" s="7">
        <f>COUNTIF(Raspored!$F$5:$F$49,"x")</f>
        <v/>
      </c>
    </row>
    <row r="10">
      <c r="A10" s="11" t="inlineStr">
        <is>
          <t>Broj odvoza po mjesecu</t>
        </is>
      </c>
    </row>
    <row r="11" ht="30" customHeight="1">
      <c r="A11" s="4" t="inlineStr">
        <is>
          <t>Mjesec</t>
        </is>
      </c>
      <c r="B11" s="12" t="inlineStr">
        <is>
          <t>Miješani komunalni otpad</t>
        </is>
      </c>
      <c r="C11" s="13" t="inlineStr">
        <is>
          <t>Reciklabilni otpad (papir, karton, plastika, metal)</t>
        </is>
      </c>
      <c r="D11" s="14" t="inlineStr">
        <is>
          <t>Staklo</t>
        </is>
      </c>
    </row>
    <row r="12">
      <c r="A12" s="15" t="inlineStr">
        <is>
          <t>siječanj</t>
        </is>
      </c>
      <c r="B12" s="7">
        <f>COUNTIFS(Raspored!$C$5:$C$49,$A12,Raspored!$D$5:$D$49,"x")</f>
        <v/>
      </c>
      <c r="C12" s="7">
        <f>COUNTIFS(Raspored!$C$5:$C$49,$A12,Raspored!$E$5:$E$49,"x")</f>
        <v/>
      </c>
      <c r="D12" s="7">
        <f>COUNTIFS(Raspored!$C$5:$C$49,$A12,Raspored!$F$5:$F$49,"x")</f>
        <v/>
      </c>
    </row>
    <row r="13">
      <c r="A13" s="15" t="inlineStr">
        <is>
          <t>veljača</t>
        </is>
      </c>
      <c r="B13" s="7">
        <f>COUNTIFS(Raspored!$C$5:$C$49,$A13,Raspored!$D$5:$D$49,"x")</f>
        <v/>
      </c>
      <c r="C13" s="7">
        <f>COUNTIFS(Raspored!$C$5:$C$49,$A13,Raspored!$E$5:$E$49,"x")</f>
        <v/>
      </c>
      <c r="D13" s="7">
        <f>COUNTIFS(Raspored!$C$5:$C$49,$A13,Raspored!$F$5:$F$49,"x")</f>
        <v/>
      </c>
    </row>
    <row r="14">
      <c r="A14" s="15" t="inlineStr">
        <is>
          <t>ožujak</t>
        </is>
      </c>
      <c r="B14" s="7">
        <f>COUNTIFS(Raspored!$C$5:$C$49,$A14,Raspored!$D$5:$D$49,"x")</f>
        <v/>
      </c>
      <c r="C14" s="7">
        <f>COUNTIFS(Raspored!$C$5:$C$49,$A14,Raspored!$E$5:$E$49,"x")</f>
        <v/>
      </c>
      <c r="D14" s="7">
        <f>COUNTIFS(Raspored!$C$5:$C$49,$A14,Raspored!$F$5:$F$49,"x")</f>
        <v/>
      </c>
    </row>
    <row r="15">
      <c r="A15" s="15" t="inlineStr">
        <is>
          <t>travanj</t>
        </is>
      </c>
      <c r="B15" s="7">
        <f>COUNTIFS(Raspored!$C$5:$C$49,$A15,Raspored!$D$5:$D$49,"x")</f>
        <v/>
      </c>
      <c r="C15" s="7">
        <f>COUNTIFS(Raspored!$C$5:$C$49,$A15,Raspored!$E$5:$E$49,"x")</f>
        <v/>
      </c>
      <c r="D15" s="7">
        <f>COUNTIFS(Raspored!$C$5:$C$49,$A15,Raspored!$F$5:$F$49,"x")</f>
        <v/>
      </c>
    </row>
    <row r="16">
      <c r="A16" s="15" t="inlineStr">
        <is>
          <t>svibanj</t>
        </is>
      </c>
      <c r="B16" s="7">
        <f>COUNTIFS(Raspored!$C$5:$C$49,$A16,Raspored!$D$5:$D$49,"x")</f>
        <v/>
      </c>
      <c r="C16" s="7">
        <f>COUNTIFS(Raspored!$C$5:$C$49,$A16,Raspored!$E$5:$E$49,"x")</f>
        <v/>
      </c>
      <c r="D16" s="7">
        <f>COUNTIFS(Raspored!$C$5:$C$49,$A16,Raspored!$F$5:$F$49,"x")</f>
        <v/>
      </c>
    </row>
    <row r="17">
      <c r="A17" s="15" t="inlineStr">
        <is>
          <t>lipanj</t>
        </is>
      </c>
      <c r="B17" s="7">
        <f>COUNTIFS(Raspored!$C$5:$C$49,$A17,Raspored!$D$5:$D$49,"x")</f>
        <v/>
      </c>
      <c r="C17" s="7">
        <f>COUNTIFS(Raspored!$C$5:$C$49,$A17,Raspored!$E$5:$E$49,"x")</f>
        <v/>
      </c>
      <c r="D17" s="7">
        <f>COUNTIFS(Raspored!$C$5:$C$49,$A17,Raspored!$F$5:$F$49,"x")</f>
        <v/>
      </c>
    </row>
    <row r="18">
      <c r="A18" s="15" t="inlineStr">
        <is>
          <t>srpanj</t>
        </is>
      </c>
      <c r="B18" s="7">
        <f>COUNTIFS(Raspored!$C$5:$C$49,$A18,Raspored!$D$5:$D$49,"x")</f>
        <v/>
      </c>
      <c r="C18" s="7">
        <f>COUNTIFS(Raspored!$C$5:$C$49,$A18,Raspored!$E$5:$E$49,"x")</f>
        <v/>
      </c>
      <c r="D18" s="7">
        <f>COUNTIFS(Raspored!$C$5:$C$49,$A18,Raspored!$F$5:$F$49,"x")</f>
        <v/>
      </c>
    </row>
    <row r="19">
      <c r="A19" s="15" t="inlineStr">
        <is>
          <t>kolovoz</t>
        </is>
      </c>
      <c r="B19" s="7">
        <f>COUNTIFS(Raspored!$C$5:$C$49,$A19,Raspored!$D$5:$D$49,"x")</f>
        <v/>
      </c>
      <c r="C19" s="7">
        <f>COUNTIFS(Raspored!$C$5:$C$49,$A19,Raspored!$E$5:$E$49,"x")</f>
        <v/>
      </c>
      <c r="D19" s="7">
        <f>COUNTIFS(Raspored!$C$5:$C$49,$A19,Raspored!$F$5:$F$49,"x")</f>
        <v/>
      </c>
    </row>
    <row r="20">
      <c r="A20" s="15" t="inlineStr">
        <is>
          <t>rujan</t>
        </is>
      </c>
      <c r="B20" s="7">
        <f>COUNTIFS(Raspored!$C$5:$C$49,$A20,Raspored!$D$5:$D$49,"x")</f>
        <v/>
      </c>
      <c r="C20" s="7">
        <f>COUNTIFS(Raspored!$C$5:$C$49,$A20,Raspored!$E$5:$E$49,"x")</f>
        <v/>
      </c>
      <c r="D20" s="7">
        <f>COUNTIFS(Raspored!$C$5:$C$49,$A20,Raspored!$F$5:$F$49,"x")</f>
        <v/>
      </c>
    </row>
    <row r="21">
      <c r="A21" s="15" t="inlineStr">
        <is>
          <t>listopad</t>
        </is>
      </c>
      <c r="B21" s="7">
        <f>COUNTIFS(Raspored!$C$5:$C$49,$A21,Raspored!$D$5:$D$49,"x")</f>
        <v/>
      </c>
      <c r="C21" s="7">
        <f>COUNTIFS(Raspored!$C$5:$C$49,$A21,Raspored!$E$5:$E$49,"x")</f>
        <v/>
      </c>
      <c r="D21" s="7">
        <f>COUNTIFS(Raspored!$C$5:$C$49,$A21,Raspored!$F$5:$F$49,"x")</f>
        <v/>
      </c>
    </row>
    <row r="22">
      <c r="A22" s="15" t="inlineStr">
        <is>
          <t>studeni</t>
        </is>
      </c>
      <c r="B22" s="7">
        <f>COUNTIFS(Raspored!$C$5:$C$49,$A22,Raspored!$D$5:$D$49,"x")</f>
        <v/>
      </c>
      <c r="C22" s="7">
        <f>COUNTIFS(Raspored!$C$5:$C$49,$A22,Raspored!$E$5:$E$49,"x")</f>
        <v/>
      </c>
      <c r="D22" s="7">
        <f>COUNTIFS(Raspored!$C$5:$C$49,$A22,Raspored!$F$5:$F$49,"x")</f>
        <v/>
      </c>
    </row>
    <row r="23">
      <c r="A23" s="15" t="inlineStr">
        <is>
          <t>prosinac</t>
        </is>
      </c>
      <c r="B23" s="7">
        <f>COUNTIFS(Raspored!$C$5:$C$49,$A23,Raspored!$D$5:$D$49,"x")</f>
        <v/>
      </c>
      <c r="C23" s="7">
        <f>COUNTIFS(Raspored!$C$5:$C$49,$A23,Raspored!$E$5:$E$49,"x")</f>
        <v/>
      </c>
      <c r="D23" s="7">
        <f>COUNTIFS(Raspored!$C$5:$C$49,$A23,Raspored!$F$5:$F$49,"x")</f>
        <v/>
      </c>
    </row>
    <row r="24">
      <c r="A24" s="16" t="inlineStr">
        <is>
          <t>Ukupno</t>
        </is>
      </c>
      <c r="B24" s="17">
        <f>SUM(B12:B23)</f>
        <v/>
      </c>
      <c r="C24" s="17">
        <f>SUM(C12:C23)</f>
        <v/>
      </c>
      <c r="D24" s="17">
        <f>SUM(D12:D23)</f>
        <v/>
      </c>
    </row>
    <row r="26">
      <c r="A26" s="18" t="inlineStr">
        <is>
          <t>Napomene:</t>
        </is>
      </c>
    </row>
    <row r="27">
      <c r="A27" s="19" t="inlineStr">
        <is>
          <t>• Crveno označeni datumi u listu "Raspored" su pomaknuti zbog neradnog dana u tom tjednu (inače je odvoz četvrtkom).</t>
        </is>
      </c>
    </row>
    <row r="28">
      <c r="A28" s="19" t="inlineStr">
        <is>
          <t>• Miješani komunalni otpad odvozi se svaki drugi tjedan, a reciklabilni otpad (papir, karton, plastika, aluminijska i metalna ambalaža) svaki četvrti tjedan zajedno s miješanim, na dan skupine.</t>
        </is>
      </c>
    </row>
    <row r="29">
      <c r="A29" s="19" t="inlineStr">
        <is>
          <t>• Staklo se odvozi prvog utorka u mjesecu (zeleni okvir u kalendaru); u raspored je upisano svim skupinama.</t>
        </is>
      </c>
    </row>
    <row r="30">
      <c r="A30" s="19" t="inlineStr">
        <is>
          <t>• Blagdanski pomaci prema napomenama u kalendaru su uključeni.</t>
        </is>
      </c>
    </row>
    <row r="31">
      <c r="A31" s="19" t="inlineStr">
        <is>
          <t>• Poslovni subjekti imaju zaseban raspored odvoza miješanog otpada (narančasto u kalendaru); nije uključen.</t>
        </is>
      </c>
    </row>
    <row r="32">
      <c r="A32" s="19" t="inlineStr">
        <is>
          <t>• Informacije: Komunalac d.o.o. Vrbovsko, Željeznička 1A, tel. 051 875 278.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9"/>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1" customWidth="1" min="6" max="6"/>
    <col width="44" customWidth="1" min="7" max="7"/>
  </cols>
  <sheetData>
    <row r="1">
      <c r="A1" s="1" t="inlineStr">
        <is>
          <t>Raspored odvoza otpada 2026., Zona 4 (Vrbovsko)</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Reciklabilni otpad (papir, karton, plastika, metal)</t>
        </is>
      </c>
      <c r="F4" s="14" t="inlineStr">
        <is>
          <t>Staklo</t>
        </is>
      </c>
      <c r="G4" s="4" t="inlineStr">
        <is>
          <t>Napomena</t>
        </is>
      </c>
    </row>
    <row r="5">
      <c r="A5" s="21" t="n">
        <v>46024</v>
      </c>
      <c r="B5" s="22" t="inlineStr">
        <is>
          <t>petak</t>
        </is>
      </c>
      <c r="C5" s="7" t="inlineStr">
        <is>
          <t>siječanj</t>
        </is>
      </c>
      <c r="D5" s="7" t="inlineStr">
        <is>
          <t>x</t>
        </is>
      </c>
      <c r="E5" s="7" t="n"/>
      <c r="F5" s="7" t="n"/>
      <c r="G5" s="23" t="inlineStr">
        <is>
          <t>Pomaknuto zbog neradnog dana u tjednu</t>
        </is>
      </c>
    </row>
    <row r="6">
      <c r="A6" s="6" t="n">
        <v>46030</v>
      </c>
      <c r="B6" s="7" t="inlineStr">
        <is>
          <t>četvrtak</t>
        </is>
      </c>
      <c r="C6" s="7" t="inlineStr">
        <is>
          <t>siječanj</t>
        </is>
      </c>
      <c r="D6" s="7" t="inlineStr">
        <is>
          <t>x</t>
        </is>
      </c>
      <c r="E6" s="7" t="inlineStr">
        <is>
          <t>x</t>
        </is>
      </c>
      <c r="F6" s="7" t="n"/>
      <c r="G6" s="23" t="n"/>
    </row>
    <row r="7">
      <c r="A7" s="6" t="n">
        <v>46035</v>
      </c>
      <c r="B7" s="7" t="inlineStr">
        <is>
          <t>utorak</t>
        </is>
      </c>
      <c r="C7" s="7" t="inlineStr">
        <is>
          <t>siječanj</t>
        </is>
      </c>
      <c r="D7" s="7" t="n"/>
      <c r="E7" s="7" t="n"/>
      <c r="F7" s="7" t="inlineStr">
        <is>
          <t>x</t>
        </is>
      </c>
      <c r="G7" s="23" t="n"/>
    </row>
    <row r="8">
      <c r="A8" s="6" t="n">
        <v>46044</v>
      </c>
      <c r="B8" s="7" t="inlineStr">
        <is>
          <t>četvrtak</t>
        </is>
      </c>
      <c r="C8" s="7" t="inlineStr">
        <is>
          <t>siječanj</t>
        </is>
      </c>
      <c r="D8" s="7" t="inlineStr">
        <is>
          <t>x</t>
        </is>
      </c>
      <c r="E8" s="7" t="n"/>
      <c r="F8" s="7" t="n"/>
      <c r="G8" s="23" t="n"/>
    </row>
    <row r="9">
      <c r="A9" s="6" t="n">
        <v>46056</v>
      </c>
      <c r="B9" s="7" t="inlineStr">
        <is>
          <t>utorak</t>
        </is>
      </c>
      <c r="C9" s="7" t="inlineStr">
        <is>
          <t>veljača</t>
        </is>
      </c>
      <c r="D9" s="7" t="n"/>
      <c r="E9" s="7" t="n"/>
      <c r="F9" s="7" t="inlineStr">
        <is>
          <t>x</t>
        </is>
      </c>
      <c r="G9" s="23" t="n"/>
    </row>
    <row r="10">
      <c r="A10" s="6" t="n">
        <v>46058</v>
      </c>
      <c r="B10" s="7" t="inlineStr">
        <is>
          <t>četvrtak</t>
        </is>
      </c>
      <c r="C10" s="7" t="inlineStr">
        <is>
          <t>veljača</t>
        </is>
      </c>
      <c r="D10" s="7" t="inlineStr">
        <is>
          <t>x</t>
        </is>
      </c>
      <c r="E10" s="7" t="inlineStr">
        <is>
          <t>x</t>
        </is>
      </c>
      <c r="F10" s="7" t="n"/>
      <c r="G10" s="23" t="n"/>
    </row>
    <row r="11">
      <c r="A11" s="6" t="n">
        <v>46072</v>
      </c>
      <c r="B11" s="7" t="inlineStr">
        <is>
          <t>četvrtak</t>
        </is>
      </c>
      <c r="C11" s="7" t="inlineStr">
        <is>
          <t>veljača</t>
        </is>
      </c>
      <c r="D11" s="7" t="inlineStr">
        <is>
          <t>x</t>
        </is>
      </c>
      <c r="E11" s="7" t="n"/>
      <c r="F11" s="7" t="n"/>
      <c r="G11" s="23" t="n"/>
    </row>
    <row r="12">
      <c r="A12" s="6" t="n">
        <v>46084</v>
      </c>
      <c r="B12" s="7" t="inlineStr">
        <is>
          <t>utorak</t>
        </is>
      </c>
      <c r="C12" s="7" t="inlineStr">
        <is>
          <t>ožujak</t>
        </is>
      </c>
      <c r="D12" s="7" t="n"/>
      <c r="E12" s="7" t="n"/>
      <c r="F12" s="7" t="inlineStr">
        <is>
          <t>x</t>
        </is>
      </c>
      <c r="G12" s="23" t="n"/>
    </row>
    <row r="13">
      <c r="A13" s="6" t="n">
        <v>46086</v>
      </c>
      <c r="B13" s="7" t="inlineStr">
        <is>
          <t>četvrtak</t>
        </is>
      </c>
      <c r="C13" s="7" t="inlineStr">
        <is>
          <t>ožujak</t>
        </is>
      </c>
      <c r="D13" s="7" t="inlineStr">
        <is>
          <t>x</t>
        </is>
      </c>
      <c r="E13" s="7" t="inlineStr">
        <is>
          <t>x</t>
        </is>
      </c>
      <c r="F13" s="7" t="n"/>
      <c r="G13" s="23" t="n"/>
    </row>
    <row r="14">
      <c r="A14" s="6" t="n">
        <v>46100</v>
      </c>
      <c r="B14" s="7" t="inlineStr">
        <is>
          <t>četvrtak</t>
        </is>
      </c>
      <c r="C14" s="7" t="inlineStr">
        <is>
          <t>ožujak</t>
        </is>
      </c>
      <c r="D14" s="7" t="inlineStr">
        <is>
          <t>x</t>
        </is>
      </c>
      <c r="E14" s="7" t="n"/>
      <c r="F14" s="7" t="n"/>
      <c r="G14" s="23" t="n"/>
    </row>
    <row r="15">
      <c r="A15" s="6" t="n">
        <v>46114</v>
      </c>
      <c r="B15" s="7" t="inlineStr">
        <is>
          <t>četvrtak</t>
        </is>
      </c>
      <c r="C15" s="7" t="inlineStr">
        <is>
          <t>travanj</t>
        </is>
      </c>
      <c r="D15" s="7" t="inlineStr">
        <is>
          <t>x</t>
        </is>
      </c>
      <c r="E15" s="7" t="n"/>
      <c r="F15" s="7" t="n"/>
      <c r="G15" s="23" t="n"/>
    </row>
    <row r="16">
      <c r="A16" s="6" t="n">
        <v>46119</v>
      </c>
      <c r="B16" s="7" t="inlineStr">
        <is>
          <t>utorak</t>
        </is>
      </c>
      <c r="C16" s="7" t="inlineStr">
        <is>
          <t>travanj</t>
        </is>
      </c>
      <c r="D16" s="7" t="n"/>
      <c r="E16" s="7" t="n"/>
      <c r="F16" s="7" t="inlineStr">
        <is>
          <t>x</t>
        </is>
      </c>
      <c r="G16" s="23" t="n"/>
    </row>
    <row r="17">
      <c r="A17" s="6" t="n">
        <v>46121</v>
      </c>
      <c r="B17" s="7" t="inlineStr">
        <is>
          <t>četvrtak</t>
        </is>
      </c>
      <c r="C17" s="7" t="inlineStr">
        <is>
          <t>travanj</t>
        </is>
      </c>
      <c r="D17" s="7" t="inlineStr">
        <is>
          <t>x</t>
        </is>
      </c>
      <c r="E17" s="7" t="inlineStr">
        <is>
          <t>x</t>
        </is>
      </c>
      <c r="F17" s="7" t="n"/>
      <c r="G17" s="23" t="n"/>
    </row>
    <row r="18">
      <c r="A18" s="6" t="n">
        <v>46135</v>
      </c>
      <c r="B18" s="7" t="inlineStr">
        <is>
          <t>četvrtak</t>
        </is>
      </c>
      <c r="C18" s="7" t="inlineStr">
        <is>
          <t>travanj</t>
        </is>
      </c>
      <c r="D18" s="7" t="inlineStr">
        <is>
          <t>x</t>
        </is>
      </c>
      <c r="E18" s="7" t="n"/>
      <c r="F18" s="7" t="n"/>
      <c r="G18" s="23" t="n"/>
    </row>
    <row r="19">
      <c r="A19" s="6" t="n">
        <v>46147</v>
      </c>
      <c r="B19" s="7" t="inlineStr">
        <is>
          <t>utorak</t>
        </is>
      </c>
      <c r="C19" s="7" t="inlineStr">
        <is>
          <t>svibanj</t>
        </is>
      </c>
      <c r="D19" s="7" t="n"/>
      <c r="E19" s="7" t="n"/>
      <c r="F19" s="7" t="inlineStr">
        <is>
          <t>x</t>
        </is>
      </c>
      <c r="G19" s="23" t="n"/>
    </row>
    <row r="20">
      <c r="A20" s="6" t="n">
        <v>46149</v>
      </c>
      <c r="B20" s="7" t="inlineStr">
        <is>
          <t>četvrtak</t>
        </is>
      </c>
      <c r="C20" s="7" t="inlineStr">
        <is>
          <t>svibanj</t>
        </is>
      </c>
      <c r="D20" s="7" t="inlineStr">
        <is>
          <t>x</t>
        </is>
      </c>
      <c r="E20" s="7" t="inlineStr">
        <is>
          <t>x</t>
        </is>
      </c>
      <c r="F20" s="7" t="n"/>
      <c r="G20" s="23" t="n"/>
    </row>
    <row r="21">
      <c r="A21" s="6" t="n">
        <v>46163</v>
      </c>
      <c r="B21" s="7" t="inlineStr">
        <is>
          <t>četvrtak</t>
        </is>
      </c>
      <c r="C21" s="7" t="inlineStr">
        <is>
          <t>svibanj</t>
        </is>
      </c>
      <c r="D21" s="7" t="inlineStr">
        <is>
          <t>x</t>
        </is>
      </c>
      <c r="E21" s="7" t="n"/>
      <c r="F21" s="7" t="n"/>
      <c r="G21" s="23" t="n"/>
    </row>
    <row r="22">
      <c r="A22" s="6" t="n">
        <v>46175</v>
      </c>
      <c r="B22" s="7" t="inlineStr">
        <is>
          <t>utorak</t>
        </is>
      </c>
      <c r="C22" s="7" t="inlineStr">
        <is>
          <t>lipanj</t>
        </is>
      </c>
      <c r="D22" s="7" t="n"/>
      <c r="E22" s="7" t="n"/>
      <c r="F22" s="7" t="inlineStr">
        <is>
          <t>x</t>
        </is>
      </c>
      <c r="G22" s="23" t="n"/>
    </row>
    <row r="23">
      <c r="A23" s="21" t="n">
        <v>46184</v>
      </c>
      <c r="B23" s="22" t="inlineStr">
        <is>
          <t>četvrtak</t>
        </is>
      </c>
      <c r="C23" s="7" t="inlineStr">
        <is>
          <t>lipanj</t>
        </is>
      </c>
      <c r="D23" s="7" t="inlineStr">
        <is>
          <t>x</t>
        </is>
      </c>
      <c r="E23" s="7" t="inlineStr">
        <is>
          <t>x</t>
        </is>
      </c>
      <c r="F23" s="7" t="n"/>
      <c r="G23" s="23" t="inlineStr">
        <is>
          <t>Pomaknuto zbog neradnog dana u tjednu</t>
        </is>
      </c>
    </row>
    <row r="24">
      <c r="A24" s="6" t="n">
        <v>46191</v>
      </c>
      <c r="B24" s="7" t="inlineStr">
        <is>
          <t>četvrtak</t>
        </is>
      </c>
      <c r="C24" s="7" t="inlineStr">
        <is>
          <t>lipanj</t>
        </is>
      </c>
      <c r="D24" s="7" t="inlineStr">
        <is>
          <t>x</t>
        </is>
      </c>
      <c r="E24" s="7" t="inlineStr">
        <is>
          <t>x</t>
        </is>
      </c>
      <c r="F24" s="7" t="n"/>
      <c r="G24" s="23" t="n"/>
    </row>
    <row r="25">
      <c r="A25" s="6" t="n">
        <v>46205</v>
      </c>
      <c r="B25" s="7" t="inlineStr">
        <is>
          <t>četvrtak</t>
        </is>
      </c>
      <c r="C25" s="7" t="inlineStr">
        <is>
          <t>srpanj</t>
        </is>
      </c>
      <c r="D25" s="7" t="inlineStr">
        <is>
          <t>x</t>
        </is>
      </c>
      <c r="E25" s="7" t="n"/>
      <c r="F25" s="7" t="n"/>
      <c r="G25" s="23" t="n"/>
    </row>
    <row r="26">
      <c r="A26" s="6" t="n">
        <v>46210</v>
      </c>
      <c r="B26" s="7" t="inlineStr">
        <is>
          <t>utorak</t>
        </is>
      </c>
      <c r="C26" s="7" t="inlineStr">
        <is>
          <t>srpanj</t>
        </is>
      </c>
      <c r="D26" s="7" t="n"/>
      <c r="E26" s="7" t="n"/>
      <c r="F26" s="7" t="inlineStr">
        <is>
          <t>x</t>
        </is>
      </c>
      <c r="G26" s="23" t="n"/>
    </row>
    <row r="27">
      <c r="A27" s="6" t="n">
        <v>46212</v>
      </c>
      <c r="B27" s="7" t="inlineStr">
        <is>
          <t>četvrtak</t>
        </is>
      </c>
      <c r="C27" s="7" t="inlineStr">
        <is>
          <t>srpanj</t>
        </is>
      </c>
      <c r="D27" s="7" t="inlineStr">
        <is>
          <t>x</t>
        </is>
      </c>
      <c r="E27" s="7" t="inlineStr">
        <is>
          <t>x</t>
        </is>
      </c>
      <c r="F27" s="7" t="n"/>
      <c r="G27" s="23" t="n"/>
    </row>
    <row r="28">
      <c r="A28" s="6" t="n">
        <v>46219</v>
      </c>
      <c r="B28" s="7" t="inlineStr">
        <is>
          <t>četvrtak</t>
        </is>
      </c>
      <c r="C28" s="7" t="inlineStr">
        <is>
          <t>srpanj</t>
        </is>
      </c>
      <c r="D28" s="7" t="inlineStr">
        <is>
          <t>x</t>
        </is>
      </c>
      <c r="E28" s="7" t="n"/>
      <c r="F28" s="7" t="n"/>
      <c r="G28" s="23" t="n"/>
    </row>
    <row r="29">
      <c r="A29" s="6" t="n">
        <v>46226</v>
      </c>
      <c r="B29" s="7" t="inlineStr">
        <is>
          <t>četvrtak</t>
        </is>
      </c>
      <c r="C29" s="7" t="inlineStr">
        <is>
          <t>srpanj</t>
        </is>
      </c>
      <c r="D29" s="7" t="inlineStr">
        <is>
          <t>x</t>
        </is>
      </c>
      <c r="E29" s="7" t="inlineStr">
        <is>
          <t>x</t>
        </is>
      </c>
      <c r="F29" s="7" t="n"/>
      <c r="G29" s="23" t="n"/>
    </row>
    <row r="30">
      <c r="A30" s="6" t="n">
        <v>46233</v>
      </c>
      <c r="B30" s="7" t="inlineStr">
        <is>
          <t>četvrtak</t>
        </is>
      </c>
      <c r="C30" s="7" t="inlineStr">
        <is>
          <t>srpanj</t>
        </is>
      </c>
      <c r="D30" s="7" t="inlineStr">
        <is>
          <t>x</t>
        </is>
      </c>
      <c r="E30" s="7" t="n"/>
      <c r="F30" s="7" t="n"/>
      <c r="G30" s="23" t="n"/>
    </row>
    <row r="31">
      <c r="A31" s="6" t="n">
        <v>46238</v>
      </c>
      <c r="B31" s="7" t="inlineStr">
        <is>
          <t>utorak</t>
        </is>
      </c>
      <c r="C31" s="7" t="inlineStr">
        <is>
          <t>kolovoz</t>
        </is>
      </c>
      <c r="D31" s="7" t="n"/>
      <c r="E31" s="7" t="n"/>
      <c r="F31" s="7" t="inlineStr">
        <is>
          <t>x</t>
        </is>
      </c>
      <c r="G31" s="23" t="n"/>
    </row>
    <row r="32">
      <c r="A32" s="6" t="n">
        <v>46240</v>
      </c>
      <c r="B32" s="7" t="inlineStr">
        <is>
          <t>četvrtak</t>
        </is>
      </c>
      <c r="C32" s="7" t="inlineStr">
        <is>
          <t>kolovoz</t>
        </is>
      </c>
      <c r="D32" s="7" t="inlineStr">
        <is>
          <t>x</t>
        </is>
      </c>
      <c r="E32" s="7" t="inlineStr">
        <is>
          <t>x</t>
        </is>
      </c>
      <c r="F32" s="7" t="n"/>
      <c r="G32" s="23" t="n"/>
    </row>
    <row r="33">
      <c r="A33" s="6" t="n">
        <v>46247</v>
      </c>
      <c r="B33" s="7" t="inlineStr">
        <is>
          <t>četvrtak</t>
        </is>
      </c>
      <c r="C33" s="7" t="inlineStr">
        <is>
          <t>kolovoz</t>
        </is>
      </c>
      <c r="D33" s="7" t="inlineStr">
        <is>
          <t>x</t>
        </is>
      </c>
      <c r="E33" s="7" t="n"/>
      <c r="F33" s="7" t="n"/>
      <c r="G33" s="23" t="n"/>
    </row>
    <row r="34">
      <c r="A34" s="6" t="n">
        <v>46254</v>
      </c>
      <c r="B34" s="7" t="inlineStr">
        <is>
          <t>četvrtak</t>
        </is>
      </c>
      <c r="C34" s="7" t="inlineStr">
        <is>
          <t>kolovoz</t>
        </is>
      </c>
      <c r="D34" s="7" t="inlineStr">
        <is>
          <t>x</t>
        </is>
      </c>
      <c r="E34" s="7" t="inlineStr">
        <is>
          <t>x</t>
        </is>
      </c>
      <c r="F34" s="7" t="n"/>
      <c r="G34" s="23" t="n"/>
    </row>
    <row r="35">
      <c r="A35" s="6" t="n">
        <v>46261</v>
      </c>
      <c r="B35" s="7" t="inlineStr">
        <is>
          <t>četvrtak</t>
        </is>
      </c>
      <c r="C35" s="7" t="inlineStr">
        <is>
          <t>kolovoz</t>
        </is>
      </c>
      <c r="D35" s="7" t="inlineStr">
        <is>
          <t>x</t>
        </is>
      </c>
      <c r="E35" s="7" t="n"/>
      <c r="F35" s="7" t="n"/>
      <c r="G35" s="23" t="n"/>
    </row>
    <row r="36">
      <c r="A36" s="6" t="n">
        <v>46266</v>
      </c>
      <c r="B36" s="7" t="inlineStr">
        <is>
          <t>utorak</t>
        </is>
      </c>
      <c r="C36" s="7" t="inlineStr">
        <is>
          <t>rujan</t>
        </is>
      </c>
      <c r="D36" s="7" t="n"/>
      <c r="E36" s="7" t="n"/>
      <c r="F36" s="7" t="inlineStr">
        <is>
          <t>x</t>
        </is>
      </c>
      <c r="G36" s="23" t="n"/>
    </row>
    <row r="37">
      <c r="A37" s="6" t="n">
        <v>46268</v>
      </c>
      <c r="B37" s="7" t="inlineStr">
        <is>
          <t>četvrtak</t>
        </is>
      </c>
      <c r="C37" s="7" t="inlineStr">
        <is>
          <t>rujan</t>
        </is>
      </c>
      <c r="D37" s="7" t="inlineStr">
        <is>
          <t>x</t>
        </is>
      </c>
      <c r="E37" s="7" t="inlineStr">
        <is>
          <t>x</t>
        </is>
      </c>
      <c r="F37" s="7" t="n"/>
      <c r="G37" s="23" t="n"/>
    </row>
    <row r="38">
      <c r="A38" s="6" t="n">
        <v>46275</v>
      </c>
      <c r="B38" s="7" t="inlineStr">
        <is>
          <t>četvrtak</t>
        </is>
      </c>
      <c r="C38" s="7" t="inlineStr">
        <is>
          <t>rujan</t>
        </is>
      </c>
      <c r="D38" s="7" t="inlineStr">
        <is>
          <t>x</t>
        </is>
      </c>
      <c r="E38" s="7" t="n"/>
      <c r="F38" s="7" t="n"/>
      <c r="G38" s="23" t="n"/>
    </row>
    <row r="39">
      <c r="A39" s="6" t="n">
        <v>46289</v>
      </c>
      <c r="B39" s="7" t="inlineStr">
        <is>
          <t>četvrtak</t>
        </is>
      </c>
      <c r="C39" s="7" t="inlineStr">
        <is>
          <t>rujan</t>
        </is>
      </c>
      <c r="D39" s="7" t="inlineStr">
        <is>
          <t>x</t>
        </is>
      </c>
      <c r="E39" s="7" t="inlineStr">
        <is>
          <t>x</t>
        </is>
      </c>
      <c r="F39" s="7" t="n"/>
      <c r="G39" s="23" t="n"/>
    </row>
    <row r="40">
      <c r="A40" s="6" t="n">
        <v>46301</v>
      </c>
      <c r="B40" s="7" t="inlineStr">
        <is>
          <t>utorak</t>
        </is>
      </c>
      <c r="C40" s="7" t="inlineStr">
        <is>
          <t>listopad</t>
        </is>
      </c>
      <c r="D40" s="7" t="n"/>
      <c r="E40" s="7" t="n"/>
      <c r="F40" s="7" t="inlineStr">
        <is>
          <t>x</t>
        </is>
      </c>
      <c r="G40" s="23" t="n"/>
    </row>
    <row r="41">
      <c r="A41" s="6" t="n">
        <v>46303</v>
      </c>
      <c r="B41" s="7" t="inlineStr">
        <is>
          <t>četvrtak</t>
        </is>
      </c>
      <c r="C41" s="7" t="inlineStr">
        <is>
          <t>listopad</t>
        </is>
      </c>
      <c r="D41" s="7" t="inlineStr">
        <is>
          <t>x</t>
        </is>
      </c>
      <c r="E41" s="7" t="inlineStr">
        <is>
          <t>x</t>
        </is>
      </c>
      <c r="F41" s="7" t="n"/>
      <c r="G41" s="23" t="n"/>
    </row>
    <row r="42">
      <c r="A42" s="6" t="n">
        <v>46317</v>
      </c>
      <c r="B42" s="7" t="inlineStr">
        <is>
          <t>četvrtak</t>
        </is>
      </c>
      <c r="C42" s="7" t="inlineStr">
        <is>
          <t>listopad</t>
        </is>
      </c>
      <c r="D42" s="7" t="inlineStr">
        <is>
          <t>x</t>
        </is>
      </c>
      <c r="E42" s="7" t="n"/>
      <c r="F42" s="7" t="n"/>
      <c r="G42" s="23" t="n"/>
    </row>
    <row r="43">
      <c r="A43" s="6" t="n">
        <v>46329</v>
      </c>
      <c r="B43" s="7" t="inlineStr">
        <is>
          <t>utorak</t>
        </is>
      </c>
      <c r="C43" s="7" t="inlineStr">
        <is>
          <t>studeni</t>
        </is>
      </c>
      <c r="D43" s="7" t="n"/>
      <c r="E43" s="7" t="n"/>
      <c r="F43" s="7" t="inlineStr">
        <is>
          <t>x</t>
        </is>
      </c>
      <c r="G43" s="23" t="n"/>
    </row>
    <row r="44">
      <c r="A44" s="6" t="n">
        <v>46331</v>
      </c>
      <c r="B44" s="7" t="inlineStr">
        <is>
          <t>četvrtak</t>
        </is>
      </c>
      <c r="C44" s="7" t="inlineStr">
        <is>
          <t>studeni</t>
        </is>
      </c>
      <c r="D44" s="7" t="inlineStr">
        <is>
          <t>x</t>
        </is>
      </c>
      <c r="E44" s="7" t="inlineStr">
        <is>
          <t>x</t>
        </is>
      </c>
      <c r="F44" s="7" t="n"/>
      <c r="G44" s="23" t="n"/>
    </row>
    <row r="45">
      <c r="A45" s="6" t="n">
        <v>46345</v>
      </c>
      <c r="B45" s="7" t="inlineStr">
        <is>
          <t>četvrtak</t>
        </is>
      </c>
      <c r="C45" s="7" t="inlineStr">
        <is>
          <t>studeni</t>
        </is>
      </c>
      <c r="D45" s="7" t="inlineStr">
        <is>
          <t>x</t>
        </is>
      </c>
      <c r="E45" s="7" t="n"/>
      <c r="F45" s="7" t="n"/>
      <c r="G45" s="23" t="n"/>
    </row>
    <row r="46">
      <c r="A46" s="6" t="n">
        <v>46357</v>
      </c>
      <c r="B46" s="7" t="inlineStr">
        <is>
          <t>utorak</t>
        </is>
      </c>
      <c r="C46" s="7" t="inlineStr">
        <is>
          <t>prosinac</t>
        </is>
      </c>
      <c r="D46" s="7" t="n"/>
      <c r="E46" s="7" t="n"/>
      <c r="F46" s="7" t="inlineStr">
        <is>
          <t>x</t>
        </is>
      </c>
      <c r="G46" s="23" t="n"/>
    </row>
    <row r="47">
      <c r="A47" s="6" t="n">
        <v>46359</v>
      </c>
      <c r="B47" s="7" t="inlineStr">
        <is>
          <t>četvrtak</t>
        </is>
      </c>
      <c r="C47" s="7" t="inlineStr">
        <is>
          <t>prosinac</t>
        </is>
      </c>
      <c r="D47" s="7" t="inlineStr">
        <is>
          <t>x</t>
        </is>
      </c>
      <c r="E47" s="7" t="inlineStr">
        <is>
          <t>x</t>
        </is>
      </c>
      <c r="F47" s="7" t="n"/>
      <c r="G47" s="23" t="n"/>
    </row>
    <row r="48">
      <c r="A48" s="6" t="n">
        <v>46373</v>
      </c>
      <c r="B48" s="7" t="inlineStr">
        <is>
          <t>četvrtak</t>
        </is>
      </c>
      <c r="C48" s="7" t="inlineStr">
        <is>
          <t>prosinac</t>
        </is>
      </c>
      <c r="D48" s="7" t="inlineStr">
        <is>
          <t>x</t>
        </is>
      </c>
      <c r="E48" s="7" t="n"/>
      <c r="F48" s="7" t="n"/>
      <c r="G48" s="23" t="n"/>
    </row>
    <row r="49">
      <c r="A49" s="6" t="n">
        <v>46387</v>
      </c>
      <c r="B49" s="7" t="inlineStr">
        <is>
          <t>četvrtak</t>
        </is>
      </c>
      <c r="C49" s="7" t="inlineStr">
        <is>
          <t>prosinac</t>
        </is>
      </c>
      <c r="D49" s="7" t="inlineStr">
        <is>
          <t>x</t>
        </is>
      </c>
      <c r="E49" s="7" t="n"/>
      <c r="F49" s="7" t="n"/>
      <c r="G49" s="23" t="n"/>
    </row>
  </sheetData>
  <autoFilter ref="A4:G49"/>
  <conditionalFormatting sqref="D5:D49">
    <cfRule type="expression" priority="1" dxfId="0">
      <formula>D5="x"</formula>
    </cfRule>
  </conditionalFormatting>
  <conditionalFormatting sqref="E5:E49">
    <cfRule type="expression" priority="2" dxfId="1">
      <formula>E5="x"</formula>
    </cfRule>
  </conditionalFormatting>
  <conditionalFormatting sqref="F5:F49">
    <cfRule type="expression" priority="3" dxfId="2">
      <formula>F5="x"</formula>
    </cfRule>
  </conditionalFormatting>
  <conditionalFormatting sqref="A5:G49">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46024</v>
      </c>
      <c r="B2" s="15" t="inlineStr">
        <is>
          <t>petak</t>
        </is>
      </c>
      <c r="C2" s="5" t="inlineStr">
        <is>
          <t>Miješani komunalni otpad</t>
        </is>
      </c>
      <c r="D2" s="15" t="inlineStr">
        <is>
          <t>Pomaknuto zbog neradnog dana u tjednu</t>
        </is>
      </c>
    </row>
    <row r="3">
      <c r="A3" s="24" t="n">
        <v>46030</v>
      </c>
      <c r="B3" s="15" t="inlineStr">
        <is>
          <t>četvrtak</t>
        </is>
      </c>
      <c r="C3" s="5" t="inlineStr">
        <is>
          <t>Miješani komunalni otpad</t>
        </is>
      </c>
      <c r="D3" s="15" t="n"/>
    </row>
    <row r="4">
      <c r="A4" s="24" t="n">
        <v>46030</v>
      </c>
      <c r="B4" s="15" t="inlineStr">
        <is>
          <t>četvrtak</t>
        </is>
      </c>
      <c r="C4" s="9" t="inlineStr">
        <is>
          <t>Reciklabilni otpad (papir, karton, plastika, metal)</t>
        </is>
      </c>
      <c r="D4" s="15" t="n"/>
    </row>
    <row r="5">
      <c r="A5" s="24" t="n">
        <v>46035</v>
      </c>
      <c r="B5" s="15" t="inlineStr">
        <is>
          <t>utorak</t>
        </is>
      </c>
      <c r="C5" s="10" t="inlineStr">
        <is>
          <t>Staklo</t>
        </is>
      </c>
      <c r="D5" s="15" t="n"/>
    </row>
    <row r="6">
      <c r="A6" s="24" t="n">
        <v>46044</v>
      </c>
      <c r="B6" s="15" t="inlineStr">
        <is>
          <t>četvrtak</t>
        </is>
      </c>
      <c r="C6" s="5" t="inlineStr">
        <is>
          <t>Miješani komunalni otpad</t>
        </is>
      </c>
      <c r="D6" s="15" t="n"/>
    </row>
    <row r="7">
      <c r="A7" s="24" t="n">
        <v>46056</v>
      </c>
      <c r="B7" s="15" t="inlineStr">
        <is>
          <t>utorak</t>
        </is>
      </c>
      <c r="C7" s="10" t="inlineStr">
        <is>
          <t>Staklo</t>
        </is>
      </c>
      <c r="D7" s="15" t="n"/>
    </row>
    <row r="8">
      <c r="A8" s="24" t="n">
        <v>46058</v>
      </c>
      <c r="B8" s="15" t="inlineStr">
        <is>
          <t>četvrtak</t>
        </is>
      </c>
      <c r="C8" s="5" t="inlineStr">
        <is>
          <t>Miješani komunalni otpad</t>
        </is>
      </c>
      <c r="D8" s="15" t="n"/>
    </row>
    <row r="9">
      <c r="A9" s="24" t="n">
        <v>46058</v>
      </c>
      <c r="B9" s="15" t="inlineStr">
        <is>
          <t>četvrtak</t>
        </is>
      </c>
      <c r="C9" s="9" t="inlineStr">
        <is>
          <t>Reciklabilni otpad (papir, karton, plastika, metal)</t>
        </is>
      </c>
      <c r="D9" s="15" t="n"/>
    </row>
    <row r="10">
      <c r="A10" s="24" t="n">
        <v>46072</v>
      </c>
      <c r="B10" s="15" t="inlineStr">
        <is>
          <t>četvrtak</t>
        </is>
      </c>
      <c r="C10" s="5" t="inlineStr">
        <is>
          <t>Miješani komunalni otpad</t>
        </is>
      </c>
      <c r="D10" s="15" t="n"/>
    </row>
    <row r="11">
      <c r="A11" s="24" t="n">
        <v>46084</v>
      </c>
      <c r="B11" s="15" t="inlineStr">
        <is>
          <t>utorak</t>
        </is>
      </c>
      <c r="C11" s="10" t="inlineStr">
        <is>
          <t>Staklo</t>
        </is>
      </c>
      <c r="D11" s="15" t="n"/>
    </row>
    <row r="12">
      <c r="A12" s="24" t="n">
        <v>46086</v>
      </c>
      <c r="B12" s="15" t="inlineStr">
        <is>
          <t>četvrtak</t>
        </is>
      </c>
      <c r="C12" s="5" t="inlineStr">
        <is>
          <t>Miješani komunalni otpad</t>
        </is>
      </c>
      <c r="D12" s="15" t="n"/>
    </row>
    <row r="13">
      <c r="A13" s="24" t="n">
        <v>46086</v>
      </c>
      <c r="B13" s="15" t="inlineStr">
        <is>
          <t>četvrtak</t>
        </is>
      </c>
      <c r="C13" s="9" t="inlineStr">
        <is>
          <t>Reciklabilni otpad (papir, karton, plastika, metal)</t>
        </is>
      </c>
      <c r="D13" s="15" t="n"/>
    </row>
    <row r="14">
      <c r="A14" s="24" t="n">
        <v>46100</v>
      </c>
      <c r="B14" s="15" t="inlineStr">
        <is>
          <t>četvrtak</t>
        </is>
      </c>
      <c r="C14" s="5" t="inlineStr">
        <is>
          <t>Miješani komunalni otpad</t>
        </is>
      </c>
      <c r="D14" s="15" t="n"/>
    </row>
    <row r="15">
      <c r="A15" s="24" t="n">
        <v>46114</v>
      </c>
      <c r="B15" s="15" t="inlineStr">
        <is>
          <t>četvrtak</t>
        </is>
      </c>
      <c r="C15" s="5" t="inlineStr">
        <is>
          <t>Miješani komunalni otpad</t>
        </is>
      </c>
      <c r="D15" s="15" t="n"/>
    </row>
    <row r="16">
      <c r="A16" s="24" t="n">
        <v>46119</v>
      </c>
      <c r="B16" s="15" t="inlineStr">
        <is>
          <t>utorak</t>
        </is>
      </c>
      <c r="C16" s="10" t="inlineStr">
        <is>
          <t>Staklo</t>
        </is>
      </c>
      <c r="D16" s="15" t="n"/>
    </row>
    <row r="17">
      <c r="A17" s="24" t="n">
        <v>46121</v>
      </c>
      <c r="B17" s="15" t="inlineStr">
        <is>
          <t>četvrtak</t>
        </is>
      </c>
      <c r="C17" s="5" t="inlineStr">
        <is>
          <t>Miješani komunalni otpad</t>
        </is>
      </c>
      <c r="D17" s="15" t="n"/>
    </row>
    <row r="18">
      <c r="A18" s="24" t="n">
        <v>46121</v>
      </c>
      <c r="B18" s="15" t="inlineStr">
        <is>
          <t>četvrtak</t>
        </is>
      </c>
      <c r="C18" s="9" t="inlineStr">
        <is>
          <t>Reciklabilni otpad (papir, karton, plastika, metal)</t>
        </is>
      </c>
      <c r="D18" s="15" t="n"/>
    </row>
    <row r="19">
      <c r="A19" s="24" t="n">
        <v>46135</v>
      </c>
      <c r="B19" s="15" t="inlineStr">
        <is>
          <t>četvrtak</t>
        </is>
      </c>
      <c r="C19" s="5" t="inlineStr">
        <is>
          <t>Miješani komunalni otpad</t>
        </is>
      </c>
      <c r="D19" s="15" t="n"/>
    </row>
    <row r="20">
      <c r="A20" s="24" t="n">
        <v>46147</v>
      </c>
      <c r="B20" s="15" t="inlineStr">
        <is>
          <t>utorak</t>
        </is>
      </c>
      <c r="C20" s="10" t="inlineStr">
        <is>
          <t>Staklo</t>
        </is>
      </c>
      <c r="D20" s="15" t="n"/>
    </row>
    <row r="21">
      <c r="A21" s="24" t="n">
        <v>46149</v>
      </c>
      <c r="B21" s="15" t="inlineStr">
        <is>
          <t>četvrtak</t>
        </is>
      </c>
      <c r="C21" s="5" t="inlineStr">
        <is>
          <t>Miješani komunalni otpad</t>
        </is>
      </c>
      <c r="D21" s="15" t="n"/>
    </row>
    <row r="22">
      <c r="A22" s="24" t="n">
        <v>46149</v>
      </c>
      <c r="B22" s="15" t="inlineStr">
        <is>
          <t>četvrtak</t>
        </is>
      </c>
      <c r="C22" s="9" t="inlineStr">
        <is>
          <t>Reciklabilni otpad (papir, karton, plastika, metal)</t>
        </is>
      </c>
      <c r="D22" s="15" t="n"/>
    </row>
    <row r="23">
      <c r="A23" s="24" t="n">
        <v>46163</v>
      </c>
      <c r="B23" s="15" t="inlineStr">
        <is>
          <t>četvrtak</t>
        </is>
      </c>
      <c r="C23" s="5" t="inlineStr">
        <is>
          <t>Miješani komunalni otpad</t>
        </is>
      </c>
      <c r="D23" s="15" t="n"/>
    </row>
    <row r="24">
      <c r="A24" s="24" t="n">
        <v>46175</v>
      </c>
      <c r="B24" s="15" t="inlineStr">
        <is>
          <t>utorak</t>
        </is>
      </c>
      <c r="C24" s="10" t="inlineStr">
        <is>
          <t>Staklo</t>
        </is>
      </c>
      <c r="D24" s="15" t="n"/>
    </row>
    <row r="25">
      <c r="A25" s="24" t="n">
        <v>46184</v>
      </c>
      <c r="B25" s="15" t="inlineStr">
        <is>
          <t>četvrtak</t>
        </is>
      </c>
      <c r="C25" s="5" t="inlineStr">
        <is>
          <t>Miješani komunalni otpad</t>
        </is>
      </c>
      <c r="D25" s="15" t="inlineStr">
        <is>
          <t>Pomaknuto zbog neradnog dana u tjednu</t>
        </is>
      </c>
    </row>
    <row r="26">
      <c r="A26" s="24" t="n">
        <v>46184</v>
      </c>
      <c r="B26" s="15" t="inlineStr">
        <is>
          <t>četvrtak</t>
        </is>
      </c>
      <c r="C26" s="9" t="inlineStr">
        <is>
          <t>Reciklabilni otpad (papir, karton, plastika, metal)</t>
        </is>
      </c>
      <c r="D26" s="15" t="inlineStr">
        <is>
          <t>Pomaknuto zbog neradnog dana u tjednu</t>
        </is>
      </c>
    </row>
    <row r="27">
      <c r="A27" s="24" t="n">
        <v>46191</v>
      </c>
      <c r="B27" s="15" t="inlineStr">
        <is>
          <t>četvrtak</t>
        </is>
      </c>
      <c r="C27" s="5" t="inlineStr">
        <is>
          <t>Miješani komunalni otpad</t>
        </is>
      </c>
      <c r="D27" s="15" t="n"/>
    </row>
    <row r="28">
      <c r="A28" s="24" t="n">
        <v>46191</v>
      </c>
      <c r="B28" s="15" t="inlineStr">
        <is>
          <t>četvrtak</t>
        </is>
      </c>
      <c r="C28" s="9" t="inlineStr">
        <is>
          <t>Reciklabilni otpad (papir, karton, plastika, metal)</t>
        </is>
      </c>
      <c r="D28" s="15" t="n"/>
    </row>
    <row r="29">
      <c r="A29" s="24" t="n">
        <v>46205</v>
      </c>
      <c r="B29" s="15" t="inlineStr">
        <is>
          <t>četvrtak</t>
        </is>
      </c>
      <c r="C29" s="5" t="inlineStr">
        <is>
          <t>Miješani komunalni otpad</t>
        </is>
      </c>
      <c r="D29" s="15" t="n"/>
    </row>
    <row r="30">
      <c r="A30" s="24" t="n">
        <v>46210</v>
      </c>
      <c r="B30" s="15" t="inlineStr">
        <is>
          <t>utorak</t>
        </is>
      </c>
      <c r="C30" s="10" t="inlineStr">
        <is>
          <t>Staklo</t>
        </is>
      </c>
      <c r="D30" s="15" t="n"/>
    </row>
    <row r="31">
      <c r="A31" s="24" t="n">
        <v>46212</v>
      </c>
      <c r="B31" s="15" t="inlineStr">
        <is>
          <t>četvrtak</t>
        </is>
      </c>
      <c r="C31" s="5" t="inlineStr">
        <is>
          <t>Miješani komunalni otpad</t>
        </is>
      </c>
      <c r="D31" s="15" t="n"/>
    </row>
    <row r="32">
      <c r="A32" s="24" t="n">
        <v>46212</v>
      </c>
      <c r="B32" s="15" t="inlineStr">
        <is>
          <t>četvrtak</t>
        </is>
      </c>
      <c r="C32" s="9" t="inlineStr">
        <is>
          <t>Reciklabilni otpad (papir, karton, plastika, metal)</t>
        </is>
      </c>
      <c r="D32" s="15" t="n"/>
    </row>
    <row r="33">
      <c r="A33" s="24" t="n">
        <v>46219</v>
      </c>
      <c r="B33" s="15" t="inlineStr">
        <is>
          <t>četvrtak</t>
        </is>
      </c>
      <c r="C33" s="5" t="inlineStr">
        <is>
          <t>Miješani komunalni otpad</t>
        </is>
      </c>
      <c r="D33" s="15" t="n"/>
    </row>
    <row r="34">
      <c r="A34" s="24" t="n">
        <v>46226</v>
      </c>
      <c r="B34" s="15" t="inlineStr">
        <is>
          <t>četvrtak</t>
        </is>
      </c>
      <c r="C34" s="5" t="inlineStr">
        <is>
          <t>Miješani komunalni otpad</t>
        </is>
      </c>
      <c r="D34" s="15" t="n"/>
    </row>
    <row r="35">
      <c r="A35" s="24" t="n">
        <v>46226</v>
      </c>
      <c r="B35" s="15" t="inlineStr">
        <is>
          <t>četvrtak</t>
        </is>
      </c>
      <c r="C35" s="9" t="inlineStr">
        <is>
          <t>Reciklabilni otpad (papir, karton, plastika, metal)</t>
        </is>
      </c>
      <c r="D35" s="15" t="n"/>
    </row>
    <row r="36">
      <c r="A36" s="24" t="n">
        <v>46233</v>
      </c>
      <c r="B36" s="15" t="inlineStr">
        <is>
          <t>četvrtak</t>
        </is>
      </c>
      <c r="C36" s="5" t="inlineStr">
        <is>
          <t>Miješani komunalni otpad</t>
        </is>
      </c>
      <c r="D36" s="15" t="n"/>
    </row>
    <row r="37">
      <c r="A37" s="24" t="n">
        <v>46238</v>
      </c>
      <c r="B37" s="15" t="inlineStr">
        <is>
          <t>utorak</t>
        </is>
      </c>
      <c r="C37" s="10" t="inlineStr">
        <is>
          <t>Staklo</t>
        </is>
      </c>
      <c r="D37" s="15" t="n"/>
    </row>
    <row r="38">
      <c r="A38" s="24" t="n">
        <v>46240</v>
      </c>
      <c r="B38" s="15" t="inlineStr">
        <is>
          <t>četvrtak</t>
        </is>
      </c>
      <c r="C38" s="5" t="inlineStr">
        <is>
          <t>Miješani komunalni otpad</t>
        </is>
      </c>
      <c r="D38" s="15" t="n"/>
    </row>
    <row r="39">
      <c r="A39" s="24" t="n">
        <v>46240</v>
      </c>
      <c r="B39" s="15" t="inlineStr">
        <is>
          <t>četvrtak</t>
        </is>
      </c>
      <c r="C39" s="9" t="inlineStr">
        <is>
          <t>Reciklabilni otpad (papir, karton, plastika, metal)</t>
        </is>
      </c>
      <c r="D39" s="15" t="n"/>
    </row>
    <row r="40">
      <c r="A40" s="24" t="n">
        <v>46247</v>
      </c>
      <c r="B40" s="15" t="inlineStr">
        <is>
          <t>četvrtak</t>
        </is>
      </c>
      <c r="C40" s="5" t="inlineStr">
        <is>
          <t>Miješani komunalni otpad</t>
        </is>
      </c>
      <c r="D40" s="15" t="n"/>
    </row>
    <row r="41">
      <c r="A41" s="24" t="n">
        <v>46254</v>
      </c>
      <c r="B41" s="15" t="inlineStr">
        <is>
          <t>četvrtak</t>
        </is>
      </c>
      <c r="C41" s="5" t="inlineStr">
        <is>
          <t>Miješani komunalni otpad</t>
        </is>
      </c>
      <c r="D41" s="15" t="n"/>
    </row>
    <row r="42">
      <c r="A42" s="24" t="n">
        <v>46254</v>
      </c>
      <c r="B42" s="15" t="inlineStr">
        <is>
          <t>četvrtak</t>
        </is>
      </c>
      <c r="C42" s="9" t="inlineStr">
        <is>
          <t>Reciklabilni otpad (papir, karton, plastika, metal)</t>
        </is>
      </c>
      <c r="D42" s="15" t="n"/>
    </row>
    <row r="43">
      <c r="A43" s="24" t="n">
        <v>46261</v>
      </c>
      <c r="B43" s="15" t="inlineStr">
        <is>
          <t>četvrtak</t>
        </is>
      </c>
      <c r="C43" s="5" t="inlineStr">
        <is>
          <t>Miješani komunalni otpad</t>
        </is>
      </c>
      <c r="D43" s="15" t="n"/>
    </row>
    <row r="44">
      <c r="A44" s="24" t="n">
        <v>46266</v>
      </c>
      <c r="B44" s="15" t="inlineStr">
        <is>
          <t>utorak</t>
        </is>
      </c>
      <c r="C44" s="10" t="inlineStr">
        <is>
          <t>Staklo</t>
        </is>
      </c>
      <c r="D44" s="15" t="n"/>
    </row>
    <row r="45">
      <c r="A45" s="24" t="n">
        <v>46268</v>
      </c>
      <c r="B45" s="15" t="inlineStr">
        <is>
          <t>četvrtak</t>
        </is>
      </c>
      <c r="C45" s="5" t="inlineStr">
        <is>
          <t>Miješani komunalni otpad</t>
        </is>
      </c>
      <c r="D45" s="15" t="n"/>
    </row>
    <row r="46">
      <c r="A46" s="24" t="n">
        <v>46268</v>
      </c>
      <c r="B46" s="15" t="inlineStr">
        <is>
          <t>četvrtak</t>
        </is>
      </c>
      <c r="C46" s="9" t="inlineStr">
        <is>
          <t>Reciklabilni otpad (papir, karton, plastika, metal)</t>
        </is>
      </c>
      <c r="D46" s="15" t="n"/>
    </row>
    <row r="47">
      <c r="A47" s="24" t="n">
        <v>46275</v>
      </c>
      <c r="B47" s="15" t="inlineStr">
        <is>
          <t>četvrtak</t>
        </is>
      </c>
      <c r="C47" s="5" t="inlineStr">
        <is>
          <t>Miješani komunalni otpad</t>
        </is>
      </c>
      <c r="D47" s="15" t="n"/>
    </row>
    <row r="48">
      <c r="A48" s="24" t="n">
        <v>46289</v>
      </c>
      <c r="B48" s="15" t="inlineStr">
        <is>
          <t>četvrtak</t>
        </is>
      </c>
      <c r="C48" s="5" t="inlineStr">
        <is>
          <t>Miješani komunalni otpad</t>
        </is>
      </c>
      <c r="D48" s="15" t="n"/>
    </row>
    <row r="49">
      <c r="A49" s="24" t="n">
        <v>46289</v>
      </c>
      <c r="B49" s="15" t="inlineStr">
        <is>
          <t>četvrtak</t>
        </is>
      </c>
      <c r="C49" s="9" t="inlineStr">
        <is>
          <t>Reciklabilni otpad (papir, karton, plastika, metal)</t>
        </is>
      </c>
      <c r="D49" s="15" t="n"/>
    </row>
    <row r="50">
      <c r="A50" s="24" t="n">
        <v>46301</v>
      </c>
      <c r="B50" s="15" t="inlineStr">
        <is>
          <t>utorak</t>
        </is>
      </c>
      <c r="C50" s="10" t="inlineStr">
        <is>
          <t>Staklo</t>
        </is>
      </c>
      <c r="D50" s="15" t="n"/>
    </row>
    <row r="51">
      <c r="A51" s="24" t="n">
        <v>46303</v>
      </c>
      <c r="B51" s="15" t="inlineStr">
        <is>
          <t>četvrtak</t>
        </is>
      </c>
      <c r="C51" s="5" t="inlineStr">
        <is>
          <t>Miješani komunalni otpad</t>
        </is>
      </c>
      <c r="D51" s="15" t="n"/>
    </row>
    <row r="52">
      <c r="A52" s="24" t="n">
        <v>46303</v>
      </c>
      <c r="B52" s="15" t="inlineStr">
        <is>
          <t>četvrtak</t>
        </is>
      </c>
      <c r="C52" s="9" t="inlineStr">
        <is>
          <t>Reciklabilni otpad (papir, karton, plastika, metal)</t>
        </is>
      </c>
      <c r="D52" s="15" t="n"/>
    </row>
    <row r="53">
      <c r="A53" s="24" t="n">
        <v>46317</v>
      </c>
      <c r="B53" s="15" t="inlineStr">
        <is>
          <t>četvrtak</t>
        </is>
      </c>
      <c r="C53" s="5" t="inlineStr">
        <is>
          <t>Miješani komunalni otpad</t>
        </is>
      </c>
      <c r="D53" s="15" t="n"/>
    </row>
    <row r="54">
      <c r="A54" s="24" t="n">
        <v>46329</v>
      </c>
      <c r="B54" s="15" t="inlineStr">
        <is>
          <t>utorak</t>
        </is>
      </c>
      <c r="C54" s="10" t="inlineStr">
        <is>
          <t>Staklo</t>
        </is>
      </c>
      <c r="D54" s="15" t="n"/>
    </row>
    <row r="55">
      <c r="A55" s="24" t="n">
        <v>46331</v>
      </c>
      <c r="B55" s="15" t="inlineStr">
        <is>
          <t>četvrtak</t>
        </is>
      </c>
      <c r="C55" s="5" t="inlineStr">
        <is>
          <t>Miješani komunalni otpad</t>
        </is>
      </c>
      <c r="D55" s="15" t="n"/>
    </row>
    <row r="56">
      <c r="A56" s="24" t="n">
        <v>46331</v>
      </c>
      <c r="B56" s="15" t="inlineStr">
        <is>
          <t>četvrtak</t>
        </is>
      </c>
      <c r="C56" s="9" t="inlineStr">
        <is>
          <t>Reciklabilni otpad (papir, karton, plastika, metal)</t>
        </is>
      </c>
      <c r="D56" s="15" t="n"/>
    </row>
    <row r="57">
      <c r="A57" s="24" t="n">
        <v>46345</v>
      </c>
      <c r="B57" s="15" t="inlineStr">
        <is>
          <t>četvrtak</t>
        </is>
      </c>
      <c r="C57" s="5" t="inlineStr">
        <is>
          <t>Miješani komunalni otpad</t>
        </is>
      </c>
      <c r="D57" s="15" t="n"/>
    </row>
    <row r="58">
      <c r="A58" s="24" t="n">
        <v>46357</v>
      </c>
      <c r="B58" s="15" t="inlineStr">
        <is>
          <t>utorak</t>
        </is>
      </c>
      <c r="C58" s="10" t="inlineStr">
        <is>
          <t>Staklo</t>
        </is>
      </c>
      <c r="D58" s="15" t="n"/>
    </row>
    <row r="59">
      <c r="A59" s="24" t="n">
        <v>46359</v>
      </c>
      <c r="B59" s="15" t="inlineStr">
        <is>
          <t>četvrtak</t>
        </is>
      </c>
      <c r="C59" s="5" t="inlineStr">
        <is>
          <t>Miješani komunalni otpad</t>
        </is>
      </c>
      <c r="D59" s="15" t="n"/>
    </row>
    <row r="60">
      <c r="A60" s="24" t="n">
        <v>46359</v>
      </c>
      <c r="B60" s="15" t="inlineStr">
        <is>
          <t>četvrtak</t>
        </is>
      </c>
      <c r="C60" s="9" t="inlineStr">
        <is>
          <t>Reciklabilni otpad (papir, karton, plastika, metal)</t>
        </is>
      </c>
      <c r="D60" s="15" t="n"/>
    </row>
    <row r="61">
      <c r="A61" s="24" t="n">
        <v>46373</v>
      </c>
      <c r="B61" s="15" t="inlineStr">
        <is>
          <t>četvrtak</t>
        </is>
      </c>
      <c r="C61" s="5" t="inlineStr">
        <is>
          <t>Miješani komunalni otpad</t>
        </is>
      </c>
      <c r="D61" s="15" t="n"/>
    </row>
    <row r="62">
      <c r="A62" s="24" t="n">
        <v>46387</v>
      </c>
      <c r="B62" s="15" t="inlineStr">
        <is>
          <t>četvrtak</t>
        </is>
      </c>
      <c r="C62" s="5" t="inlineStr">
        <is>
          <t>Miješani komunalni otpad</t>
        </is>
      </c>
      <c r="D62" s="15" t="n"/>
    </row>
  </sheetData>
  <autoFilter ref="A1:D6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1"/>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4 (Vrbovsko): ulice i naselja</t>
        </is>
      </c>
    </row>
    <row r="2">
      <c r="A2" s="20" t="inlineStr">
        <is>
          <t>MO VRBOVSKO, LUKOVDOL, PLEMENITAŠ, SEVERIN, JADRČ- OSOJNIK: Stubica (od raskršća prema Nadvučniku), Nadvučnik, Lukovdol, Ertić, Zaumol, Plemenitaš, Zapeć, Blaževci, Štefanci, Gorenci, Dolenci, Podvučnik, Lukovdolska Draga, Močile, Severin na Kupi, Klanac, Rim, Zdihovo, Liplje, Osojnik, Veliki Jadrč, Mali Jadrč, Gorica, Damalj, Plešivica, Mali Klanac, Smišljak</t>
        </is>
      </c>
    </row>
    <row r="4">
      <c r="A4" s="4" t="inlineStr">
        <is>
          <t>Ulica / naselje</t>
        </is>
      </c>
    </row>
    <row r="5">
      <c r="A5" s="15" t="inlineStr">
        <is>
          <t>Stubica (od raskršća prema Nadvučniku)</t>
        </is>
      </c>
    </row>
    <row r="6">
      <c r="A6" s="15" t="inlineStr">
        <is>
          <t>Nadvučnik</t>
        </is>
      </c>
    </row>
    <row r="7">
      <c r="A7" s="15" t="inlineStr">
        <is>
          <t>Lukovdol</t>
        </is>
      </c>
    </row>
    <row r="8">
      <c r="A8" s="15" t="inlineStr">
        <is>
          <t>Ertić</t>
        </is>
      </c>
    </row>
    <row r="9">
      <c r="A9" s="15" t="inlineStr">
        <is>
          <t>Zaumol</t>
        </is>
      </c>
    </row>
    <row r="10">
      <c r="A10" s="15" t="inlineStr">
        <is>
          <t>Plemenitaš</t>
        </is>
      </c>
    </row>
    <row r="11">
      <c r="A11" s="15" t="inlineStr">
        <is>
          <t>Zapeć</t>
        </is>
      </c>
    </row>
    <row r="12">
      <c r="A12" s="15" t="inlineStr">
        <is>
          <t>Blaževci</t>
        </is>
      </c>
    </row>
    <row r="13">
      <c r="A13" s="15" t="inlineStr">
        <is>
          <t>Štefanci</t>
        </is>
      </c>
    </row>
    <row r="14">
      <c r="A14" s="15" t="inlineStr">
        <is>
          <t>Gorenci</t>
        </is>
      </c>
    </row>
    <row r="15">
      <c r="A15" s="15" t="inlineStr">
        <is>
          <t>Dolenci</t>
        </is>
      </c>
    </row>
    <row r="16">
      <c r="A16" s="15" t="inlineStr">
        <is>
          <t>Podvučnik</t>
        </is>
      </c>
    </row>
    <row r="17">
      <c r="A17" s="15" t="inlineStr">
        <is>
          <t>Lukovdolska Draga</t>
        </is>
      </c>
    </row>
    <row r="18">
      <c r="A18" s="15" t="inlineStr">
        <is>
          <t>Močile</t>
        </is>
      </c>
    </row>
    <row r="19">
      <c r="A19" s="15" t="inlineStr">
        <is>
          <t>Severin na Kupi</t>
        </is>
      </c>
    </row>
    <row r="20">
      <c r="A20" s="15" t="inlineStr">
        <is>
          <t>Klanac</t>
        </is>
      </c>
    </row>
    <row r="21">
      <c r="A21" s="15" t="inlineStr">
        <is>
          <t>Rim</t>
        </is>
      </c>
    </row>
    <row r="22">
      <c r="A22" s="15" t="inlineStr">
        <is>
          <t>Zdihovo</t>
        </is>
      </c>
    </row>
    <row r="23">
      <c r="A23" s="15" t="inlineStr">
        <is>
          <t>Liplje</t>
        </is>
      </c>
    </row>
    <row r="24">
      <c r="A24" s="15" t="inlineStr">
        <is>
          <t>Osojnik</t>
        </is>
      </c>
    </row>
    <row r="25">
      <c r="A25" s="15" t="inlineStr">
        <is>
          <t>Veliki Jadrč</t>
        </is>
      </c>
    </row>
    <row r="26">
      <c r="A26" s="15" t="inlineStr">
        <is>
          <t>Mali Jadrč</t>
        </is>
      </c>
    </row>
    <row r="27">
      <c r="A27" s="15" t="inlineStr">
        <is>
          <t>Gorica</t>
        </is>
      </c>
    </row>
    <row r="28">
      <c r="A28" s="15" t="inlineStr">
        <is>
          <t>Damalj</t>
        </is>
      </c>
    </row>
    <row r="29">
      <c r="A29" s="15" t="inlineStr">
        <is>
          <t>Plešivica</t>
        </is>
      </c>
    </row>
    <row r="30">
      <c r="A30" s="15" t="inlineStr">
        <is>
          <t>Mali Klanac</t>
        </is>
      </c>
    </row>
    <row r="31">
      <c r="A31" s="15" t="inlineStr">
        <is>
          <t>Smišljak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2026-10-08T06:00:55Z</dcterms:created>
  <dcterms:modified xmlns:dcterms="http://purl.org/dc/terms/" xmlns:xsi="http://www.w3.org/2001/XMLSchema-instance" xsi:type="dcterms:W3CDTF">2026-10-08T06:00:55Z</dcterms:modified>
</cp:coreProperties>
</file>
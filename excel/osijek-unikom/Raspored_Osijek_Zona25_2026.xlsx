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Biootpad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Plastika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9">
      <c r="A9" s="11" t="inlineStr">
        <is>
          <t>Papir i karton</t>
        </is>
      </c>
      <c r="B9" s="6">
        <f>IFERROR(1/(1/_xlfn.MINIFS(Raspored!$A$5:$A$120,Raspored!$G$5:$G$120,"x",Raspored!$A$5:$A$120,"&gt;="&amp;$B$3)),"nema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  <c r="E13" s="7">
        <f>COUNTIFS(Raspored!$C$5:$C$120,$A13,Raspored!$G$5:$G$120,"x")</f>
        <v/>
      </c>
    </row>
    <row r="14">
      <c r="A14" s="17" t="inlineStr">
        <is>
          <t>veljača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  <c r="E14" s="7">
        <f>COUNTIFS(Raspored!$C$5:$C$120,$A14,Raspored!$G$5:$G$120,"x")</f>
        <v/>
      </c>
    </row>
    <row r="15">
      <c r="A15" s="17" t="inlineStr">
        <is>
          <t>ožujak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  <c r="E15" s="7">
        <f>COUNTIFS(Raspored!$C$5:$C$120,$A15,Raspored!$G$5:$G$120,"x")</f>
        <v/>
      </c>
    </row>
    <row r="16">
      <c r="A16" s="17" t="inlineStr">
        <is>
          <t>travanj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  <c r="E16" s="7">
        <f>COUNTIFS(Raspored!$C$5:$C$120,$A16,Raspored!$G$5:$G$120,"x")</f>
        <v/>
      </c>
    </row>
    <row r="17">
      <c r="A17" s="17" t="inlineStr">
        <is>
          <t>svibanj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  <c r="E17" s="7">
        <f>COUNTIFS(Raspored!$C$5:$C$120,$A17,Raspored!$G$5:$G$120,"x")</f>
        <v/>
      </c>
    </row>
    <row r="18">
      <c r="A18" s="17" t="inlineStr">
        <is>
          <t>lipanj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  <c r="E18" s="7">
        <f>COUNTIFS(Raspored!$C$5:$C$120,$A18,Raspored!$G$5:$G$120,"x")</f>
        <v/>
      </c>
    </row>
    <row r="19">
      <c r="A19" s="17" t="inlineStr">
        <is>
          <t>srpanj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  <c r="E19" s="7">
        <f>COUNTIFS(Raspored!$C$5:$C$120,$A19,Raspored!$G$5:$G$120,"x")</f>
        <v/>
      </c>
    </row>
    <row r="20">
      <c r="A20" s="17" t="inlineStr">
        <is>
          <t>kolovoz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  <c r="E20" s="7">
        <f>COUNTIFS(Raspored!$C$5:$C$120,$A20,Raspored!$G$5:$G$120,"x")</f>
        <v/>
      </c>
    </row>
    <row r="21">
      <c r="A21" s="17" t="inlineStr">
        <is>
          <t>rujan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  <c r="E21" s="7">
        <f>COUNTIFS(Raspored!$C$5:$C$120,$A21,Raspored!$G$5:$G$120,"x")</f>
        <v/>
      </c>
    </row>
    <row r="22">
      <c r="A22" s="17" t="inlineStr">
        <is>
          <t>listopad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  <c r="E22" s="7">
        <f>COUNTIFS(Raspored!$C$5:$C$120,$A22,Raspored!$G$5:$G$120,"x")</f>
        <v/>
      </c>
    </row>
    <row r="23">
      <c r="A23" s="17" t="inlineStr">
        <is>
          <t>studeni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  <c r="E23" s="7">
        <f>COUNTIFS(Raspored!$C$5:$C$120,$A23,Raspored!$G$5:$G$120,"x")</f>
        <v/>
      </c>
    </row>
    <row r="24">
      <c r="A24" s="17" t="inlineStr">
        <is>
          <t>prosinac</t>
        </is>
      </c>
      <c r="B24" s="7">
        <f>COUNTIFS(Raspored!$C$5:$C$120,$A24,Raspored!$D$5:$D$120,"x")</f>
        <v/>
      </c>
      <c r="C24" s="7">
        <f>COUNTIFS(Raspored!$C$5:$C$120,$A24,Raspored!$E$5:$E$120,"x")</f>
        <v/>
      </c>
      <c r="D24" s="7">
        <f>COUNTIFS(Raspored!$C$5:$C$120,$A24,Raspored!$F$5:$F$120,"x")</f>
        <v/>
      </c>
      <c r="E24" s="7">
        <f>COUNTIFS(Raspored!$C$5:$C$120,$A24,Raspored!$G$5:$G$120,"x")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25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46071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46078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46084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46091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46098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46099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46105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46106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46107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46112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46119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46120</v>
      </c>
      <c r="B35" s="7" t="inlineStr">
        <is>
          <t>srijeda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46126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46127</v>
      </c>
      <c r="B37" s="7" t="inlineStr">
        <is>
          <t>srijeda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46147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46154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46155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46161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46162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46168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46169</v>
      </c>
      <c r="B50" s="7" t="inlineStr">
        <is>
          <t>srijeda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46175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46182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46183</v>
      </c>
      <c r="B55" s="7" t="inlineStr">
        <is>
          <t>srijeda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46189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46190</v>
      </c>
      <c r="B57" s="7" t="inlineStr">
        <is>
          <t>srijeda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46196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46197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46198</v>
      </c>
      <c r="B60" s="7" t="inlineStr">
        <is>
          <t>četvrtak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46203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46210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46217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46224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46225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46226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46231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46238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46245</v>
      </c>
      <c r="B74" s="7" t="inlineStr">
        <is>
          <t>utorak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46246</v>
      </c>
      <c r="B75" s="7" t="inlineStr">
        <is>
          <t>srijeda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46252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46253</v>
      </c>
      <c r="B77" s="7" t="inlineStr">
        <is>
          <t>srijeda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46259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46260</v>
      </c>
      <c r="B79" s="7" t="inlineStr">
        <is>
          <t>srijeda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46261</v>
      </c>
      <c r="B80" s="7" t="inlineStr">
        <is>
          <t>četvrtak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46266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46267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46273</v>
      </c>
      <c r="B83" s="7" t="inlineStr">
        <is>
          <t>utorak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46274</v>
      </c>
      <c r="B84" s="7" t="inlineStr">
        <is>
          <t>srijeda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46280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46281</v>
      </c>
      <c r="B86" s="7" t="inlineStr">
        <is>
          <t>srijeda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46287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46288</v>
      </c>
      <c r="B88" s="7" t="inlineStr">
        <is>
          <t>srijeda</t>
        </is>
      </c>
      <c r="C88" s="7" t="inlineStr">
        <is>
          <t>rujan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46289</v>
      </c>
      <c r="B89" s="7" t="inlineStr">
        <is>
          <t>četvrtak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46294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46301</v>
      </c>
      <c r="B92" s="7" t="inlineStr">
        <is>
          <t>utorak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46302</v>
      </c>
      <c r="B93" s="7" t="inlineStr">
        <is>
          <t>srijeda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46308</v>
      </c>
      <c r="B94" s="7" t="inlineStr">
        <is>
          <t>utorak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46309</v>
      </c>
      <c r="B95" s="7" t="inlineStr">
        <is>
          <t>srijeda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46315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46316</v>
      </c>
      <c r="B97" s="7" t="inlineStr">
        <is>
          <t>srijeda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46317</v>
      </c>
      <c r="B98" s="7" t="inlineStr">
        <is>
          <t>četvrtak</t>
        </is>
      </c>
      <c r="C98" s="7" t="inlineStr">
        <is>
          <t>listopad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46322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46329</v>
      </c>
      <c r="B101" s="7" t="inlineStr">
        <is>
          <t>utorak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46330</v>
      </c>
      <c r="B102" s="7" t="inlineStr">
        <is>
          <t>srijeda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46336</v>
      </c>
      <c r="B103" s="7" t="inlineStr">
        <is>
          <t>utorak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46337</v>
      </c>
      <c r="B104" s="7" t="inlineStr">
        <is>
          <t>srijeda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46343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46344</v>
      </c>
      <c r="B106" s="7" t="inlineStr">
        <is>
          <t>srijeda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46350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46351</v>
      </c>
      <c r="B108" s="7" t="inlineStr">
        <is>
          <t>srijeda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46352</v>
      </c>
      <c r="B109" s="7" t="inlineStr">
        <is>
          <t>četvrtak</t>
        </is>
      </c>
      <c r="C109" s="7" t="inlineStr">
        <is>
          <t>studeni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46357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46364</v>
      </c>
      <c r="B112" s="7" t="inlineStr">
        <is>
          <t>utorak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46365</v>
      </c>
      <c r="B113" s="7" t="inlineStr">
        <is>
          <t>srijeda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46371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46372</v>
      </c>
      <c r="B115" s="7" t="inlineStr">
        <is>
          <t>srijeda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46378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46379</v>
      </c>
      <c r="B117" s="7" t="inlineStr">
        <is>
          <t>srijeda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46380</v>
      </c>
      <c r="B118" s="7" t="inlineStr">
        <is>
          <t>četvrtak</t>
        </is>
      </c>
      <c r="C118" s="7" t="inlineStr">
        <is>
          <t>prosinac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46385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46386</v>
      </c>
      <c r="B120" s="7" t="inlineStr">
        <is>
          <t>srijeda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23" t="n"/>
    </row>
  </sheetData>
  <autoFilter ref="A4:H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G5:G120">
    <cfRule type="expression" priority="4" dxfId="3">
      <formula>G5="x"</formula>
    </cfRule>
  </conditionalFormatting>
  <conditionalFormatting sqref="A5:H1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46044</v>
      </c>
      <c r="B8" s="17" t="inlineStr">
        <is>
          <t>četvrtak</t>
        </is>
      </c>
      <c r="C8" s="10" t="inlineStr">
        <is>
          <t>Plastika</t>
        </is>
      </c>
      <c r="D8" s="17" t="n"/>
    </row>
    <row r="9">
      <c r="A9" s="24" t="n">
        <v>46044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46070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46078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46079</v>
      </c>
      <c r="B20" s="17" t="inlineStr">
        <is>
          <t>četvrtak</t>
        </is>
      </c>
      <c r="C20" s="10" t="inlineStr">
        <is>
          <t>Plastika</t>
        </is>
      </c>
      <c r="D20" s="17" t="n"/>
    </row>
    <row r="21">
      <c r="A21" s="24" t="n">
        <v>46079</v>
      </c>
      <c r="B21" s="17" t="inlineStr">
        <is>
          <t>četvrtak</t>
        </is>
      </c>
      <c r="C21" s="11" t="inlineStr">
        <is>
          <t>Papir i karton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46105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46106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46107</v>
      </c>
      <c r="B30" s="17" t="inlineStr">
        <is>
          <t>četvrtak</t>
        </is>
      </c>
      <c r="C30" s="10" t="inlineStr">
        <is>
          <t>Plastika</t>
        </is>
      </c>
      <c r="D30" s="17" t="n"/>
    </row>
    <row r="31">
      <c r="A31" s="24" t="n">
        <v>46107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46133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46134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46135</v>
      </c>
      <c r="B40" s="17" t="inlineStr">
        <is>
          <t>četvrtak</t>
        </is>
      </c>
      <c r="C40" s="10" t="inlineStr">
        <is>
          <t>Plastika</t>
        </is>
      </c>
      <c r="D40" s="17" t="n"/>
    </row>
    <row r="41">
      <c r="A41" s="24" t="n">
        <v>46135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46161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46168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46169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46170</v>
      </c>
      <c r="B52" s="17" t="inlineStr">
        <is>
          <t>četvrtak</t>
        </is>
      </c>
      <c r="C52" s="10" t="inlineStr">
        <is>
          <t>Plastika</t>
        </is>
      </c>
      <c r="D52" s="17" t="n"/>
    </row>
    <row r="53">
      <c r="A53" s="24" t="n">
        <v>46170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46197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46198</v>
      </c>
      <c r="B62" s="17" t="inlineStr">
        <is>
          <t>četvrtak</t>
        </is>
      </c>
      <c r="C62" s="10" t="inlineStr">
        <is>
          <t>Plastika</t>
        </is>
      </c>
      <c r="D62" s="17" t="n"/>
    </row>
    <row r="63">
      <c r="A63" s="24" t="n">
        <v>46198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46225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46226</v>
      </c>
      <c r="B72" s="17" t="inlineStr">
        <is>
          <t>četvrtak</t>
        </is>
      </c>
      <c r="C72" s="10" t="inlineStr">
        <is>
          <t>Plastika</t>
        </is>
      </c>
      <c r="D72" s="17" t="n"/>
    </row>
    <row r="73">
      <c r="A73" s="24" t="n">
        <v>46226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46259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46260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46261</v>
      </c>
      <c r="B84" s="17" t="inlineStr">
        <is>
          <t>četvrtak</t>
        </is>
      </c>
      <c r="C84" s="10" t="inlineStr">
        <is>
          <t>Plastika</t>
        </is>
      </c>
      <c r="D84" s="17" t="n"/>
    </row>
    <row r="85">
      <c r="A85" s="24" t="n">
        <v>46261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46287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46288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46289</v>
      </c>
      <c r="B94" s="17" t="inlineStr">
        <is>
          <t>četvrtak</t>
        </is>
      </c>
      <c r="C94" s="10" t="inlineStr">
        <is>
          <t>Plastika</t>
        </is>
      </c>
      <c r="D94" s="17" t="n"/>
    </row>
    <row r="95">
      <c r="A95" s="24" t="n">
        <v>46289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46317</v>
      </c>
      <c r="B104" s="17" t="inlineStr">
        <is>
          <t>četvrtak</t>
        </is>
      </c>
      <c r="C104" s="10" t="inlineStr">
        <is>
          <t>Plastika</t>
        </is>
      </c>
      <c r="D104" s="17" t="n"/>
    </row>
    <row r="105">
      <c r="A105" s="24" t="n">
        <v>46317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46350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46352</v>
      </c>
      <c r="B116" s="17" t="inlineStr">
        <is>
          <t>četvrtak</t>
        </is>
      </c>
      <c r="C116" s="10" t="inlineStr">
        <is>
          <t>Plastika</t>
        </is>
      </c>
      <c r="D116" s="17" t="n"/>
    </row>
    <row r="117">
      <c r="A117" s="24" t="n">
        <v>46352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46380</v>
      </c>
      <c r="B126" s="17" t="inlineStr">
        <is>
          <t>četvrtak</t>
        </is>
      </c>
      <c r="C126" s="10" t="inlineStr">
        <is>
          <t>Plastika</t>
        </is>
      </c>
      <c r="D126" s="17" t="n"/>
    </row>
    <row r="127">
      <c r="A127" s="24" t="n">
        <v>46380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Krapinsko naselje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
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'Raspored'!$A$4:$J$61</definedName>
    <definedName name="_xlnm._FilterDatabase" localSheetId="2" hidden="1">'Po vrsti'!$A$1:$D$110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Svibovec Podravski,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Biootpad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8">
      <c r="A8" s="10" t="inlineStr">
        <is>
          <t>Plastika</t>
        </is>
      </c>
      <c r="B8" s="6">
        <f>IFERROR(1/(1/_xlfn.MINIFS(Raspored!$A$5:$A$61,Raspored!$F$5:$F$61,"x",Raspored!$A$5:$A$61,"&gt;="&amp;$B$3)),"nema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COUNTIF(Raspored!$F$5:$F$61,"x")</f>
        <v/>
      </c>
    </row>
    <row r="9">
      <c r="A9" s="11" t="inlineStr">
        <is>
          <t>Papir i karton</t>
        </is>
      </c>
      <c r="B9" s="6">
        <f>IFERROR(1/(1/_xlfn.MINIFS(Raspored!$A$5:$A$61,Raspored!$G$5:$G$61,"x",Raspored!$A$5:$A$61,"&gt;="&amp;$B$3)),"nema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COUNTIF(Raspored!$G$5:$G$61,"x")</f>
        <v/>
      </c>
    </row>
    <row r="10">
      <c r="A10" s="12" t="inlineStr">
        <is>
          <t>Staklo</t>
        </is>
      </c>
      <c r="B10" s="6">
        <f>IFERROR(1/(1/_xlfn.MINIFS(Raspored!$A$5:$A$61,Raspored!$H$5:$H$61,"x",Raspored!$A$5:$A$61,"&gt;="&amp;$B$3)),"nema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COUNTIF(Raspored!$H$5:$H$61,"x")</f>
        <v/>
      </c>
    </row>
    <row r="11">
      <c r="A11" s="13" t="inlineStr">
        <is>
          <t>Metal</t>
        </is>
      </c>
      <c r="B11" s="6">
        <f>IFERROR(1/(1/_xlfn.MINIFS(Raspored!$A$5:$A$61,Raspored!$I$5:$I$61,"x",Raspored!$A$5:$A$61,"&gt;="&amp;$B$3)),"nema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  <c r="D15" s="7">
        <f>COUNTIFS(Raspored!$C$5:$C$61,$A15,Raspored!$F$5:$F$61,"x")</f>
        <v/>
      </c>
      <c r="E15" s="7">
        <f>COUNTIFS(Raspored!$C$5:$C$61,$A15,Raspored!$G$5:$G$61,"x")</f>
        <v/>
      </c>
      <c r="F15" s="7">
        <f>COUNTIFS(Raspored!$C$5:$C$61,$A15,Raspored!$H$5:$H$61,"x")</f>
        <v/>
      </c>
      <c r="G15" s="7">
        <f>COUNTIFS(Raspored!$C$5:$C$61,$A15,Raspored!$I$5:$I$61,"x")</f>
        <v/>
      </c>
    </row>
    <row r="16">
      <c r="A16" s="21" t="inlineStr">
        <is>
          <t>veljača</t>
        </is>
      </c>
      <c r="B16" s="7">
        <f>COUNTIFS(Raspored!$C$5:$C$61,$A16,Raspored!$D$5:$D$61,"x")</f>
        <v/>
      </c>
      <c r="C16" s="7">
        <f>COUNTIFS(Raspored!$C$5:$C$61,$A16,Raspored!$E$5:$E$61,"x")</f>
        <v/>
      </c>
      <c r="D16" s="7">
        <f>COUNTIFS(Raspored!$C$5:$C$61,$A16,Raspored!$F$5:$F$61,"x")</f>
        <v/>
      </c>
      <c r="E16" s="7">
        <f>COUNTIFS(Raspored!$C$5:$C$61,$A16,Raspored!$G$5:$G$61,"x")</f>
        <v/>
      </c>
      <c r="F16" s="7">
        <f>COUNTIFS(Raspored!$C$5:$C$61,$A16,Raspored!$H$5:$H$61,"x")</f>
        <v/>
      </c>
      <c r="G16" s="7">
        <f>COUNTIFS(Raspored!$C$5:$C$61,$A16,Raspored!$I$5:$I$61,"x")</f>
        <v/>
      </c>
    </row>
    <row r="17">
      <c r="A17" s="21" t="inlineStr">
        <is>
          <t>ožujak</t>
        </is>
      </c>
      <c r="B17" s="7">
        <f>COUNTIFS(Raspored!$C$5:$C$61,$A17,Raspored!$D$5:$D$61,"x")</f>
        <v/>
      </c>
      <c r="C17" s="7">
        <f>COUNTIFS(Raspored!$C$5:$C$61,$A17,Raspored!$E$5:$E$61,"x")</f>
        <v/>
      </c>
      <c r="D17" s="7">
        <f>COUNTIFS(Raspored!$C$5:$C$61,$A17,Raspored!$F$5:$F$61,"x")</f>
        <v/>
      </c>
      <c r="E17" s="7">
        <f>COUNTIFS(Raspored!$C$5:$C$61,$A17,Raspored!$G$5:$G$61,"x")</f>
        <v/>
      </c>
      <c r="F17" s="7">
        <f>COUNTIFS(Raspored!$C$5:$C$61,$A17,Raspored!$H$5:$H$61,"x")</f>
        <v/>
      </c>
      <c r="G17" s="7">
        <f>COUNTIFS(Raspored!$C$5:$C$61,$A17,Raspored!$I$5:$I$61,"x")</f>
        <v/>
      </c>
    </row>
    <row r="18">
      <c r="A18" s="21" t="inlineStr">
        <is>
          <t>travanj</t>
        </is>
      </c>
      <c r="B18" s="7">
        <f>COUNTIFS(Raspored!$C$5:$C$61,$A18,Raspored!$D$5:$D$61,"x")</f>
        <v/>
      </c>
      <c r="C18" s="7">
        <f>COUNTIFS(Raspored!$C$5:$C$61,$A18,Raspored!$E$5:$E$61,"x")</f>
        <v/>
      </c>
      <c r="D18" s="7">
        <f>COUNTIFS(Raspored!$C$5:$C$61,$A18,Raspored!$F$5:$F$61,"x")</f>
        <v/>
      </c>
      <c r="E18" s="7">
        <f>COUNTIFS(Raspored!$C$5:$C$61,$A18,Raspored!$G$5:$G$61,"x")</f>
        <v/>
      </c>
      <c r="F18" s="7">
        <f>COUNTIFS(Raspored!$C$5:$C$61,$A18,Raspored!$H$5:$H$61,"x")</f>
        <v/>
      </c>
      <c r="G18" s="7">
        <f>COUNTIFS(Raspored!$C$5:$C$61,$A18,Raspored!$I$5:$I$61,"x")</f>
        <v/>
      </c>
    </row>
    <row r="19">
      <c r="A19" s="21" t="inlineStr">
        <is>
          <t>svibanj</t>
        </is>
      </c>
      <c r="B19" s="7">
        <f>COUNTIFS(Raspored!$C$5:$C$61,$A19,Raspored!$D$5:$D$61,"x")</f>
        <v/>
      </c>
      <c r="C19" s="7">
        <f>COUNTIFS(Raspored!$C$5:$C$61,$A19,Raspored!$E$5:$E$61,"x")</f>
        <v/>
      </c>
      <c r="D19" s="7">
        <f>COUNTIFS(Raspored!$C$5:$C$61,$A19,Raspored!$F$5:$F$61,"x")</f>
        <v/>
      </c>
      <c r="E19" s="7">
        <f>COUNTIFS(Raspored!$C$5:$C$61,$A19,Raspored!$G$5:$G$61,"x")</f>
        <v/>
      </c>
      <c r="F19" s="7">
        <f>COUNTIFS(Raspored!$C$5:$C$61,$A19,Raspored!$H$5:$H$61,"x")</f>
        <v/>
      </c>
      <c r="G19" s="7">
        <f>COUNTIFS(Raspored!$C$5:$C$61,$A19,Raspored!$I$5:$I$61,"x")</f>
        <v/>
      </c>
    </row>
    <row r="20">
      <c r="A20" s="21" t="inlineStr">
        <is>
          <t>lipanj</t>
        </is>
      </c>
      <c r="B20" s="7">
        <f>COUNTIFS(Raspored!$C$5:$C$61,$A20,Raspored!$D$5:$D$61,"x")</f>
        <v/>
      </c>
      <c r="C20" s="7">
        <f>COUNTIFS(Raspored!$C$5:$C$61,$A20,Raspored!$E$5:$E$61,"x")</f>
        <v/>
      </c>
      <c r="D20" s="7">
        <f>COUNTIFS(Raspored!$C$5:$C$61,$A20,Raspored!$F$5:$F$61,"x")</f>
        <v/>
      </c>
      <c r="E20" s="7">
        <f>COUNTIFS(Raspored!$C$5:$C$61,$A20,Raspored!$G$5:$G$61,"x")</f>
        <v/>
      </c>
      <c r="F20" s="7">
        <f>COUNTIFS(Raspored!$C$5:$C$61,$A20,Raspored!$H$5:$H$61,"x")</f>
        <v/>
      </c>
      <c r="G20" s="7">
        <f>COUNTIFS(Raspored!$C$5:$C$61,$A20,Raspored!$I$5:$I$61,"x")</f>
        <v/>
      </c>
    </row>
    <row r="21">
      <c r="A21" s="21" t="inlineStr">
        <is>
          <t>srpanj</t>
        </is>
      </c>
      <c r="B21" s="7">
        <f>COUNTIFS(Raspored!$C$5:$C$61,$A21,Raspored!$D$5:$D$61,"x")</f>
        <v/>
      </c>
      <c r="C21" s="7">
        <f>COUNTIFS(Raspored!$C$5:$C$61,$A21,Raspored!$E$5:$E$61,"x")</f>
        <v/>
      </c>
      <c r="D21" s="7">
        <f>COUNTIFS(Raspored!$C$5:$C$61,$A21,Raspored!$F$5:$F$61,"x")</f>
        <v/>
      </c>
      <c r="E21" s="7">
        <f>COUNTIFS(Raspored!$C$5:$C$61,$A21,Raspored!$G$5:$G$61,"x")</f>
        <v/>
      </c>
      <c r="F21" s="7">
        <f>COUNTIFS(Raspored!$C$5:$C$61,$A21,Raspored!$H$5:$H$61,"x")</f>
        <v/>
      </c>
      <c r="G21" s="7">
        <f>COUNTIFS(Raspored!$C$5:$C$61,$A21,Raspored!$I$5:$I$61,"x")</f>
        <v/>
      </c>
    </row>
    <row r="22">
      <c r="A22" s="21" t="inlineStr">
        <is>
          <t>kolovoz</t>
        </is>
      </c>
      <c r="B22" s="7">
        <f>COUNTIFS(Raspored!$C$5:$C$61,$A22,Raspored!$D$5:$D$61,"x")</f>
        <v/>
      </c>
      <c r="C22" s="7">
        <f>COUNTIFS(Raspored!$C$5:$C$61,$A22,Raspored!$E$5:$E$61,"x")</f>
        <v/>
      </c>
      <c r="D22" s="7">
        <f>COUNTIFS(Raspored!$C$5:$C$61,$A22,Raspored!$F$5:$F$61,"x")</f>
        <v/>
      </c>
      <c r="E22" s="7">
        <f>COUNTIFS(Raspored!$C$5:$C$61,$A22,Raspored!$G$5:$G$61,"x")</f>
        <v/>
      </c>
      <c r="F22" s="7">
        <f>COUNTIFS(Raspored!$C$5:$C$61,$A22,Raspored!$H$5:$H$61,"x")</f>
        <v/>
      </c>
      <c r="G22" s="7">
        <f>COUNTIFS(Raspored!$C$5:$C$61,$A22,Raspored!$I$5:$I$61,"x")</f>
        <v/>
      </c>
    </row>
    <row r="23">
      <c r="A23" s="21" t="inlineStr">
        <is>
          <t>rujan</t>
        </is>
      </c>
      <c r="B23" s="7">
        <f>COUNTIFS(Raspored!$C$5:$C$61,$A23,Raspored!$D$5:$D$61,"x")</f>
        <v/>
      </c>
      <c r="C23" s="7">
        <f>COUNTIFS(Raspored!$C$5:$C$61,$A23,Raspored!$E$5:$E$61,"x")</f>
        <v/>
      </c>
      <c r="D23" s="7">
        <f>COUNTIFS(Raspored!$C$5:$C$61,$A23,Raspored!$F$5:$F$61,"x")</f>
        <v/>
      </c>
      <c r="E23" s="7">
        <f>COUNTIFS(Raspored!$C$5:$C$61,$A23,Raspored!$G$5:$G$61,"x")</f>
        <v/>
      </c>
      <c r="F23" s="7">
        <f>COUNTIFS(Raspored!$C$5:$C$61,$A23,Raspored!$H$5:$H$61,"x")</f>
        <v/>
      </c>
      <c r="G23" s="7">
        <f>COUNTIFS(Raspored!$C$5:$C$61,$A23,Raspored!$I$5:$I$61,"x")</f>
        <v/>
      </c>
    </row>
    <row r="24">
      <c r="A24" s="21" t="inlineStr">
        <is>
          <t>listopad</t>
        </is>
      </c>
      <c r="B24" s="7">
        <f>COUNTIFS(Raspored!$C$5:$C$61,$A24,Raspored!$D$5:$D$61,"x")</f>
        <v/>
      </c>
      <c r="C24" s="7">
        <f>COUNTIFS(Raspored!$C$5:$C$61,$A24,Raspored!$E$5:$E$61,"x")</f>
        <v/>
      </c>
      <c r="D24" s="7">
        <f>COUNTIFS(Raspored!$C$5:$C$61,$A24,Raspored!$F$5:$F$61,"x")</f>
        <v/>
      </c>
      <c r="E24" s="7">
        <f>COUNTIFS(Raspored!$C$5:$C$61,$A24,Raspored!$G$5:$G$61,"x")</f>
        <v/>
      </c>
      <c r="F24" s="7">
        <f>COUNTIFS(Raspored!$C$5:$C$61,$A24,Raspored!$H$5:$H$61,"x")</f>
        <v/>
      </c>
      <c r="G24" s="7">
        <f>COUNTIFS(Raspored!$C$5:$C$61,$A24,Raspored!$I$5:$I$61,"x")</f>
        <v/>
      </c>
    </row>
    <row r="25">
      <c r="A25" s="21" t="inlineStr">
        <is>
          <t>studeni</t>
        </is>
      </c>
      <c r="B25" s="7">
        <f>COUNTIFS(Raspored!$C$5:$C$61,$A25,Raspored!$D$5:$D$61,"x")</f>
        <v/>
      </c>
      <c r="C25" s="7">
        <f>COUNTIFS(Raspored!$C$5:$C$61,$A25,Raspored!$E$5:$E$61,"x")</f>
        <v/>
      </c>
      <c r="D25" s="7">
        <f>COUNTIFS(Raspored!$C$5:$C$61,$A25,Raspored!$F$5:$F$61,"x")</f>
        <v/>
      </c>
      <c r="E25" s="7">
        <f>COUNTIFS(Raspored!$C$5:$C$61,$A25,Raspored!$G$5:$G$61,"x")</f>
        <v/>
      </c>
      <c r="F25" s="7">
        <f>COUNTIFS(Raspored!$C$5:$C$61,$A25,Raspored!$H$5:$H$61,"x")</f>
        <v/>
      </c>
      <c r="G25" s="7">
        <f>COUNTIFS(Raspored!$C$5:$C$61,$A25,Raspored!$I$5:$I$61,"x")</f>
        <v/>
      </c>
    </row>
    <row r="26">
      <c r="A26" s="21" t="inlineStr">
        <is>
          <t>prosinac</t>
        </is>
      </c>
      <c r="B26" s="7">
        <f>COUNTIFS(Raspored!$C$5:$C$61,$A26,Raspored!$D$5:$D$61,"x")</f>
        <v/>
      </c>
      <c r="C26" s="7">
        <f>COUNTIFS(Raspored!$C$5:$C$61,$A26,Raspored!$E$5:$E$61,"x")</f>
        <v/>
      </c>
      <c r="D26" s="7">
        <f>COUNTIFS(Raspored!$C$5:$C$61,$A26,Raspored!$F$5:$F$61,"x")</f>
        <v/>
      </c>
      <c r="E26" s="7">
        <f>COUNTIFS(Raspored!$C$5:$C$61,$A26,Raspored!$G$5:$G$61,"x")</f>
        <v/>
      </c>
      <c r="F26" s="7">
        <f>COUNTIFS(Raspored!$C$5:$C$61,$A26,Raspored!$H$5:$H$61,"x")</f>
        <v/>
      </c>
      <c r="G26" s="7">
        <f>COUNTIFS(Raspored!$C$5:$C$61,$A26,Raspored!$I$5:$I$61,"x")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Svibovec Podravski (Sračinec)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7" t="n"/>
      <c r="J15" s="27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46121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46142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46156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46170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46177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46184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46191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46198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46205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46212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46219</v>
      </c>
      <c r="B36" s="7" t="inlineStr">
        <is>
          <t>četvrtak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46226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7" t="n"/>
      <c r="I37" s="7" t="n"/>
      <c r="J37" s="27" t="n"/>
    </row>
    <row r="38">
      <c r="A38" s="6" t="n">
        <v>46233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46240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46246</v>
      </c>
      <c r="B40" s="7" t="inlineStr">
        <is>
          <t>srijeda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46247</v>
      </c>
      <c r="B41" s="7" t="inlineStr">
        <is>
          <t>četvrtak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46254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46261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46268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46275</v>
      </c>
      <c r="B45" s="7" t="inlineStr">
        <is>
          <t>četvrtak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46282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46289</v>
      </c>
      <c r="B47" s="7" t="inlineStr">
        <is>
          <t>četvrtak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46296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46303</v>
      </c>
      <c r="B49" s="7" t="inlineStr">
        <is>
          <t>četvrtak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46310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46317</v>
      </c>
      <c r="B51" s="7" t="inlineStr">
        <is>
          <t>četvrtak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46324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46338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46345</v>
      </c>
      <c r="B55" s="7" t="inlineStr">
        <is>
          <t>četvrtak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46352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46359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46366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46373</v>
      </c>
      <c r="B59" s="7" t="inlineStr">
        <is>
          <t>četvrtak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46380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46387</v>
      </c>
      <c r="B61" s="7" t="inlineStr">
        <is>
          <t>četvrtak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</sheetData>
  <autoFilter ref="A4:J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F5:F61">
    <cfRule type="expression" priority="3" dxfId="2">
      <formula>F5="x"</formula>
    </cfRule>
  </conditionalFormatting>
  <conditionalFormatting sqref="G5:G61">
    <cfRule type="expression" priority="4" dxfId="3">
      <formula>G5="x"</formula>
    </cfRule>
  </conditionalFormatting>
  <conditionalFormatting sqref="H5:H61">
    <cfRule type="expression" priority="5" dxfId="4">
      <formula>H5="x"</formula>
    </cfRule>
  </conditionalFormatting>
  <conditionalFormatting sqref="I5:I61">
    <cfRule type="expression" priority="6" dxfId="5">
      <formula>I5="x"</formula>
    </cfRule>
  </conditionalFormatting>
  <conditionalFormatting sqref="A5:J6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46030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28" t="n">
        <v>46030</v>
      </c>
      <c r="B5" s="21" t="inlineStr">
        <is>
          <t>četvrtak</t>
        </is>
      </c>
      <c r="C5" s="11" t="inlineStr">
        <is>
          <t>Papir i karton</t>
        </is>
      </c>
      <c r="D5" s="21" t="n"/>
    </row>
    <row r="6">
      <c r="A6" s="28" t="n">
        <v>46037</v>
      </c>
      <c r="B6" s="21" t="inlineStr">
        <is>
          <t>četvrtak</t>
        </is>
      </c>
      <c r="C6" s="9" t="inlineStr">
        <is>
          <t>Biootpad</t>
        </is>
      </c>
      <c r="D6" s="21" t="n"/>
    </row>
    <row r="7">
      <c r="A7" s="28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46044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28" t="n">
        <v>46044</v>
      </c>
      <c r="B9" s="21" t="inlineStr">
        <is>
          <t>četvrtak</t>
        </is>
      </c>
      <c r="C9" s="10" t="inlineStr">
        <is>
          <t>Plastika</t>
        </is>
      </c>
      <c r="D9" s="21" t="n"/>
    </row>
    <row r="10">
      <c r="A10" s="28" t="n">
        <v>46051</v>
      </c>
      <c r="B10" s="21" t="inlineStr">
        <is>
          <t>četvrtak</t>
        </is>
      </c>
      <c r="C10" s="9" t="inlineStr">
        <is>
          <t>Biootpad</t>
        </is>
      </c>
      <c r="D10" s="21" t="n"/>
    </row>
    <row r="11">
      <c r="A11" s="28" t="n">
        <v>46058</v>
      </c>
      <c r="B11" s="21" t="inlineStr">
        <is>
          <t>četvrtak</t>
        </is>
      </c>
      <c r="C11" s="5" t="inlineStr">
        <is>
          <t>Miješani komunalni otpad</t>
        </is>
      </c>
      <c r="D11" s="21" t="n"/>
    </row>
    <row r="12">
      <c r="A12" s="28" t="n">
        <v>46058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46058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46064</v>
      </c>
      <c r="B14" s="21" t="inlineStr">
        <is>
          <t>srijeda</t>
        </is>
      </c>
      <c r="C14" s="13" t="inlineStr">
        <is>
          <t>Metal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46072</v>
      </c>
      <c r="B17" s="21" t="inlineStr">
        <is>
          <t>četvrtak</t>
        </is>
      </c>
      <c r="C17" s="9" t="inlineStr">
        <is>
          <t>Biootpad</t>
        </is>
      </c>
      <c r="D17" s="21" t="n"/>
    </row>
    <row r="18">
      <c r="A18" s="28" t="n">
        <v>46072</v>
      </c>
      <c r="B18" s="21" t="inlineStr">
        <is>
          <t>četvrtak</t>
        </is>
      </c>
      <c r="C18" s="10" t="inlineStr">
        <is>
          <t>Plastika</t>
        </is>
      </c>
      <c r="D18" s="21" t="n"/>
    </row>
    <row r="19">
      <c r="A19" s="28" t="n">
        <v>46079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28" t="n">
        <v>46086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46086</v>
      </c>
      <c r="B21" s="21" t="inlineStr">
        <is>
          <t>četvrtak</t>
        </is>
      </c>
      <c r="C21" s="9" t="inlineStr">
        <is>
          <t>Biootpad</t>
        </is>
      </c>
      <c r="D21" s="21" t="n"/>
    </row>
    <row r="22">
      <c r="A22" s="28" t="n">
        <v>46086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28" t="n">
        <v>46092</v>
      </c>
      <c r="B23" s="21" t="inlineStr">
        <is>
          <t>srijeda</t>
        </is>
      </c>
      <c r="C23" s="12" t="inlineStr">
        <is>
          <t>Staklo</t>
        </is>
      </c>
      <c r="D23" s="21" t="n"/>
    </row>
    <row r="24">
      <c r="A24" s="28" t="n">
        <v>46093</v>
      </c>
      <c r="B24" s="21" t="inlineStr">
        <is>
          <t>četvrtak</t>
        </is>
      </c>
      <c r="C24" s="9" t="inlineStr">
        <is>
          <t>Biootpad</t>
        </is>
      </c>
      <c r="D24" s="21" t="n"/>
    </row>
    <row r="25">
      <c r="A25" s="28" t="n">
        <v>46100</v>
      </c>
      <c r="B25" s="21" t="inlineStr">
        <is>
          <t>četvrtak</t>
        </is>
      </c>
      <c r="C25" s="5" t="inlineStr">
        <is>
          <t>Miješani komunalni otpad</t>
        </is>
      </c>
      <c r="D25" s="21" t="n"/>
    </row>
    <row r="26">
      <c r="A26" s="28" t="n">
        <v>46100</v>
      </c>
      <c r="B26" s="21" t="inlineStr">
        <is>
          <t>četvrtak</t>
        </is>
      </c>
      <c r="C26" s="9" t="inlineStr">
        <is>
          <t>Biootpad</t>
        </is>
      </c>
      <c r="D26" s="21" t="n"/>
    </row>
    <row r="27">
      <c r="A27" s="28" t="n">
        <v>46100</v>
      </c>
      <c r="B27" s="21" t="inlineStr">
        <is>
          <t>četvrtak</t>
        </is>
      </c>
      <c r="C27" s="10" t="inlineStr">
        <is>
          <t>Plastika</t>
        </is>
      </c>
      <c r="D27" s="21" t="n"/>
    </row>
    <row r="28">
      <c r="A28" s="28" t="n">
        <v>46107</v>
      </c>
      <c r="B28" s="21" t="inlineStr">
        <is>
          <t>četvrtak</t>
        </is>
      </c>
      <c r="C28" s="9" t="inlineStr">
        <is>
          <t>Biootpad</t>
        </is>
      </c>
      <c r="D28" s="21" t="n"/>
    </row>
    <row r="29">
      <c r="A29" s="28" t="n">
        <v>46114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46114</v>
      </c>
      <c r="B30" s="21" t="inlineStr">
        <is>
          <t>četvrtak</t>
        </is>
      </c>
      <c r="C30" s="9" t="inlineStr">
        <is>
          <t>Biootpad</t>
        </is>
      </c>
      <c r="D30" s="21" t="n"/>
    </row>
    <row r="31">
      <c r="A31" s="28" t="n">
        <v>46114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46121</v>
      </c>
      <c r="B32" s="21" t="inlineStr">
        <is>
          <t>četvrtak</t>
        </is>
      </c>
      <c r="C32" s="9" t="inlineStr">
        <is>
          <t>Biootpad</t>
        </is>
      </c>
      <c r="D32" s="21" t="n"/>
    </row>
    <row r="33">
      <c r="A33" s="28" t="n">
        <v>46128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46128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28" t="n">
        <v>46128</v>
      </c>
      <c r="B35" s="21" t="inlineStr">
        <is>
          <t>četvrtak</t>
        </is>
      </c>
      <c r="C35" s="10" t="inlineStr">
        <is>
          <t>Plastika</t>
        </is>
      </c>
      <c r="D35" s="21" t="n"/>
    </row>
    <row r="36">
      <c r="A36" s="28" t="n">
        <v>46135</v>
      </c>
      <c r="B36" s="21" t="inlineStr">
        <is>
          <t>četvrtak</t>
        </is>
      </c>
      <c r="C36" s="9" t="inlineStr">
        <is>
          <t>Biootpad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28" t="n">
        <v>46142</v>
      </c>
      <c r="B38" s="21" t="inlineStr">
        <is>
          <t>četvrtak</t>
        </is>
      </c>
      <c r="C38" s="9" t="inlineStr">
        <is>
          <t>Biootpad</t>
        </is>
      </c>
      <c r="D38" s="21" t="n"/>
    </row>
    <row r="39">
      <c r="A39" s="28" t="n">
        <v>46142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28" t="n">
        <v>46149</v>
      </c>
      <c r="B40" s="21" t="inlineStr">
        <is>
          <t>četvrtak</t>
        </is>
      </c>
      <c r="C40" s="9" t="inlineStr">
        <is>
          <t>Biootpad</t>
        </is>
      </c>
      <c r="D40" s="21" t="n"/>
    </row>
    <row r="41">
      <c r="A41" s="28" t="n">
        <v>46156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46156</v>
      </c>
      <c r="B42" s="21" t="inlineStr">
        <is>
          <t>četvrtak</t>
        </is>
      </c>
      <c r="C42" s="9" t="inlineStr">
        <is>
          <t>Biootpad</t>
        </is>
      </c>
      <c r="D42" s="21" t="n"/>
    </row>
    <row r="43">
      <c r="A43" s="28" t="n">
        <v>46156</v>
      </c>
      <c r="B43" s="21" t="inlineStr">
        <is>
          <t>četvrtak</t>
        </is>
      </c>
      <c r="C43" s="10" t="inlineStr">
        <is>
          <t>Plastika</t>
        </is>
      </c>
      <c r="D43" s="21" t="n"/>
    </row>
    <row r="44">
      <c r="A44" s="28" t="n">
        <v>46163</v>
      </c>
      <c r="B44" s="21" t="inlineStr">
        <is>
          <t>četvrtak</t>
        </is>
      </c>
      <c r="C44" s="9" t="inlineStr">
        <is>
          <t>Biootpad</t>
        </is>
      </c>
      <c r="D44" s="21" t="n"/>
    </row>
    <row r="45">
      <c r="A45" s="28" t="n">
        <v>46170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46170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46170</v>
      </c>
      <c r="B47" s="21" t="inlineStr">
        <is>
          <t>četvrtak</t>
        </is>
      </c>
      <c r="C47" s="11" t="inlineStr">
        <is>
          <t>Papir i karton</t>
        </is>
      </c>
      <c r="D47" s="21" t="n"/>
    </row>
    <row r="48">
      <c r="A48" s="28" t="n">
        <v>46177</v>
      </c>
      <c r="B48" s="21" t="inlineStr">
        <is>
          <t>četvrtak</t>
        </is>
      </c>
      <c r="C48" s="9" t="inlineStr">
        <is>
          <t>Biootpad</t>
        </is>
      </c>
      <c r="D48" s="21" t="n"/>
    </row>
    <row r="49">
      <c r="A49" s="28" t="n">
        <v>46184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46184</v>
      </c>
      <c r="B50" s="21" t="inlineStr">
        <is>
          <t>četvrtak</t>
        </is>
      </c>
      <c r="C50" s="9" t="inlineStr">
        <is>
          <t>Biootpad</t>
        </is>
      </c>
      <c r="D50" s="21" t="n"/>
    </row>
    <row r="51">
      <c r="A51" s="28" t="n">
        <v>46184</v>
      </c>
      <c r="B51" s="21" t="inlineStr">
        <is>
          <t>četvrtak</t>
        </is>
      </c>
      <c r="C51" s="10" t="inlineStr">
        <is>
          <t>Plastika</t>
        </is>
      </c>
      <c r="D51" s="21" t="n"/>
    </row>
    <row r="52">
      <c r="A52" s="28" t="n">
        <v>46191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46198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28" t="n">
        <v>46198</v>
      </c>
      <c r="B54" s="21" t="inlineStr">
        <is>
          <t>četvrtak</t>
        </is>
      </c>
      <c r="C54" s="9" t="inlineStr">
        <is>
          <t>Biootpad</t>
        </is>
      </c>
      <c r="D54" s="21" t="n"/>
    </row>
    <row r="55">
      <c r="A55" s="28" t="n">
        <v>46198</v>
      </c>
      <c r="B55" s="21" t="inlineStr">
        <is>
          <t>četvrtak</t>
        </is>
      </c>
      <c r="C55" s="11" t="inlineStr">
        <is>
          <t>Papir i karton</t>
        </is>
      </c>
      <c r="D55" s="21" t="n"/>
    </row>
    <row r="56">
      <c r="A56" s="28" t="n">
        <v>46205</v>
      </c>
      <c r="B56" s="21" t="inlineStr">
        <is>
          <t>četvrtak</t>
        </is>
      </c>
      <c r="C56" s="9" t="inlineStr">
        <is>
          <t>Biootpad</t>
        </is>
      </c>
      <c r="D56" s="21" t="n"/>
    </row>
    <row r="57">
      <c r="A57" s="28" t="n">
        <v>46211</v>
      </c>
      <c r="B57" s="21" t="inlineStr">
        <is>
          <t>srijeda</t>
        </is>
      </c>
      <c r="C57" s="13" t="inlineStr">
        <is>
          <t>Metal</t>
        </is>
      </c>
      <c r="D57" s="21" t="n"/>
    </row>
    <row r="58">
      <c r="A58" s="28" t="n">
        <v>46212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46212</v>
      </c>
      <c r="B59" s="21" t="inlineStr">
        <is>
          <t>četvrtak</t>
        </is>
      </c>
      <c r="C59" s="9" t="inlineStr">
        <is>
          <t>Biootpad</t>
        </is>
      </c>
      <c r="D59" s="21" t="n"/>
    </row>
    <row r="60">
      <c r="A60" s="28" t="n">
        <v>46212</v>
      </c>
      <c r="B60" s="21" t="inlineStr">
        <is>
          <t>četvrtak</t>
        </is>
      </c>
      <c r="C60" s="10" t="inlineStr">
        <is>
          <t>Plastika</t>
        </is>
      </c>
      <c r="D60" s="21" t="n"/>
    </row>
    <row r="61">
      <c r="A61" s="28" t="n">
        <v>46219</v>
      </c>
      <c r="B61" s="21" t="inlineStr">
        <is>
          <t>četvrtak</t>
        </is>
      </c>
      <c r="C61" s="9" t="inlineStr">
        <is>
          <t>Biootpad</t>
        </is>
      </c>
      <c r="D61" s="21" t="n"/>
    </row>
    <row r="62">
      <c r="A62" s="28" t="n">
        <v>46226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46226</v>
      </c>
      <c r="B63" s="21" t="inlineStr">
        <is>
          <t>četvrtak</t>
        </is>
      </c>
      <c r="C63" s="9" t="inlineStr">
        <is>
          <t>Biootpad</t>
        </is>
      </c>
      <c r="D63" s="21" t="n"/>
    </row>
    <row r="64">
      <c r="A64" s="28" t="n">
        <v>46226</v>
      </c>
      <c r="B64" s="21" t="inlineStr">
        <is>
          <t>četvrtak</t>
        </is>
      </c>
      <c r="C64" s="11" t="inlineStr">
        <is>
          <t>Papir i karton</t>
        </is>
      </c>
      <c r="D64" s="21" t="n"/>
    </row>
    <row r="65">
      <c r="A65" s="28" t="n">
        <v>46233</v>
      </c>
      <c r="B65" s="21" t="inlineStr">
        <is>
          <t>četvrtak</t>
        </is>
      </c>
      <c r="C65" s="9" t="inlineStr">
        <is>
          <t>Biootpad</t>
        </is>
      </c>
      <c r="D65" s="21" t="n"/>
    </row>
    <row r="66">
      <c r="A66" s="28" t="n">
        <v>46240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28" t="n">
        <v>46240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46240</v>
      </c>
      <c r="B68" s="21" t="inlineStr">
        <is>
          <t>četvrtak</t>
        </is>
      </c>
      <c r="C68" s="10" t="inlineStr">
        <is>
          <t>Plastika</t>
        </is>
      </c>
      <c r="D68" s="21" t="n"/>
    </row>
    <row r="69">
      <c r="A69" s="28" t="n">
        <v>46246</v>
      </c>
      <c r="B69" s="21" t="inlineStr">
        <is>
          <t>srijeda</t>
        </is>
      </c>
      <c r="C69" s="12" t="inlineStr">
        <is>
          <t>Staklo</t>
        </is>
      </c>
      <c r="D69" s="21" t="n"/>
    </row>
    <row r="70">
      <c r="A70" s="28" t="n">
        <v>46247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46254</v>
      </c>
      <c r="B71" s="21" t="inlineStr">
        <is>
          <t>četvrtak</t>
        </is>
      </c>
      <c r="C71" s="5" t="inlineStr">
        <is>
          <t>Miješani komunalni otpad</t>
        </is>
      </c>
      <c r="D71" s="21" t="n"/>
    </row>
    <row r="72">
      <c r="A72" s="28" t="n">
        <v>46254</v>
      </c>
      <c r="B72" s="21" t="inlineStr">
        <is>
          <t>četvrtak</t>
        </is>
      </c>
      <c r="C72" s="9" t="inlineStr">
        <is>
          <t>Biootpad</t>
        </is>
      </c>
      <c r="D72" s="21" t="n"/>
    </row>
    <row r="73">
      <c r="A73" s="28" t="n">
        <v>46254</v>
      </c>
      <c r="B73" s="21" t="inlineStr">
        <is>
          <t>četvrtak</t>
        </is>
      </c>
      <c r="C73" s="11" t="inlineStr">
        <is>
          <t>Papir i karton</t>
        </is>
      </c>
      <c r="D73" s="21" t="n"/>
    </row>
    <row r="74">
      <c r="A74" s="28" t="n">
        <v>46261</v>
      </c>
      <c r="B74" s="21" t="inlineStr">
        <is>
          <t>četvrtak</t>
        </is>
      </c>
      <c r="C74" s="9" t="inlineStr">
        <is>
          <t>Biootpad</t>
        </is>
      </c>
      <c r="D74" s="21" t="n"/>
    </row>
    <row r="75">
      <c r="A75" s="28" t="n">
        <v>46268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28" t="n">
        <v>46268</v>
      </c>
      <c r="B76" s="21" t="inlineStr">
        <is>
          <t>četvrtak</t>
        </is>
      </c>
      <c r="C76" s="9" t="inlineStr">
        <is>
          <t>Biootpad</t>
        </is>
      </c>
      <c r="D76" s="21" t="n"/>
    </row>
    <row r="77">
      <c r="A77" s="28" t="n">
        <v>46268</v>
      </c>
      <c r="B77" s="21" t="inlineStr">
        <is>
          <t>četvrtak</t>
        </is>
      </c>
      <c r="C77" s="10" t="inlineStr">
        <is>
          <t>Plastika</t>
        </is>
      </c>
      <c r="D77" s="21" t="n"/>
    </row>
    <row r="78">
      <c r="A78" s="28" t="n">
        <v>46275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46282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28" t="n">
        <v>46282</v>
      </c>
      <c r="B80" s="21" t="inlineStr">
        <is>
          <t>četvrtak</t>
        </is>
      </c>
      <c r="C80" s="9" t="inlineStr">
        <is>
          <t>Biootpad</t>
        </is>
      </c>
      <c r="D80" s="21" t="n"/>
    </row>
    <row r="81">
      <c r="A81" s="28" t="n">
        <v>46282</v>
      </c>
      <c r="B81" s="21" t="inlineStr">
        <is>
          <t>četvrtak</t>
        </is>
      </c>
      <c r="C81" s="11" t="inlineStr">
        <is>
          <t>Papir i karton</t>
        </is>
      </c>
      <c r="D81" s="21" t="n"/>
    </row>
    <row r="82">
      <c r="A82" s="28" t="n">
        <v>46289</v>
      </c>
      <c r="B82" s="21" t="inlineStr">
        <is>
          <t>četvrtak</t>
        </is>
      </c>
      <c r="C82" s="9" t="inlineStr">
        <is>
          <t>Biootpad</t>
        </is>
      </c>
      <c r="D82" s="21" t="n"/>
    </row>
    <row r="83">
      <c r="A83" s="28" t="n">
        <v>46296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28" t="n">
        <v>46296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46296</v>
      </c>
      <c r="B85" s="21" t="inlineStr">
        <is>
          <t>četvrtak</t>
        </is>
      </c>
      <c r="C85" s="10" t="inlineStr">
        <is>
          <t>Plastika</t>
        </is>
      </c>
      <c r="D85" s="21" t="n"/>
    </row>
    <row r="86">
      <c r="A86" s="28" t="n">
        <v>46303</v>
      </c>
      <c r="B86" s="21" t="inlineStr">
        <is>
          <t>četvrtak</t>
        </is>
      </c>
      <c r="C86" s="9" t="inlineStr">
        <is>
          <t>Biootpad</t>
        </is>
      </c>
      <c r="D86" s="21" t="n"/>
    </row>
    <row r="87">
      <c r="A87" s="28" t="n">
        <v>46310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28" t="n">
        <v>46310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28" t="n">
        <v>46310</v>
      </c>
      <c r="B89" s="21" t="inlineStr">
        <is>
          <t>četvrtak</t>
        </is>
      </c>
      <c r="C89" s="11" t="inlineStr">
        <is>
          <t>Papir i karton</t>
        </is>
      </c>
      <c r="D89" s="21" t="n"/>
    </row>
    <row r="90">
      <c r="A90" s="28" t="n">
        <v>46317</v>
      </c>
      <c r="B90" s="21" t="inlineStr">
        <is>
          <t>četvrtak</t>
        </is>
      </c>
      <c r="C90" s="9" t="inlineStr">
        <is>
          <t>Biootpad</t>
        </is>
      </c>
      <c r="D90" s="21" t="n"/>
    </row>
    <row r="91">
      <c r="A91" s="28" t="n">
        <v>46324</v>
      </c>
      <c r="B91" s="21" t="inlineStr">
        <is>
          <t>četvrtak</t>
        </is>
      </c>
      <c r="C91" s="5" t="inlineStr">
        <is>
          <t>Miješani komunalni otpad</t>
        </is>
      </c>
      <c r="D91" s="21" t="n"/>
    </row>
    <row r="92">
      <c r="A92" s="28" t="n">
        <v>46324</v>
      </c>
      <c r="B92" s="21" t="inlineStr">
        <is>
          <t>četvrtak</t>
        </is>
      </c>
      <c r="C92" s="9" t="inlineStr">
        <is>
          <t>Biootpad</t>
        </is>
      </c>
      <c r="D92" s="21" t="n"/>
    </row>
    <row r="93">
      <c r="A93" s="28" t="n">
        <v>46324</v>
      </c>
      <c r="B93" s="21" t="inlineStr">
        <is>
          <t>četvrtak</t>
        </is>
      </c>
      <c r="C93" s="10" t="inlineStr">
        <is>
          <t>Plastika</t>
        </is>
      </c>
      <c r="D93" s="21" t="n"/>
    </row>
    <row r="94">
      <c r="A94" s="28" t="n">
        <v>46331</v>
      </c>
      <c r="B94" s="21" t="inlineStr">
        <is>
          <t>četvrtak</t>
        </is>
      </c>
      <c r="C94" s="9" t="inlineStr">
        <is>
          <t>Biootpad</t>
        </is>
      </c>
      <c r="D94" s="21" t="n"/>
    </row>
    <row r="95">
      <c r="A95" s="28" t="n">
        <v>46338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28" t="n">
        <v>46338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46338</v>
      </c>
      <c r="B97" s="21" t="inlineStr">
        <is>
          <t>četvrtak</t>
        </is>
      </c>
      <c r="C97" s="11" t="inlineStr">
        <is>
          <t>Papir i karton</t>
        </is>
      </c>
      <c r="D97" s="21" t="n"/>
    </row>
    <row r="98">
      <c r="A98" s="28" t="n">
        <v>46345</v>
      </c>
      <c r="B98" s="21" t="inlineStr">
        <is>
          <t>četvrtak</t>
        </is>
      </c>
      <c r="C98" s="9" t="inlineStr">
        <is>
          <t>Biootpad</t>
        </is>
      </c>
      <c r="D98" s="21" t="n"/>
    </row>
    <row r="99">
      <c r="A99" s="28" t="n">
        <v>46352</v>
      </c>
      <c r="B99" s="21" t="inlineStr">
        <is>
          <t>četvrtak</t>
        </is>
      </c>
      <c r="C99" s="5" t="inlineStr">
        <is>
          <t>Miješani komunalni otpad</t>
        </is>
      </c>
      <c r="D99" s="21" t="n"/>
    </row>
    <row r="100">
      <c r="A100" s="28" t="n">
        <v>46352</v>
      </c>
      <c r="B100" s="21" t="inlineStr">
        <is>
          <t>četvrtak</t>
        </is>
      </c>
      <c r="C100" s="9" t="inlineStr">
        <is>
          <t>Biootpad</t>
        </is>
      </c>
      <c r="D100" s="21" t="n"/>
    </row>
    <row r="101">
      <c r="A101" s="28" t="n">
        <v>46352</v>
      </c>
      <c r="B101" s="21" t="inlineStr">
        <is>
          <t>četvrtak</t>
        </is>
      </c>
      <c r="C101" s="10" t="inlineStr">
        <is>
          <t>Plastika</t>
        </is>
      </c>
      <c r="D101" s="21" t="n"/>
    </row>
    <row r="102">
      <c r="A102" s="28" t="n">
        <v>46359</v>
      </c>
      <c r="B102" s="21" t="inlineStr">
        <is>
          <t>četvrtak</t>
        </is>
      </c>
      <c r="C102" s="9" t="inlineStr">
        <is>
          <t>Biootpad</t>
        </is>
      </c>
      <c r="D102" s="21" t="n"/>
    </row>
    <row r="103">
      <c r="A103" s="28" t="n">
        <v>46366</v>
      </c>
      <c r="B103" s="21" t="inlineStr">
        <is>
          <t>četvrtak</t>
        </is>
      </c>
      <c r="C103" s="5" t="inlineStr">
        <is>
          <t>Miješani komunalni otpad</t>
        </is>
      </c>
      <c r="D103" s="21" t="n"/>
    </row>
    <row r="104">
      <c r="A104" s="28" t="n">
        <v>46366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46366</v>
      </c>
      <c r="B105" s="21" t="inlineStr">
        <is>
          <t>četvrtak</t>
        </is>
      </c>
      <c r="C105" s="11" t="inlineStr">
        <is>
          <t>Papir i karton</t>
        </is>
      </c>
      <c r="D105" s="21" t="n"/>
    </row>
    <row r="106">
      <c r="A106" s="28" t="n">
        <v>46373</v>
      </c>
      <c r="B106" s="21" t="inlineStr">
        <is>
          <t>četvrtak</t>
        </is>
      </c>
      <c r="C106" s="9" t="inlineStr">
        <is>
          <t>Biootpad</t>
        </is>
      </c>
      <c r="D106" s="21" t="n"/>
    </row>
    <row r="107">
      <c r="A107" s="28" t="n">
        <v>46380</v>
      </c>
      <c r="B107" s="21" t="inlineStr">
        <is>
          <t>četvrtak</t>
        </is>
      </c>
      <c r="C107" s="5" t="inlineStr">
        <is>
          <t>Miješani komunalni otpad</t>
        </is>
      </c>
      <c r="D107" s="21" t="n"/>
    </row>
    <row r="108">
      <c r="A108" s="28" t="n">
        <v>46380</v>
      </c>
      <c r="B108" s="21" t="inlineStr">
        <is>
          <t>četvrtak</t>
        </is>
      </c>
      <c r="C108" s="9" t="inlineStr">
        <is>
          <t>Biootpad</t>
        </is>
      </c>
      <c r="D108" s="21" t="n"/>
    </row>
    <row r="109">
      <c r="A109" s="28" t="n">
        <v>46380</v>
      </c>
      <c r="B109" s="21" t="inlineStr">
        <is>
          <t>četvrtak</t>
        </is>
      </c>
      <c r="C109" s="10" t="inlineStr">
        <is>
          <t>Plastika</t>
        </is>
      </c>
      <c r="D109" s="21" t="n"/>
    </row>
    <row r="110">
      <c r="A110" s="28" t="n">
        <v>46387</v>
      </c>
      <c r="B110" s="21" t="inlineStr">
        <is>
          <t>četvrtak</t>
        </is>
      </c>
      <c r="C110" s="9" t="inlineStr">
        <is>
          <t>Biootpad</t>
        </is>
      </c>
      <c r="D110" s="21" t="n"/>
    </row>
  </sheetData>
  <autoFilter ref="A1:D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Svibovec Podravski (Sračinec): ulice i naselja</t>
        </is>
      </c>
    </row>
    <row r="4">
      <c r="A4" s="4" t="inlineStr">
        <is>
          <t>Ulica / naselje</t>
        </is>
      </c>
    </row>
    <row r="5">
      <c r="A5" s="21" t="inlineStr">
        <is>
          <t>Dravska ulica (Svibovec Podravski)</t>
        </is>
      </c>
    </row>
    <row r="6">
      <c r="A6" s="21" t="inlineStr">
        <is>
          <t>Poljska ulica (Svibovec Podravski)</t>
        </is>
      </c>
    </row>
    <row r="7">
      <c r="A7" s="21" t="inlineStr">
        <is>
          <t>Ulica Matije Gupca (Svibovec Podravski)</t>
        </is>
      </c>
    </row>
    <row r="8">
      <c r="A8" s="21" t="inlineStr">
        <is>
          <t>Ulica Tome Blažeka (Svibovec Podravski)</t>
        </is>
      </c>
    </row>
    <row r="9">
      <c r="A9" s="21" t="inlineStr">
        <is>
          <t>Vrtna ulica (Svibovec Podravski)</t>
        </is>
      </c>
    </row>
    <row r="10">
      <c r="A10" s="21" t="inlineStr">
        <is>
          <t>Školska ulica (Svibovec Podravski)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
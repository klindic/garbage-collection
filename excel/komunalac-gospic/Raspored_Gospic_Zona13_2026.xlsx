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COUNTIFS(Raspored!$C$5:$C$57,$A10,Raspored!$D$5:$D$57,"x")</f>
        <v/>
      </c>
    </row>
    <row r="11">
      <c r="A11" s="11" t="inlineStr">
        <is>
          <t>veljača</t>
        </is>
      </c>
      <c r="B11" s="7">
        <f>COUNTIFS(Raspored!$C$5:$C$57,$A11,Raspored!$D$5:$D$57,"x")</f>
        <v/>
      </c>
    </row>
    <row r="12">
      <c r="A12" s="11" t="inlineStr">
        <is>
          <t>ožujak</t>
        </is>
      </c>
      <c r="B12" s="7">
        <f>COUNTIFS(Raspored!$C$5:$C$57,$A12,Raspored!$D$5:$D$57,"x")</f>
        <v/>
      </c>
    </row>
    <row r="13">
      <c r="A13" s="11" t="inlineStr">
        <is>
          <t>travanj</t>
        </is>
      </c>
      <c r="B13" s="7">
        <f>COUNTIFS(Raspored!$C$5:$C$57,$A13,Raspored!$D$5:$D$57,"x")</f>
        <v/>
      </c>
    </row>
    <row r="14">
      <c r="A14" s="11" t="inlineStr">
        <is>
          <t>svibanj</t>
        </is>
      </c>
      <c r="B14" s="7">
        <f>COUNTIFS(Raspored!$C$5:$C$57,$A14,Raspored!$D$5:$D$57,"x")</f>
        <v/>
      </c>
    </row>
    <row r="15">
      <c r="A15" s="11" t="inlineStr">
        <is>
          <t>lipanj</t>
        </is>
      </c>
      <c r="B15" s="7">
        <f>COUNTIFS(Raspored!$C$5:$C$57,$A15,Raspored!$D$5:$D$57,"x")</f>
        <v/>
      </c>
    </row>
    <row r="16">
      <c r="A16" s="11" t="inlineStr">
        <is>
          <t>srpanj</t>
        </is>
      </c>
      <c r="B16" s="7">
        <f>COUNTIFS(Raspored!$C$5:$C$57,$A16,Raspored!$D$5:$D$57,"x")</f>
        <v/>
      </c>
    </row>
    <row r="17">
      <c r="A17" s="11" t="inlineStr">
        <is>
          <t>kolovoz</t>
        </is>
      </c>
      <c r="B17" s="7">
        <f>COUNTIFS(Raspored!$C$5:$C$57,$A17,Raspored!$D$5:$D$57,"x")</f>
        <v/>
      </c>
    </row>
    <row r="18">
      <c r="A18" s="11" t="inlineStr">
        <is>
          <t>rujan</t>
        </is>
      </c>
      <c r="B18" s="7">
        <f>COUNTIFS(Raspored!$C$5:$C$57,$A18,Raspored!$D$5:$D$57,"x")</f>
        <v/>
      </c>
    </row>
    <row r="19">
      <c r="A19" s="11" t="inlineStr">
        <is>
          <t>listopad</t>
        </is>
      </c>
      <c r="B19" s="7">
        <f>COUNTIFS(Raspored!$C$5:$C$57,$A19,Raspored!$D$5:$D$57,"x")</f>
        <v/>
      </c>
    </row>
    <row r="20">
      <c r="A20" s="11" t="inlineStr">
        <is>
          <t>studeni</t>
        </is>
      </c>
      <c r="B20" s="7">
        <f>COUNTIFS(Raspored!$C$5:$C$57,$A20,Raspored!$D$5:$D$57,"x")</f>
        <v/>
      </c>
    </row>
    <row r="21">
      <c r="A21" s="11" t="inlineStr">
        <is>
          <t>prosinac</t>
        </is>
      </c>
      <c r="B21" s="7">
        <f>COUNTIFS(Raspored!$C$5:$C$57,$A21,Raspored!$D$5:$D$57,"x")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Ove ulice nisu na popisima papira i plastike; raspored provjerite kod davatelja.</t>
        </is>
      </c>
    </row>
    <row r="26">
      <c r="A26" s="15" t="inlineStr">
        <is>
          <t>• Miješani komunalni otpad odvozi se jednom tjedno prema danu za ulicu; posude iznijeti do 6:00 sati.</t>
        </is>
      </c>
    </row>
    <row r="27">
      <c r="A27" s="15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28">
      <c r="A28" s="15" t="inlineStr">
        <is>
          <t>• Papir i plastika: posude iznijeti 1-2 m od ruba kolnika najkasnije do 7:00 sati na dan odvoza.</t>
        </is>
      </c>
    </row>
    <row r="29">
      <c r="A29" s="15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13 (Gospić)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7" t="n"/>
    </row>
  </sheetData>
  <autoFilter ref="A4:E57"/>
  <conditionalFormatting sqref="D5:D57">
    <cfRule type="expression" priority="1" dxfId="0">
      <formula>D5="x"</formula>
    </cfRule>
  </conditionalFormatting>
  <conditionalFormatting sqref="A5:E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46184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18" t="n">
        <v>46191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18" t="n">
        <v>46205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46212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46219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46226</v>
      </c>
      <c r="B31" s="11" t="inlineStr">
        <is>
          <t>četvrtak</t>
        </is>
      </c>
      <c r="C31" s="5" t="inlineStr">
        <is>
          <t>Miješani komunalni otpad</t>
        </is>
      </c>
      <c r="D31" s="11" t="n"/>
    </row>
    <row r="32">
      <c r="A32" s="18" t="n">
        <v>46233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46240</v>
      </c>
      <c r="B33" s="11" t="inlineStr">
        <is>
          <t>četvrtak</t>
        </is>
      </c>
      <c r="C33" s="5" t="inlineStr">
        <is>
          <t>Miješani komunalni otpad</t>
        </is>
      </c>
      <c r="D33" s="11" t="n"/>
    </row>
    <row r="34">
      <c r="A34" s="18" t="n">
        <v>46247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46254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46261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46268</v>
      </c>
      <c r="B37" s="11" t="inlineStr">
        <is>
          <t>četvrtak</t>
        </is>
      </c>
      <c r="C37" s="5" t="inlineStr">
        <is>
          <t>Miješani komunalni otpad</t>
        </is>
      </c>
      <c r="D37" s="11" t="n"/>
    </row>
    <row r="38">
      <c r="A38" s="18" t="n">
        <v>46275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46282</v>
      </c>
      <c r="B39" s="11" t="inlineStr">
        <is>
          <t>četvrtak</t>
        </is>
      </c>
      <c r="C39" s="5" t="inlineStr">
        <is>
          <t>Miješani komunalni otpad</t>
        </is>
      </c>
      <c r="D39" s="11" t="n"/>
    </row>
    <row r="40">
      <c r="A40" s="18" t="n">
        <v>46289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46296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46303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46310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18" t="n">
        <v>46317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46324</v>
      </c>
      <c r="B45" s="11" t="inlineStr">
        <is>
          <t>četvrtak</t>
        </is>
      </c>
      <c r="C45" s="5" t="inlineStr">
        <is>
          <t>Miješani komunalni otpad</t>
        </is>
      </c>
      <c r="D45" s="11" t="n"/>
    </row>
    <row r="46">
      <c r="A46" s="18" t="n">
        <v>46331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46338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46345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46352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46359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46366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46373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46380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46387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(Gospić): ulice i naselja</t>
        </is>
      </c>
    </row>
    <row r="4">
      <c r="A4" s="4" t="inlineStr">
        <is>
          <t>Ulica / naselje</t>
        </is>
      </c>
    </row>
    <row r="5">
      <c r="A5" s="11" t="inlineStr">
        <is>
          <t>Bogdanić</t>
        </is>
      </c>
    </row>
    <row r="6">
      <c r="A6" s="11" t="inlineStr">
        <is>
          <t>Kolakovica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
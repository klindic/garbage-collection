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'Raspored'!$A$4:$G$58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IFERROR(1/(1/_xlfn.MINIFS(Raspored!$A$5:$A$58,Raspored!$D$5:$D$58,"x",Raspored!$A$5:$A$58,"&gt;="&amp;$B$3)),"nema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COUNTIF(Raspored!$D$5:$D$58,"x")</f>
        <v/>
      </c>
    </row>
    <row r="7">
      <c r="A7" s="9" t="inlineStr">
        <is>
          <t>Plastika (žuti spremnik)</t>
        </is>
      </c>
      <c r="B7" s="6">
        <f>IFERROR(1/(1/_xlfn.MINIFS(Raspored!$A$5:$A$58,Raspored!$E$5:$E$58,"x",Raspored!$A$5:$A$58,"&gt;="&amp;$B$3)),"nema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COUNTIF(Raspored!$E$5:$E$58,"x")</f>
        <v/>
      </c>
    </row>
    <row r="8">
      <c r="A8" s="10" t="inlineStr">
        <is>
          <t>Papir (plavi spremnik)</t>
        </is>
      </c>
      <c r="B8" s="6">
        <f>IFERROR(1/(1/_xlfn.MINIFS(Raspored!$A$5:$A$58,Raspored!$F$5:$F$58,"x",Raspored!$A$5:$A$58,"&gt;="&amp;$B$3)),"nema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COUNTIFS(Raspored!$C$5:$C$58,$A12,Raspored!$D$5:$D$58,"x")</f>
        <v/>
      </c>
      <c r="C12" s="7">
        <f>COUNTIFS(Raspored!$C$5:$C$58,$A12,Raspored!$E$5:$E$58,"x")</f>
        <v/>
      </c>
      <c r="D12" s="7">
        <f>COUNTIFS(Raspored!$C$5:$C$58,$A12,Raspored!$F$5:$F$58,"x")</f>
        <v/>
      </c>
    </row>
    <row r="13">
      <c r="A13" s="15" t="inlineStr">
        <is>
          <t>veljača</t>
        </is>
      </c>
      <c r="B13" s="7">
        <f>COUNTIFS(Raspored!$C$5:$C$58,$A13,Raspored!$D$5:$D$58,"x")</f>
        <v/>
      </c>
      <c r="C13" s="7">
        <f>COUNTIFS(Raspored!$C$5:$C$58,$A13,Raspored!$E$5:$E$58,"x")</f>
        <v/>
      </c>
      <c r="D13" s="7">
        <f>COUNTIFS(Raspored!$C$5:$C$58,$A13,Raspored!$F$5:$F$58,"x")</f>
        <v/>
      </c>
    </row>
    <row r="14">
      <c r="A14" s="15" t="inlineStr">
        <is>
          <t>ožujak</t>
        </is>
      </c>
      <c r="B14" s="7">
        <f>COUNTIFS(Raspored!$C$5:$C$58,$A14,Raspored!$D$5:$D$58,"x")</f>
        <v/>
      </c>
      <c r="C14" s="7">
        <f>COUNTIFS(Raspored!$C$5:$C$58,$A14,Raspored!$E$5:$E$58,"x")</f>
        <v/>
      </c>
      <c r="D14" s="7">
        <f>COUNTIFS(Raspored!$C$5:$C$58,$A14,Raspored!$F$5:$F$58,"x")</f>
        <v/>
      </c>
    </row>
    <row r="15">
      <c r="A15" s="15" t="inlineStr">
        <is>
          <t>travanj</t>
        </is>
      </c>
      <c r="B15" s="7">
        <f>COUNTIFS(Raspored!$C$5:$C$58,$A15,Raspored!$D$5:$D$58,"x")</f>
        <v/>
      </c>
      <c r="C15" s="7">
        <f>COUNTIFS(Raspored!$C$5:$C$58,$A15,Raspored!$E$5:$E$58,"x")</f>
        <v/>
      </c>
      <c r="D15" s="7">
        <f>COUNTIFS(Raspored!$C$5:$C$58,$A15,Raspored!$F$5:$F$58,"x")</f>
        <v/>
      </c>
    </row>
    <row r="16">
      <c r="A16" s="15" t="inlineStr">
        <is>
          <t>svibanj</t>
        </is>
      </c>
      <c r="B16" s="7">
        <f>COUNTIFS(Raspored!$C$5:$C$58,$A16,Raspored!$D$5:$D$58,"x")</f>
        <v/>
      </c>
      <c r="C16" s="7">
        <f>COUNTIFS(Raspored!$C$5:$C$58,$A16,Raspored!$E$5:$E$58,"x")</f>
        <v/>
      </c>
      <c r="D16" s="7">
        <f>COUNTIFS(Raspored!$C$5:$C$58,$A16,Raspored!$F$5:$F$58,"x")</f>
        <v/>
      </c>
    </row>
    <row r="17">
      <c r="A17" s="15" t="inlineStr">
        <is>
          <t>lipanj</t>
        </is>
      </c>
      <c r="B17" s="7">
        <f>COUNTIFS(Raspored!$C$5:$C$58,$A17,Raspored!$D$5:$D$58,"x")</f>
        <v/>
      </c>
      <c r="C17" s="7">
        <f>COUNTIFS(Raspored!$C$5:$C$58,$A17,Raspored!$E$5:$E$58,"x")</f>
        <v/>
      </c>
      <c r="D17" s="7">
        <f>COUNTIFS(Raspored!$C$5:$C$58,$A17,Raspored!$F$5:$F$58,"x")</f>
        <v/>
      </c>
    </row>
    <row r="18">
      <c r="A18" s="15" t="inlineStr">
        <is>
          <t>srpanj</t>
        </is>
      </c>
      <c r="B18" s="7">
        <f>COUNTIFS(Raspored!$C$5:$C$58,$A18,Raspored!$D$5:$D$58,"x")</f>
        <v/>
      </c>
      <c r="C18" s="7">
        <f>COUNTIFS(Raspored!$C$5:$C$58,$A18,Raspored!$E$5:$E$58,"x")</f>
        <v/>
      </c>
      <c r="D18" s="7">
        <f>COUNTIFS(Raspored!$C$5:$C$58,$A18,Raspored!$F$5:$F$58,"x")</f>
        <v/>
      </c>
    </row>
    <row r="19">
      <c r="A19" s="15" t="inlineStr">
        <is>
          <t>kolovoz</t>
        </is>
      </c>
      <c r="B19" s="7">
        <f>COUNTIFS(Raspored!$C$5:$C$58,$A19,Raspored!$D$5:$D$58,"x")</f>
        <v/>
      </c>
      <c r="C19" s="7">
        <f>COUNTIFS(Raspored!$C$5:$C$58,$A19,Raspored!$E$5:$E$58,"x")</f>
        <v/>
      </c>
      <c r="D19" s="7">
        <f>COUNTIFS(Raspored!$C$5:$C$58,$A19,Raspored!$F$5:$F$58,"x")</f>
        <v/>
      </c>
    </row>
    <row r="20">
      <c r="A20" s="15" t="inlineStr">
        <is>
          <t>rujan</t>
        </is>
      </c>
      <c r="B20" s="7">
        <f>COUNTIFS(Raspored!$C$5:$C$58,$A20,Raspored!$D$5:$D$58,"x")</f>
        <v/>
      </c>
      <c r="C20" s="7">
        <f>COUNTIFS(Raspored!$C$5:$C$58,$A20,Raspored!$E$5:$E$58,"x")</f>
        <v/>
      </c>
      <c r="D20" s="7">
        <f>COUNTIFS(Raspored!$C$5:$C$58,$A20,Raspored!$F$5:$F$58,"x")</f>
        <v/>
      </c>
    </row>
    <row r="21">
      <c r="A21" s="15" t="inlineStr">
        <is>
          <t>listopad</t>
        </is>
      </c>
      <c r="B21" s="7">
        <f>COUNTIFS(Raspored!$C$5:$C$58,$A21,Raspored!$D$5:$D$58,"x")</f>
        <v/>
      </c>
      <c r="C21" s="7">
        <f>COUNTIFS(Raspored!$C$5:$C$58,$A21,Raspored!$E$5:$E$58,"x")</f>
        <v/>
      </c>
      <c r="D21" s="7">
        <f>COUNTIFS(Raspored!$C$5:$C$58,$A21,Raspored!$F$5:$F$58,"x")</f>
        <v/>
      </c>
    </row>
    <row r="22">
      <c r="A22" s="15" t="inlineStr">
        <is>
          <t>studeni</t>
        </is>
      </c>
      <c r="B22" s="7">
        <f>COUNTIFS(Raspored!$C$5:$C$58,$A22,Raspored!$D$5:$D$58,"x")</f>
        <v/>
      </c>
      <c r="C22" s="7">
        <f>COUNTIFS(Raspored!$C$5:$C$58,$A22,Raspored!$E$5:$E$58,"x")</f>
        <v/>
      </c>
      <c r="D22" s="7">
        <f>COUNTIFS(Raspored!$C$5:$C$58,$A22,Raspored!$F$5:$F$58,"x")</f>
        <v/>
      </c>
    </row>
    <row r="23">
      <c r="A23" s="15" t="inlineStr">
        <is>
          <t>prosinac</t>
        </is>
      </c>
      <c r="B23" s="7">
        <f>COUNTIFS(Raspored!$C$5:$C$58,$A23,Raspored!$D$5:$D$58,"x")</f>
        <v/>
      </c>
      <c r="C23" s="7">
        <f>COUNTIFS(Raspored!$C$5:$C$58,$A23,Raspored!$E$5:$E$58,"x")</f>
        <v/>
      </c>
      <c r="D23" s="7">
        <f>COUNTIFS(Raspored!$C$5:$C$58,$A23,Raspored!$F$5:$F$58,"x")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inlineStr">
        <is>
          <t>x</t>
        </is>
      </c>
      <c r="G22" s="21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22" t="n">
        <v>46181</v>
      </c>
      <c r="B28" s="23" t="inlineStr">
        <is>
          <t>ponedjeljak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inlineStr">
        <is>
          <t>Pomaknuto zbog neradnog dana u tjednu</t>
        </is>
      </c>
    </row>
    <row r="29">
      <c r="A29" s="6" t="n">
        <v>46184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46191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46198</v>
      </c>
      <c r="B31" s="7" t="inlineStr">
        <is>
          <t>četvrtak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46205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46212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46219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46226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46233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46240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46247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46254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46261</v>
      </c>
      <c r="B40" s="7" t="inlineStr">
        <is>
          <t>četvrtak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46268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46275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46282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46289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  <row r="45">
      <c r="A45" s="6" t="n">
        <v>46296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46303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46310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46317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46324</v>
      </c>
      <c r="B49" s="7" t="inlineStr">
        <is>
          <t>četvrtak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46331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46338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46345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46352</v>
      </c>
      <c r="B53" s="7" t="inlineStr">
        <is>
          <t>četvrtak</t>
        </is>
      </c>
      <c r="C53" s="7" t="inlineStr">
        <is>
          <t>studeni</t>
        </is>
      </c>
      <c r="D53" s="7" t="inlineStr">
        <is>
          <t>x</t>
        </is>
      </c>
      <c r="E53" s="7" t="n"/>
      <c r="F53" s="7" t="inlineStr">
        <is>
          <t>x</t>
        </is>
      </c>
      <c r="G53" s="21" t="n"/>
    </row>
    <row r="54">
      <c r="A54" s="6" t="n">
        <v>46359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46366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46373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46380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46387</v>
      </c>
      <c r="B58" s="7" t="inlineStr">
        <is>
          <t>četvrtak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7" t="inlineStr">
        <is>
          <t>x</t>
        </is>
      </c>
      <c r="G58" s="21" t="n"/>
    </row>
  </sheetData>
  <autoFilter ref="A4:G58"/>
  <conditionalFormatting sqref="D5:D58">
    <cfRule type="expression" priority="1" dxfId="0">
      <formula>D5="x"</formula>
    </cfRule>
  </conditionalFormatting>
  <conditionalFormatting sqref="E5:E58">
    <cfRule type="expression" priority="2" dxfId="1">
      <formula>E5="x"</formula>
    </cfRule>
  </conditionalFormatting>
  <conditionalFormatting sqref="F5:F58">
    <cfRule type="expression" priority="3" dxfId="2">
      <formula>F5="x"</formula>
    </cfRule>
  </conditionalFormatting>
  <conditionalFormatting sqref="A5:G5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46030</v>
      </c>
      <c r="B4" s="15" t="inlineStr">
        <is>
          <t>četvrtak</t>
        </is>
      </c>
      <c r="C4" s="9" t="inlineStr">
        <is>
          <t>Plastika (žuti spremnik)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46051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10" t="inlineStr">
        <is>
          <t>Papir (plavi spremnik)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 (žuti spremnik)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46079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10" t="inlineStr">
        <is>
          <t>Papir (plavi spremnik)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46086</v>
      </c>
      <c r="B16" s="15" t="inlineStr">
        <is>
          <t>četvrtak</t>
        </is>
      </c>
      <c r="C16" s="9" t="inlineStr">
        <is>
          <t>Plastika (žuti spremnik)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46107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10" t="inlineStr">
        <is>
          <t>Papir (plavi spremnik)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46114</v>
      </c>
      <c r="B22" s="15" t="inlineStr">
        <is>
          <t>četvrtak</t>
        </is>
      </c>
      <c r="C22" s="9" t="inlineStr">
        <is>
          <t>Plastika (žuti spremnik)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46135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46142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10" t="inlineStr">
        <is>
          <t>Papir (plavi spremnik)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46149</v>
      </c>
      <c r="B29" s="15" t="inlineStr">
        <is>
          <t>četvrtak</t>
        </is>
      </c>
      <c r="C29" s="9" t="inlineStr">
        <is>
          <t>Plastika (žuti spremnik)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46163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46170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10" t="inlineStr">
        <is>
          <t>Papir (plavi spremnik)</t>
        </is>
      </c>
      <c r="D33" s="15" t="n"/>
    </row>
    <row r="34">
      <c r="A34" s="24" t="n">
        <v>46177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46181</v>
      </c>
      <c r="B35" s="15" t="inlineStr">
        <is>
          <t>ponedjeljak</t>
        </is>
      </c>
      <c r="C35" s="9" t="inlineStr">
        <is>
          <t>Plastika (žuti spremnik)</t>
        </is>
      </c>
      <c r="D35" s="15" t="inlineStr">
        <is>
          <t>Pomaknuto zbog neradnog dana u tjednu</t>
        </is>
      </c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46191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46198</v>
      </c>
      <c r="B39" s="15" t="inlineStr">
        <is>
          <t>četvrtak</t>
        </is>
      </c>
      <c r="C39" s="10" t="inlineStr">
        <is>
          <t>Papir (plavi spremnik)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46205</v>
      </c>
      <c r="B41" s="15" t="inlineStr">
        <is>
          <t>četvrtak</t>
        </is>
      </c>
      <c r="C41" s="9" t="inlineStr">
        <is>
          <t>Plastika (žuti spremnik)</t>
        </is>
      </c>
      <c r="D41" s="15" t="n"/>
    </row>
    <row r="42">
      <c r="A42" s="24" t="n">
        <v>46212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46226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46233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10" t="inlineStr">
        <is>
          <t>Papir (plavi spremnik)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46240</v>
      </c>
      <c r="B48" s="15" t="inlineStr">
        <is>
          <t>četvrtak</t>
        </is>
      </c>
      <c r="C48" s="9" t="inlineStr">
        <is>
          <t>Plastika (žuti spremnik)</t>
        </is>
      </c>
      <c r="D48" s="15" t="n"/>
    </row>
    <row r="49">
      <c r="A49" s="24" t="n">
        <v>46247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46254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46261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10" t="inlineStr">
        <is>
          <t>Papir (plavi spremnik)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46268</v>
      </c>
      <c r="B54" s="15" t="inlineStr">
        <is>
          <t>četvrtak</t>
        </is>
      </c>
      <c r="C54" s="9" t="inlineStr">
        <is>
          <t>Plastika (žuti spremnik)</t>
        </is>
      </c>
      <c r="D54" s="15" t="n"/>
    </row>
    <row r="55">
      <c r="A55" s="24" t="n">
        <v>46275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46289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46289</v>
      </c>
      <c r="B58" s="15" t="inlineStr">
        <is>
          <t>četvrtak</t>
        </is>
      </c>
      <c r="C58" s="10" t="inlineStr">
        <is>
          <t>Papir (plavi spremnik)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46296</v>
      </c>
      <c r="B60" s="15" t="inlineStr">
        <is>
          <t>četvrtak</t>
        </is>
      </c>
      <c r="C60" s="9" t="inlineStr">
        <is>
          <t>Plastika (žuti spremnik)</t>
        </is>
      </c>
      <c r="D60" s="15" t="n"/>
    </row>
    <row r="61">
      <c r="A61" s="24" t="n">
        <v>46303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46310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46317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46324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10" t="inlineStr">
        <is>
          <t>Papir (plavi spremnik)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46331</v>
      </c>
      <c r="B67" s="15" t="inlineStr">
        <is>
          <t>četvrtak</t>
        </is>
      </c>
      <c r="C67" s="9" t="inlineStr">
        <is>
          <t>Plastika (žuti spremnik)</t>
        </is>
      </c>
      <c r="D67" s="15" t="n"/>
    </row>
    <row r="68">
      <c r="A68" s="24" t="n">
        <v>46338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46352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46352</v>
      </c>
      <c r="B71" s="15" t="inlineStr">
        <is>
          <t>četvrtak</t>
        </is>
      </c>
      <c r="C71" s="10" t="inlineStr">
        <is>
          <t>Papir (plavi spremnik)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46359</v>
      </c>
      <c r="B73" s="15" t="inlineStr">
        <is>
          <t>četvrtak</t>
        </is>
      </c>
      <c r="C73" s="9" t="inlineStr">
        <is>
          <t>Plastika (žuti spremnik)</t>
        </is>
      </c>
      <c r="D73" s="15" t="n"/>
    </row>
    <row r="74">
      <c r="A74" s="24" t="n">
        <v>46366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46373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46380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46387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10" t="inlineStr">
        <is>
          <t>Papir (plavi spremnik)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Popa Marka Mesića</t>
        </is>
      </c>
    </row>
    <row r="6">
      <c r="A6" s="15" t="inlineStr">
        <is>
          <t>Bana Josipa Jelačića</t>
        </is>
      </c>
    </row>
    <row r="7">
      <c r="A7" s="15" t="inlineStr">
        <is>
          <t>Eugena Kvaternika</t>
        </is>
      </c>
    </row>
    <row r="8">
      <c r="A8" s="15" t="inlineStr">
        <is>
          <t>Karla Brkljačića</t>
        </is>
      </c>
    </row>
    <row r="9">
      <c r="A9" s="15" t="inlineStr">
        <is>
          <t>Budačka (od semafora do Stop Shop-a)</t>
        </is>
      </c>
    </row>
    <row r="10">
      <c r="A10" s="15" t="inlineStr">
        <is>
          <t>Smiljanska</t>
        </is>
      </c>
    </row>
    <row r="11">
      <c r="A11" s="15" t="inlineStr">
        <is>
          <t>Logorište</t>
        </is>
      </c>
    </row>
    <row r="12">
      <c r="A12" s="15" t="inlineStr">
        <is>
          <t>Mile Starčevića</t>
        </is>
      </c>
    </row>
    <row r="13">
      <c r="A13" s="15" t="inlineStr">
        <is>
          <t>Petra Svačića</t>
        </is>
      </c>
    </row>
    <row r="14">
      <c r="A14" s="15" t="inlineStr">
        <is>
          <t>Jure Turića</t>
        </is>
      </c>
    </row>
    <row r="15">
      <c r="A15" s="15" t="inlineStr">
        <is>
          <t>Perušićka</t>
        </is>
      </c>
    </row>
    <row r="16">
      <c r="A16" s="15" t="inlineStr">
        <is>
          <t>Nikole Šubića Zrinskog</t>
        </is>
      </c>
    </row>
    <row r="17">
      <c r="A17" s="15" t="inlineStr">
        <is>
          <t>Nikole Jurišića</t>
        </is>
      </c>
    </row>
    <row r="18">
      <c r="A18" s="15" t="inlineStr">
        <is>
          <t>Kneza Mislava</t>
        </is>
      </c>
    </row>
    <row r="19">
      <c r="A19" s="15" t="inlineStr">
        <is>
          <t>Kneza Trpimira</t>
        </is>
      </c>
    </row>
    <row r="20">
      <c r="A20" s="15" t="inlineStr">
        <is>
          <t>Kralja Zvonimira</t>
        </is>
      </c>
    </row>
    <row r="21">
      <c r="A21" s="15" t="inlineStr">
        <is>
          <t>Smiljan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
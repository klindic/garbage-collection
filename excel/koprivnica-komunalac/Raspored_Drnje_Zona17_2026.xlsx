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'Raspored'!$A$4:$I$49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IFERROR(1/(1/_xlfn.MINIFS(Raspored!$A$5:$A$49,Raspored!$D$5:$D$49,"x",Raspored!$A$5:$A$49,"&gt;="&amp;$B$3)),"nema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COUNTIF(Raspored!$D$5:$D$49,"x")</f>
        <v/>
      </c>
    </row>
    <row r="7">
      <c r="A7" s="9" t="inlineStr">
        <is>
          <t>Bio razgradivi otpad</t>
        </is>
      </c>
      <c r="B7" s="6">
        <f>IFERROR(1/(1/_xlfn.MINIFS(Raspored!$A$5:$A$49,Raspored!$E$5:$E$49,"x",Raspored!$A$5:$A$49,"&gt;="&amp;$B$3)),"nema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COUNTIF(Raspored!$E$5:$E$49,"x")</f>
        <v/>
      </c>
    </row>
    <row r="8">
      <c r="A8" s="10" t="inlineStr">
        <is>
          <t>Plastika i metal</t>
        </is>
      </c>
      <c r="B8" s="6">
        <f>IFERROR(1/(1/_xlfn.MINIFS(Raspored!$A$5:$A$49,Raspored!$F$5:$F$49,"x",Raspored!$A$5:$A$49,"&gt;="&amp;$B$3)),"nema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COUNTIF(Raspored!$F$5:$F$49,"x")</f>
        <v/>
      </c>
    </row>
    <row r="9">
      <c r="A9" s="11" t="inlineStr">
        <is>
          <t>Papir i karton</t>
        </is>
      </c>
      <c r="B9" s="6">
        <f>IFERROR(1/(1/_xlfn.MINIFS(Raspored!$A$5:$A$49,Raspored!$G$5:$G$49,"x",Raspored!$A$5:$A$49,"&gt;="&amp;$B$3)),"nema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COUNTIF(Raspored!$G$5:$G$49,"x")</f>
        <v/>
      </c>
    </row>
    <row r="10">
      <c r="A10" s="12" t="inlineStr">
        <is>
          <t>Glomazni otpad (obavezno prijaviti)</t>
        </is>
      </c>
      <c r="B10" s="6">
        <f>IFERROR(1/(1/_xlfn.MINIFS(Raspored!$A$5:$A$49,Raspored!$H$5:$H$49,"x",Raspored!$A$5:$A$49,"&gt;="&amp;$B$3)),"nema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COUNTIFS(Raspored!$C$5:$C$49,$A14,Raspored!$D$5:$D$49,"x")</f>
        <v/>
      </c>
      <c r="C14" s="7">
        <f>COUNTIFS(Raspored!$C$5:$C$49,$A14,Raspored!$E$5:$E$49,"x")</f>
        <v/>
      </c>
      <c r="D14" s="7">
        <f>COUNTIFS(Raspored!$C$5:$C$49,$A14,Raspored!$F$5:$F$49,"x")</f>
        <v/>
      </c>
      <c r="E14" s="7">
        <f>COUNTIFS(Raspored!$C$5:$C$49,$A14,Raspored!$G$5:$G$49,"x")</f>
        <v/>
      </c>
      <c r="F14" s="7">
        <f>COUNTIFS(Raspored!$C$5:$C$49,$A14,Raspored!$H$5:$H$49,"x")</f>
        <v/>
      </c>
    </row>
    <row r="15">
      <c r="A15" s="19" t="inlineStr">
        <is>
          <t>veljača</t>
        </is>
      </c>
      <c r="B15" s="7">
        <f>COUNTIFS(Raspored!$C$5:$C$49,$A15,Raspored!$D$5:$D$49,"x")</f>
        <v/>
      </c>
      <c r="C15" s="7">
        <f>COUNTIFS(Raspored!$C$5:$C$49,$A15,Raspored!$E$5:$E$49,"x")</f>
        <v/>
      </c>
      <c r="D15" s="7">
        <f>COUNTIFS(Raspored!$C$5:$C$49,$A15,Raspored!$F$5:$F$49,"x")</f>
        <v/>
      </c>
      <c r="E15" s="7">
        <f>COUNTIFS(Raspored!$C$5:$C$49,$A15,Raspored!$G$5:$G$49,"x")</f>
        <v/>
      </c>
      <c r="F15" s="7">
        <f>COUNTIFS(Raspored!$C$5:$C$49,$A15,Raspored!$H$5:$H$49,"x")</f>
        <v/>
      </c>
    </row>
    <row r="16">
      <c r="A16" s="19" t="inlineStr">
        <is>
          <t>ožujak</t>
        </is>
      </c>
      <c r="B16" s="7">
        <f>COUNTIFS(Raspored!$C$5:$C$49,$A16,Raspored!$D$5:$D$49,"x")</f>
        <v/>
      </c>
      <c r="C16" s="7">
        <f>COUNTIFS(Raspored!$C$5:$C$49,$A16,Raspored!$E$5:$E$49,"x")</f>
        <v/>
      </c>
      <c r="D16" s="7">
        <f>COUNTIFS(Raspored!$C$5:$C$49,$A16,Raspored!$F$5:$F$49,"x")</f>
        <v/>
      </c>
      <c r="E16" s="7">
        <f>COUNTIFS(Raspored!$C$5:$C$49,$A16,Raspored!$G$5:$G$49,"x")</f>
        <v/>
      </c>
      <c r="F16" s="7">
        <f>COUNTIFS(Raspored!$C$5:$C$49,$A16,Raspored!$H$5:$H$49,"x")</f>
        <v/>
      </c>
    </row>
    <row r="17">
      <c r="A17" s="19" t="inlineStr">
        <is>
          <t>travanj</t>
        </is>
      </c>
      <c r="B17" s="7">
        <f>COUNTIFS(Raspored!$C$5:$C$49,$A17,Raspored!$D$5:$D$49,"x")</f>
        <v/>
      </c>
      <c r="C17" s="7">
        <f>COUNTIFS(Raspored!$C$5:$C$49,$A17,Raspored!$E$5:$E$49,"x")</f>
        <v/>
      </c>
      <c r="D17" s="7">
        <f>COUNTIFS(Raspored!$C$5:$C$49,$A17,Raspored!$F$5:$F$49,"x")</f>
        <v/>
      </c>
      <c r="E17" s="7">
        <f>COUNTIFS(Raspored!$C$5:$C$49,$A17,Raspored!$G$5:$G$49,"x")</f>
        <v/>
      </c>
      <c r="F17" s="7">
        <f>COUNTIFS(Raspored!$C$5:$C$49,$A17,Raspored!$H$5:$H$49,"x")</f>
        <v/>
      </c>
    </row>
    <row r="18">
      <c r="A18" s="19" t="inlineStr">
        <is>
          <t>svibanj</t>
        </is>
      </c>
      <c r="B18" s="7">
        <f>COUNTIFS(Raspored!$C$5:$C$49,$A18,Raspored!$D$5:$D$49,"x")</f>
        <v/>
      </c>
      <c r="C18" s="7">
        <f>COUNTIFS(Raspored!$C$5:$C$49,$A18,Raspored!$E$5:$E$49,"x")</f>
        <v/>
      </c>
      <c r="D18" s="7">
        <f>COUNTIFS(Raspored!$C$5:$C$49,$A18,Raspored!$F$5:$F$49,"x")</f>
        <v/>
      </c>
      <c r="E18" s="7">
        <f>COUNTIFS(Raspored!$C$5:$C$49,$A18,Raspored!$G$5:$G$49,"x")</f>
        <v/>
      </c>
      <c r="F18" s="7">
        <f>COUNTIFS(Raspored!$C$5:$C$49,$A18,Raspored!$H$5:$H$49,"x")</f>
        <v/>
      </c>
    </row>
    <row r="19">
      <c r="A19" s="19" t="inlineStr">
        <is>
          <t>lipanj</t>
        </is>
      </c>
      <c r="B19" s="7">
        <f>COUNTIFS(Raspored!$C$5:$C$49,$A19,Raspored!$D$5:$D$49,"x")</f>
        <v/>
      </c>
      <c r="C19" s="7">
        <f>COUNTIFS(Raspored!$C$5:$C$49,$A19,Raspored!$E$5:$E$49,"x")</f>
        <v/>
      </c>
      <c r="D19" s="7">
        <f>COUNTIFS(Raspored!$C$5:$C$49,$A19,Raspored!$F$5:$F$49,"x")</f>
        <v/>
      </c>
      <c r="E19" s="7">
        <f>COUNTIFS(Raspored!$C$5:$C$49,$A19,Raspored!$G$5:$G$49,"x")</f>
        <v/>
      </c>
      <c r="F19" s="7">
        <f>COUNTIFS(Raspored!$C$5:$C$49,$A19,Raspored!$H$5:$H$49,"x")</f>
        <v/>
      </c>
    </row>
    <row r="20">
      <c r="A20" s="19" t="inlineStr">
        <is>
          <t>srpanj</t>
        </is>
      </c>
      <c r="B20" s="7">
        <f>COUNTIFS(Raspored!$C$5:$C$49,$A20,Raspored!$D$5:$D$49,"x")</f>
        <v/>
      </c>
      <c r="C20" s="7">
        <f>COUNTIFS(Raspored!$C$5:$C$49,$A20,Raspored!$E$5:$E$49,"x")</f>
        <v/>
      </c>
      <c r="D20" s="7">
        <f>COUNTIFS(Raspored!$C$5:$C$49,$A20,Raspored!$F$5:$F$49,"x")</f>
        <v/>
      </c>
      <c r="E20" s="7">
        <f>COUNTIFS(Raspored!$C$5:$C$49,$A20,Raspored!$G$5:$G$49,"x")</f>
        <v/>
      </c>
      <c r="F20" s="7">
        <f>COUNTIFS(Raspored!$C$5:$C$49,$A20,Raspored!$H$5:$H$49,"x")</f>
        <v/>
      </c>
    </row>
    <row r="21">
      <c r="A21" s="19" t="inlineStr">
        <is>
          <t>kolovoz</t>
        </is>
      </c>
      <c r="B21" s="7">
        <f>COUNTIFS(Raspored!$C$5:$C$49,$A21,Raspored!$D$5:$D$49,"x")</f>
        <v/>
      </c>
      <c r="C21" s="7">
        <f>COUNTIFS(Raspored!$C$5:$C$49,$A21,Raspored!$E$5:$E$49,"x")</f>
        <v/>
      </c>
      <c r="D21" s="7">
        <f>COUNTIFS(Raspored!$C$5:$C$49,$A21,Raspored!$F$5:$F$49,"x")</f>
        <v/>
      </c>
      <c r="E21" s="7">
        <f>COUNTIFS(Raspored!$C$5:$C$49,$A21,Raspored!$G$5:$G$49,"x")</f>
        <v/>
      </c>
      <c r="F21" s="7">
        <f>COUNTIFS(Raspored!$C$5:$C$49,$A21,Raspored!$H$5:$H$49,"x")</f>
        <v/>
      </c>
    </row>
    <row r="22">
      <c r="A22" s="19" t="inlineStr">
        <is>
          <t>rujan</t>
        </is>
      </c>
      <c r="B22" s="7">
        <f>COUNTIFS(Raspored!$C$5:$C$49,$A22,Raspored!$D$5:$D$49,"x")</f>
        <v/>
      </c>
      <c r="C22" s="7">
        <f>COUNTIFS(Raspored!$C$5:$C$49,$A22,Raspored!$E$5:$E$49,"x")</f>
        <v/>
      </c>
      <c r="D22" s="7">
        <f>COUNTIFS(Raspored!$C$5:$C$49,$A22,Raspored!$F$5:$F$49,"x")</f>
        <v/>
      </c>
      <c r="E22" s="7">
        <f>COUNTIFS(Raspored!$C$5:$C$49,$A22,Raspored!$G$5:$G$49,"x")</f>
        <v/>
      </c>
      <c r="F22" s="7">
        <f>COUNTIFS(Raspored!$C$5:$C$49,$A22,Raspored!$H$5:$H$49,"x")</f>
        <v/>
      </c>
    </row>
    <row r="23">
      <c r="A23" s="19" t="inlineStr">
        <is>
          <t>listopad</t>
        </is>
      </c>
      <c r="B23" s="7">
        <f>COUNTIFS(Raspored!$C$5:$C$49,$A23,Raspored!$D$5:$D$49,"x")</f>
        <v/>
      </c>
      <c r="C23" s="7">
        <f>COUNTIFS(Raspored!$C$5:$C$49,$A23,Raspored!$E$5:$E$49,"x")</f>
        <v/>
      </c>
      <c r="D23" s="7">
        <f>COUNTIFS(Raspored!$C$5:$C$49,$A23,Raspored!$F$5:$F$49,"x")</f>
        <v/>
      </c>
      <c r="E23" s="7">
        <f>COUNTIFS(Raspored!$C$5:$C$49,$A23,Raspored!$G$5:$G$49,"x")</f>
        <v/>
      </c>
      <c r="F23" s="7">
        <f>COUNTIFS(Raspored!$C$5:$C$49,$A23,Raspored!$H$5:$H$49,"x")</f>
        <v/>
      </c>
    </row>
    <row r="24">
      <c r="A24" s="19" t="inlineStr">
        <is>
          <t>studeni</t>
        </is>
      </c>
      <c r="B24" s="7">
        <f>COUNTIFS(Raspored!$C$5:$C$49,$A24,Raspored!$D$5:$D$49,"x")</f>
        <v/>
      </c>
      <c r="C24" s="7">
        <f>COUNTIFS(Raspored!$C$5:$C$49,$A24,Raspored!$E$5:$E$49,"x")</f>
        <v/>
      </c>
      <c r="D24" s="7">
        <f>COUNTIFS(Raspored!$C$5:$C$49,$A24,Raspored!$F$5:$F$49,"x")</f>
        <v/>
      </c>
      <c r="E24" s="7">
        <f>COUNTIFS(Raspored!$C$5:$C$49,$A24,Raspored!$G$5:$G$49,"x")</f>
        <v/>
      </c>
      <c r="F24" s="7">
        <f>COUNTIFS(Raspored!$C$5:$C$49,$A24,Raspored!$H$5:$H$49,"x")</f>
        <v/>
      </c>
    </row>
    <row r="25">
      <c r="A25" s="19" t="inlineStr">
        <is>
          <t>prosinac</t>
        </is>
      </c>
      <c r="B25" s="7">
        <f>COUNTIFS(Raspored!$C$5:$C$49,$A25,Raspored!$D$5:$D$49,"x")</f>
        <v/>
      </c>
      <c r="C25" s="7">
        <f>COUNTIFS(Raspored!$C$5:$C$49,$A25,Raspored!$E$5:$E$49,"x")</f>
        <v/>
      </c>
      <c r="D25" s="7">
        <f>COUNTIFS(Raspored!$C$5:$C$49,$A25,Raspored!$F$5:$F$49,"x")</f>
        <v/>
      </c>
      <c r="E25" s="7">
        <f>COUNTIFS(Raspored!$C$5:$C$49,$A25,Raspored!$G$5:$G$49,"x")</f>
        <v/>
      </c>
      <c r="F25" s="7">
        <f>COUNTIFS(Raspored!$C$5:$C$49,$A25,Raspored!$H$5:$H$49,"x")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Spremnike iznijeti na javnu površinu ispred objekta najkasnije do 7:00 sati.</t>
        </is>
      </c>
    </row>
    <row r="30">
      <c r="A30" s="23" t="inlineStr">
        <is>
          <t>• Glomazni otpad odvozi se besplatno samo uz prijavnicu (dobivenu poštom u prosincu).</t>
        </is>
      </c>
    </row>
    <row r="31">
      <c r="A31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17 (Drnje)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46086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46100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46114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46134</v>
      </c>
      <c r="B17" s="7" t="inlineStr">
        <is>
          <t>srijeda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46142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46162</v>
      </c>
      <c r="B20" s="7" t="inlineStr">
        <is>
          <t>srijeda</t>
        </is>
      </c>
      <c r="C20" s="7" t="inlineStr">
        <is>
          <t>svibanj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46170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46190</v>
      </c>
      <c r="B23" s="7" t="inlineStr">
        <is>
          <t>srijeda</t>
        </is>
      </c>
      <c r="C23" s="7" t="inlineStr">
        <is>
          <t>lipanj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46191</v>
      </c>
      <c r="B24" s="7" t="inlineStr">
        <is>
          <t>četvrtak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46198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46212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46218</v>
      </c>
      <c r="B27" s="7" t="inlineStr">
        <is>
          <t>srijeda</t>
        </is>
      </c>
      <c r="C27" s="7" t="inlineStr">
        <is>
          <t>srpanj</t>
        </is>
      </c>
      <c r="D27" s="7" t="n"/>
      <c r="E27" s="7" t="n"/>
      <c r="F27" s="7" t="inlineStr">
        <is>
          <t>x</t>
        </is>
      </c>
      <c r="G27" s="7" t="n"/>
      <c r="H27" s="7" t="n"/>
      <c r="I27" s="25" t="n"/>
    </row>
    <row r="28">
      <c r="A28" s="6" t="n">
        <v>46219</v>
      </c>
      <c r="B28" s="7" t="inlineStr">
        <is>
          <t>četvrtak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7" t="n"/>
      <c r="I28" s="25" t="n"/>
    </row>
    <row r="29">
      <c r="A29" s="6" t="n">
        <v>46226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46240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46253</v>
      </c>
      <c r="B31" s="7" t="inlineStr">
        <is>
          <t>srijeda</t>
        </is>
      </c>
      <c r="C31" s="7" t="inlineStr">
        <is>
          <t>kolovoz</t>
        </is>
      </c>
      <c r="D31" s="7" t="n"/>
      <c r="E31" s="7" t="n"/>
      <c r="F31" s="7" t="inlineStr">
        <is>
          <t>x</t>
        </is>
      </c>
      <c r="G31" s="7" t="n"/>
      <c r="H31" s="7" t="n"/>
      <c r="I31" s="25" t="n"/>
    </row>
    <row r="32">
      <c r="A32" s="6" t="n">
        <v>46254</v>
      </c>
      <c r="B32" s="7" t="inlineStr">
        <is>
          <t>četvrtak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25" t="n"/>
    </row>
    <row r="33">
      <c r="A33" s="6" t="n">
        <v>46268</v>
      </c>
      <c r="B33" s="7" t="inlineStr">
        <is>
          <t>četvrtak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46281</v>
      </c>
      <c r="B34" s="7" t="inlineStr">
        <is>
          <t>srijeda</t>
        </is>
      </c>
      <c r="C34" s="7" t="inlineStr">
        <is>
          <t>rujan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46282</v>
      </c>
      <c r="B35" s="7" t="inlineStr">
        <is>
          <t>četvrtak</t>
        </is>
      </c>
      <c r="C35" s="7" t="inlineStr">
        <is>
          <t>rujan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7" t="n"/>
      <c r="I35" s="25" t="n"/>
    </row>
    <row r="36">
      <c r="A36" s="6" t="n">
        <v>46296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46310</v>
      </c>
      <c r="B37" s="7" t="inlineStr">
        <is>
          <t>četvrtak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46316</v>
      </c>
      <c r="B38" s="7" t="inlineStr">
        <is>
          <t>srijeda</t>
        </is>
      </c>
      <c r="C38" s="7" t="inlineStr">
        <is>
          <t>listopad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46317</v>
      </c>
      <c r="B39" s="7" t="inlineStr">
        <is>
          <t>četvrtak</t>
        </is>
      </c>
      <c r="C39" s="7" t="inlineStr">
        <is>
          <t>listopad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46324</v>
      </c>
      <c r="B40" s="7" t="inlineStr">
        <is>
          <t>četvrtak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46338</v>
      </c>
      <c r="B41" s="7" t="inlineStr">
        <is>
          <t>četvrtak</t>
        </is>
      </c>
      <c r="C41" s="7" t="inlineStr">
        <is>
          <t>studeni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46344</v>
      </c>
      <c r="B42" s="7" t="inlineStr">
        <is>
          <t>srijeda</t>
        </is>
      </c>
      <c r="C42" s="7" t="inlineStr">
        <is>
          <t>studeni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46345</v>
      </c>
      <c r="B43" s="7" t="inlineStr">
        <is>
          <t>četvrtak</t>
        </is>
      </c>
      <c r="C43" s="7" t="inlineStr">
        <is>
          <t>studeni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7" t="n"/>
      <c r="I43" s="25" t="n"/>
    </row>
    <row r="44">
      <c r="A44" s="6" t="n">
        <v>46352</v>
      </c>
      <c r="B44" s="7" t="inlineStr">
        <is>
          <t>četvrtak</t>
        </is>
      </c>
      <c r="C44" s="7" t="inlineStr">
        <is>
          <t>studeni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46366</v>
      </c>
      <c r="B45" s="7" t="inlineStr">
        <is>
          <t>četvrtak</t>
        </is>
      </c>
      <c r="C45" s="7" t="inlineStr">
        <is>
          <t>prosinac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46371</v>
      </c>
      <c r="B46" s="7" t="inlineStr">
        <is>
          <t>utorak</t>
        </is>
      </c>
      <c r="C46" s="7" t="inlineStr">
        <is>
          <t>prosinac</t>
        </is>
      </c>
      <c r="D46" s="7" t="n"/>
      <c r="E46" s="7" t="n"/>
      <c r="F46" s="7" t="n"/>
      <c r="G46" s="7" t="n"/>
      <c r="H46" s="7" t="inlineStr">
        <is>
          <t>x</t>
        </is>
      </c>
      <c r="I46" s="25" t="n"/>
    </row>
    <row r="47">
      <c r="A47" s="6" t="n">
        <v>46372</v>
      </c>
      <c r="B47" s="7" t="inlineStr">
        <is>
          <t>srijeda</t>
        </is>
      </c>
      <c r="C47" s="7" t="inlineStr">
        <is>
          <t>prosinac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46373</v>
      </c>
      <c r="B48" s="7" t="inlineStr">
        <is>
          <t>četvrtak</t>
        </is>
      </c>
      <c r="C48" s="7" t="inlineStr">
        <is>
          <t>prosinac</t>
        </is>
      </c>
      <c r="D48" s="7" t="n"/>
      <c r="E48" s="7" t="inlineStr">
        <is>
          <t>x</t>
        </is>
      </c>
      <c r="F48" s="7" t="n"/>
      <c r="G48" s="7" t="inlineStr">
        <is>
          <t>x</t>
        </is>
      </c>
      <c r="H48" s="7" t="n"/>
      <c r="I48" s="25" t="n"/>
    </row>
    <row r="49">
      <c r="A49" s="6" t="n">
        <v>46380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</sheetData>
  <autoFilter ref="A4:I49"/>
  <conditionalFormatting sqref="D5:D49">
    <cfRule type="expression" priority="1" dxfId="0">
      <formula>D5="x"</formula>
    </cfRule>
  </conditionalFormatting>
  <conditionalFormatting sqref="E5:E49">
    <cfRule type="expression" priority="2" dxfId="1">
      <formula>E5="x"</formula>
    </cfRule>
  </conditionalFormatting>
  <conditionalFormatting sqref="F5:F49">
    <cfRule type="expression" priority="3" dxfId="2">
      <formula>F5="x"</formula>
    </cfRule>
  </conditionalFormatting>
  <conditionalFormatting sqref="G5:G49">
    <cfRule type="expression" priority="4" dxfId="3">
      <formula>G5="x"</formula>
    </cfRule>
  </conditionalFormatting>
  <conditionalFormatting sqref="H5:H49">
    <cfRule type="expression" priority="5" dxfId="4">
      <formula>H5="x"</formula>
    </cfRule>
  </conditionalFormatting>
  <conditionalFormatting sqref="A5:I4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46037</v>
      </c>
      <c r="B3" s="19" t="inlineStr">
        <is>
          <t>četvrtak</t>
        </is>
      </c>
      <c r="C3" s="9" t="inlineStr">
        <is>
          <t>Bio razgradivi otpad</t>
        </is>
      </c>
      <c r="D3" s="19" t="n"/>
    </row>
    <row r="4">
      <c r="A4" s="26" t="n">
        <v>46043</v>
      </c>
      <c r="B4" s="19" t="inlineStr">
        <is>
          <t>srijeda</t>
        </is>
      </c>
      <c r="C4" s="10" t="inlineStr">
        <is>
          <t>Plastika i metal</t>
        </is>
      </c>
      <c r="D4" s="19" t="n"/>
    </row>
    <row r="5">
      <c r="A5" s="26" t="n">
        <v>46044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46044</v>
      </c>
      <c r="B6" s="19" t="inlineStr">
        <is>
          <t>četvrtak</t>
        </is>
      </c>
      <c r="C6" s="11" t="inlineStr">
        <is>
          <t>Papir i karton</t>
        </is>
      </c>
      <c r="D6" s="19" t="n"/>
    </row>
    <row r="7">
      <c r="A7" s="26" t="n">
        <v>46058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46071</v>
      </c>
      <c r="B8" s="19" t="inlineStr">
        <is>
          <t>srijeda</t>
        </is>
      </c>
      <c r="C8" s="10" t="inlineStr">
        <is>
          <t>Plastika i metal</t>
        </is>
      </c>
      <c r="D8" s="19" t="n"/>
    </row>
    <row r="9">
      <c r="A9" s="26" t="n">
        <v>46072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46072</v>
      </c>
      <c r="B10" s="19" t="inlineStr">
        <is>
          <t>četvrtak</t>
        </is>
      </c>
      <c r="C10" s="9" t="inlineStr">
        <is>
          <t>Bio razgradivi otpad</t>
        </is>
      </c>
      <c r="D10" s="19" t="n"/>
    </row>
    <row r="11">
      <c r="A11" s="26" t="n">
        <v>46072</v>
      </c>
      <c r="B11" s="19" t="inlineStr">
        <is>
          <t>četvrtak</t>
        </is>
      </c>
      <c r="C11" s="11" t="inlineStr">
        <is>
          <t>Papir i karton</t>
        </is>
      </c>
      <c r="D11" s="19" t="n"/>
    </row>
    <row r="12">
      <c r="A12" s="26" t="n">
        <v>46086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46099</v>
      </c>
      <c r="B13" s="19" t="inlineStr">
        <is>
          <t>srijeda</t>
        </is>
      </c>
      <c r="C13" s="10" t="inlineStr">
        <is>
          <t>Plastika i metal</t>
        </is>
      </c>
      <c r="D13" s="19" t="n"/>
    </row>
    <row r="14">
      <c r="A14" s="26" t="n">
        <v>46100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46100</v>
      </c>
      <c r="B15" s="19" t="inlineStr">
        <is>
          <t>četvrtak</t>
        </is>
      </c>
      <c r="C15" s="9" t="inlineStr">
        <is>
          <t>Bio razgradivi otpad</t>
        </is>
      </c>
      <c r="D15" s="19" t="n"/>
    </row>
    <row r="16">
      <c r="A16" s="26" t="n">
        <v>46100</v>
      </c>
      <c r="B16" s="19" t="inlineStr">
        <is>
          <t>četvrtak</t>
        </is>
      </c>
      <c r="C16" s="11" t="inlineStr">
        <is>
          <t>Papir i karton</t>
        </is>
      </c>
      <c r="D16" s="19" t="n"/>
    </row>
    <row r="17">
      <c r="A17" s="26" t="n">
        <v>46114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46128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46128</v>
      </c>
      <c r="B19" s="19" t="inlineStr">
        <is>
          <t>četvrtak</t>
        </is>
      </c>
      <c r="C19" s="9" t="inlineStr">
        <is>
          <t>Bio razgradivi otpad</t>
        </is>
      </c>
      <c r="D19" s="19" t="n"/>
    </row>
    <row r="20">
      <c r="A20" s="26" t="n">
        <v>46128</v>
      </c>
      <c r="B20" s="19" t="inlineStr">
        <is>
          <t>četvrtak</t>
        </is>
      </c>
      <c r="C20" s="11" t="inlineStr">
        <is>
          <t>Papir i karton</t>
        </is>
      </c>
      <c r="D20" s="19" t="n"/>
    </row>
    <row r="21">
      <c r="A21" s="26" t="n">
        <v>46134</v>
      </c>
      <c r="B21" s="19" t="inlineStr">
        <is>
          <t>srijeda</t>
        </is>
      </c>
      <c r="C21" s="10" t="inlineStr">
        <is>
          <t>Plastika i metal</t>
        </is>
      </c>
      <c r="D21" s="19" t="n"/>
    </row>
    <row r="22">
      <c r="A22" s="26" t="n">
        <v>46142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46156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46156</v>
      </c>
      <c r="B24" s="19" t="inlineStr">
        <is>
          <t>četvrtak</t>
        </is>
      </c>
      <c r="C24" s="9" t="inlineStr">
        <is>
          <t>Bio razgradivi otpad</t>
        </is>
      </c>
      <c r="D24" s="19" t="n"/>
    </row>
    <row r="25">
      <c r="A25" s="26" t="n">
        <v>46156</v>
      </c>
      <c r="B25" s="19" t="inlineStr">
        <is>
          <t>četvrtak</t>
        </is>
      </c>
      <c r="C25" s="11" t="inlineStr">
        <is>
          <t>Papir i karton</t>
        </is>
      </c>
      <c r="D25" s="19" t="n"/>
    </row>
    <row r="26">
      <c r="A26" s="26" t="n">
        <v>46162</v>
      </c>
      <c r="B26" s="19" t="inlineStr">
        <is>
          <t>srijeda</t>
        </is>
      </c>
      <c r="C26" s="10" t="inlineStr">
        <is>
          <t>Plastika i metal</t>
        </is>
      </c>
      <c r="D26" s="19" t="n"/>
    </row>
    <row r="27">
      <c r="A27" s="26" t="n">
        <v>46170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6" t="n">
        <v>46184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46184</v>
      </c>
      <c r="B29" s="19" t="inlineStr">
        <is>
          <t>četvrtak</t>
        </is>
      </c>
      <c r="C29" s="11" t="inlineStr">
        <is>
          <t>Papir i karton</t>
        </is>
      </c>
      <c r="D29" s="19" t="n"/>
    </row>
    <row r="30">
      <c r="A30" s="26" t="n">
        <v>46190</v>
      </c>
      <c r="B30" s="19" t="inlineStr">
        <is>
          <t>srijeda</t>
        </is>
      </c>
      <c r="C30" s="10" t="inlineStr">
        <is>
          <t>Plastika i metal</t>
        </is>
      </c>
      <c r="D30" s="19" t="n"/>
    </row>
    <row r="31">
      <c r="A31" s="26" t="n">
        <v>46191</v>
      </c>
      <c r="B31" s="19" t="inlineStr">
        <is>
          <t>četvrtak</t>
        </is>
      </c>
      <c r="C31" s="9" t="inlineStr">
        <is>
          <t>Bio razgradivi otpad</t>
        </is>
      </c>
      <c r="D31" s="19" t="n"/>
    </row>
    <row r="32">
      <c r="A32" s="26" t="n">
        <v>46198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46212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46218</v>
      </c>
      <c r="B34" s="19" t="inlineStr">
        <is>
          <t>srijeda</t>
        </is>
      </c>
      <c r="C34" s="10" t="inlineStr">
        <is>
          <t>Plastika i metal</t>
        </is>
      </c>
      <c r="D34" s="19" t="n"/>
    </row>
    <row r="35">
      <c r="A35" s="26" t="n">
        <v>46219</v>
      </c>
      <c r="B35" s="19" t="inlineStr">
        <is>
          <t>četvrtak</t>
        </is>
      </c>
      <c r="C35" s="9" t="inlineStr">
        <is>
          <t>Bio razgradivi otpad</t>
        </is>
      </c>
      <c r="D35" s="19" t="n"/>
    </row>
    <row r="36">
      <c r="A36" s="26" t="n">
        <v>46219</v>
      </c>
      <c r="B36" s="19" t="inlineStr">
        <is>
          <t>četvrtak</t>
        </is>
      </c>
      <c r="C36" s="11" t="inlineStr">
        <is>
          <t>Papir i karton</t>
        </is>
      </c>
      <c r="D36" s="19" t="n"/>
    </row>
    <row r="37">
      <c r="A37" s="26" t="n">
        <v>46226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6" t="n">
        <v>46240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6" t="n">
        <v>46253</v>
      </c>
      <c r="B39" s="19" t="inlineStr">
        <is>
          <t>srijeda</t>
        </is>
      </c>
      <c r="C39" s="10" t="inlineStr">
        <is>
          <t>Plastika i metal</t>
        </is>
      </c>
      <c r="D39" s="19" t="n"/>
    </row>
    <row r="40">
      <c r="A40" s="26" t="n">
        <v>46254</v>
      </c>
      <c r="B40" s="19" t="inlineStr">
        <is>
          <t>četvrtak</t>
        </is>
      </c>
      <c r="C40" s="5" t="inlineStr">
        <is>
          <t>Miješani komunalni otpad</t>
        </is>
      </c>
      <c r="D40" s="19" t="n"/>
    </row>
    <row r="41">
      <c r="A41" s="26" t="n">
        <v>46254</v>
      </c>
      <c r="B41" s="19" t="inlineStr">
        <is>
          <t>četvrtak</t>
        </is>
      </c>
      <c r="C41" s="9" t="inlineStr">
        <is>
          <t>Bio razgradivi otpad</t>
        </is>
      </c>
      <c r="D41" s="19" t="n"/>
    </row>
    <row r="42">
      <c r="A42" s="26" t="n">
        <v>46254</v>
      </c>
      <c r="B42" s="19" t="inlineStr">
        <is>
          <t>četvrtak</t>
        </is>
      </c>
      <c r="C42" s="11" t="inlineStr">
        <is>
          <t>Papir i karton</t>
        </is>
      </c>
      <c r="D42" s="19" t="n"/>
    </row>
    <row r="43">
      <c r="A43" s="26" t="n">
        <v>46268</v>
      </c>
      <c r="B43" s="19" t="inlineStr">
        <is>
          <t>četvrtak</t>
        </is>
      </c>
      <c r="C43" s="5" t="inlineStr">
        <is>
          <t>Miješani komunalni otpad</t>
        </is>
      </c>
      <c r="D43" s="19" t="n"/>
    </row>
    <row r="44">
      <c r="A44" s="26" t="n">
        <v>46281</v>
      </c>
      <c r="B44" s="19" t="inlineStr">
        <is>
          <t>srijeda</t>
        </is>
      </c>
      <c r="C44" s="10" t="inlineStr">
        <is>
          <t>Plastika i metal</t>
        </is>
      </c>
      <c r="D44" s="19" t="n"/>
    </row>
    <row r="45">
      <c r="A45" s="26" t="n">
        <v>46282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6" t="n">
        <v>46282</v>
      </c>
      <c r="B46" s="19" t="inlineStr">
        <is>
          <t>četvrtak</t>
        </is>
      </c>
      <c r="C46" s="9" t="inlineStr">
        <is>
          <t>Bio razgradivi otpad</t>
        </is>
      </c>
      <c r="D46" s="19" t="n"/>
    </row>
    <row r="47">
      <c r="A47" s="26" t="n">
        <v>46282</v>
      </c>
      <c r="B47" s="19" t="inlineStr">
        <is>
          <t>četvrtak</t>
        </is>
      </c>
      <c r="C47" s="11" t="inlineStr">
        <is>
          <t>Papir i karton</t>
        </is>
      </c>
      <c r="D47" s="19" t="n"/>
    </row>
    <row r="48">
      <c r="A48" s="26" t="n">
        <v>46296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6" t="n">
        <v>46310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46310</v>
      </c>
      <c r="B50" s="19" t="inlineStr">
        <is>
          <t>četvrtak</t>
        </is>
      </c>
      <c r="C50" s="9" t="inlineStr">
        <is>
          <t>Bio razgradivi otpad</t>
        </is>
      </c>
      <c r="D50" s="19" t="n"/>
    </row>
    <row r="51">
      <c r="A51" s="26" t="n">
        <v>46316</v>
      </c>
      <c r="B51" s="19" t="inlineStr">
        <is>
          <t>srijeda</t>
        </is>
      </c>
      <c r="C51" s="10" t="inlineStr">
        <is>
          <t>Plastika i metal</t>
        </is>
      </c>
      <c r="D51" s="19" t="n"/>
    </row>
    <row r="52">
      <c r="A52" s="26" t="n">
        <v>46317</v>
      </c>
      <c r="B52" s="19" t="inlineStr">
        <is>
          <t>četvrtak</t>
        </is>
      </c>
      <c r="C52" s="11" t="inlineStr">
        <is>
          <t>Papir i karton</t>
        </is>
      </c>
      <c r="D52" s="19" t="n"/>
    </row>
    <row r="53">
      <c r="A53" s="26" t="n">
        <v>46324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46338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46344</v>
      </c>
      <c r="B55" s="19" t="inlineStr">
        <is>
          <t>srijeda</t>
        </is>
      </c>
      <c r="C55" s="10" t="inlineStr">
        <is>
          <t>Plastika i metal</t>
        </is>
      </c>
      <c r="D55" s="19" t="n"/>
    </row>
    <row r="56">
      <c r="A56" s="26" t="n">
        <v>46345</v>
      </c>
      <c r="B56" s="19" t="inlineStr">
        <is>
          <t>četvrtak</t>
        </is>
      </c>
      <c r="C56" s="9" t="inlineStr">
        <is>
          <t>Bio razgradivi otpad</t>
        </is>
      </c>
      <c r="D56" s="19" t="n"/>
    </row>
    <row r="57">
      <c r="A57" s="26" t="n">
        <v>46345</v>
      </c>
      <c r="B57" s="19" t="inlineStr">
        <is>
          <t>četvrtak</t>
        </is>
      </c>
      <c r="C57" s="11" t="inlineStr">
        <is>
          <t>Papir i karton</t>
        </is>
      </c>
      <c r="D57" s="19" t="n"/>
    </row>
    <row r="58">
      <c r="A58" s="26" t="n">
        <v>46352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6" t="n">
        <v>46366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46371</v>
      </c>
      <c r="B60" s="19" t="inlineStr">
        <is>
          <t>utorak</t>
        </is>
      </c>
      <c r="C60" s="12" t="inlineStr">
        <is>
          <t>Glomazni otpad (obavezno prijaviti)</t>
        </is>
      </c>
      <c r="D60" s="19" t="n"/>
    </row>
    <row r="61">
      <c r="A61" s="26" t="n">
        <v>46372</v>
      </c>
      <c r="B61" s="19" t="inlineStr">
        <is>
          <t>srijeda</t>
        </is>
      </c>
      <c r="C61" s="10" t="inlineStr">
        <is>
          <t>Plastika i metal</t>
        </is>
      </c>
      <c r="D61" s="19" t="n"/>
    </row>
    <row r="62">
      <c r="A62" s="26" t="n">
        <v>46373</v>
      </c>
      <c r="B62" s="19" t="inlineStr">
        <is>
          <t>četvrtak</t>
        </is>
      </c>
      <c r="C62" s="9" t="inlineStr">
        <is>
          <t>Bio razgradivi otpad</t>
        </is>
      </c>
      <c r="D62" s="19" t="n"/>
    </row>
    <row r="63">
      <c r="A63" s="26" t="n">
        <v>46373</v>
      </c>
      <c r="B63" s="19" t="inlineStr">
        <is>
          <t>četvrtak</t>
        </is>
      </c>
      <c r="C63" s="11" t="inlineStr">
        <is>
          <t>Papir i karton</t>
        </is>
      </c>
      <c r="D63" s="19" t="n"/>
    </row>
    <row r="64">
      <c r="A64" s="26" t="n">
        <v>46380</v>
      </c>
      <c r="B64" s="19" t="inlineStr">
        <is>
          <t>četvrtak</t>
        </is>
      </c>
      <c r="C64" s="5" t="inlineStr">
        <is>
          <t>Miješani komunalni otpad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(Drnje): ulice i naselja</t>
        </is>
      </c>
    </row>
    <row r="2">
      <c r="A2" s="24" t="inlineStr">
        <is>
          <t>DRNJE, TORČEC, BOTOVO</t>
        </is>
      </c>
    </row>
    <row r="4">
      <c r="A4" s="4" t="inlineStr">
        <is>
          <t>Ulica / naselje</t>
        </is>
      </c>
    </row>
    <row r="5">
      <c r="A5" s="19" t="inlineStr">
        <is>
          <t>Botovo</t>
        </is>
      </c>
    </row>
    <row r="6">
      <c r="A6" s="19" t="inlineStr">
        <is>
          <t>Drnje</t>
        </is>
      </c>
    </row>
    <row r="7">
      <c r="A7" s="19" t="inlineStr">
        <is>
          <t>Torčec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
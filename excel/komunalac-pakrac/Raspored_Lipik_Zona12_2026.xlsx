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COUNTIFS(Raspored!$C$5:$C$30,$A10,Raspored!$D$5:$D$30,"x")</f>
        <v/>
      </c>
    </row>
    <row r="11">
      <c r="A11" s="11" t="inlineStr">
        <is>
          <t>veljača</t>
        </is>
      </c>
      <c r="B11" s="7">
        <f>COUNTIFS(Raspored!$C$5:$C$30,$A11,Raspored!$D$5:$D$30,"x")</f>
        <v/>
      </c>
    </row>
    <row r="12">
      <c r="A12" s="11" t="inlineStr">
        <is>
          <t>ožujak</t>
        </is>
      </c>
      <c r="B12" s="7">
        <f>COUNTIFS(Raspored!$C$5:$C$30,$A12,Raspored!$D$5:$D$30,"x")</f>
        <v/>
      </c>
    </row>
    <row r="13">
      <c r="A13" s="11" t="inlineStr">
        <is>
          <t>travanj</t>
        </is>
      </c>
      <c r="B13" s="7">
        <f>COUNTIFS(Raspored!$C$5:$C$30,$A13,Raspored!$D$5:$D$30,"x")</f>
        <v/>
      </c>
    </row>
    <row r="14">
      <c r="A14" s="11" t="inlineStr">
        <is>
          <t>svibanj</t>
        </is>
      </c>
      <c r="B14" s="7">
        <f>COUNTIFS(Raspored!$C$5:$C$30,$A14,Raspored!$D$5:$D$30,"x")</f>
        <v/>
      </c>
    </row>
    <row r="15">
      <c r="A15" s="11" t="inlineStr">
        <is>
          <t>lipanj</t>
        </is>
      </c>
      <c r="B15" s="7">
        <f>COUNTIFS(Raspored!$C$5:$C$30,$A15,Raspored!$D$5:$D$30,"x")</f>
        <v/>
      </c>
    </row>
    <row r="16">
      <c r="A16" s="11" t="inlineStr">
        <is>
          <t>srpanj</t>
        </is>
      </c>
      <c r="B16" s="7">
        <f>COUNTIFS(Raspored!$C$5:$C$30,$A16,Raspored!$D$5:$D$30,"x")</f>
        <v/>
      </c>
    </row>
    <row r="17">
      <c r="A17" s="11" t="inlineStr">
        <is>
          <t>kolovoz</t>
        </is>
      </c>
      <c r="B17" s="7">
        <f>COUNTIFS(Raspored!$C$5:$C$30,$A17,Raspored!$D$5:$D$30,"x")</f>
        <v/>
      </c>
    </row>
    <row r="18">
      <c r="A18" s="11" t="inlineStr">
        <is>
          <t>rujan</t>
        </is>
      </c>
      <c r="B18" s="7">
        <f>COUNTIFS(Raspored!$C$5:$C$30,$A18,Raspored!$D$5:$D$30,"x")</f>
        <v/>
      </c>
    </row>
    <row r="19">
      <c r="A19" s="11" t="inlineStr">
        <is>
          <t>listopad</t>
        </is>
      </c>
      <c r="B19" s="7">
        <f>COUNTIFS(Raspored!$C$5:$C$30,$A19,Raspored!$D$5:$D$30,"x")</f>
        <v/>
      </c>
    </row>
    <row r="20">
      <c r="A20" s="11" t="inlineStr">
        <is>
          <t>studeni</t>
        </is>
      </c>
      <c r="B20" s="7">
        <f>COUNTIFS(Raspored!$C$5:$C$30,$A20,Raspored!$D$5:$D$30,"x")</f>
        <v/>
      </c>
    </row>
    <row r="21">
      <c r="A21" s="11" t="inlineStr">
        <is>
          <t>prosinac</t>
        </is>
      </c>
      <c r="B21" s="7">
        <f>COUNTIFS(Raspored!$C$5:$C$30,$A21,Raspored!$D$5:$D$30,"x")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ponedjeljkom).</t>
        </is>
      </c>
    </row>
    <row r="26">
      <c r="A26" s="15" t="inlineStr">
        <is>
          <t>• Miješani komunalni otpad: svaki drugi tjedan, ponedjeljkom; neradni dan → dan kasnije. Papir i plastika: ovo područje nije na letku za srpanj–prosinac; raspored provjerite kod davatelja (034 411 225).</t>
        </is>
      </c>
    </row>
    <row r="27">
      <c r="A27" s="15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28">
      <c r="A28" s="15" t="inlineStr">
        <is>
          <t>• Papir i plastika: uključen je raspored s letka za 1. srpnja – 31. prosinca 2026. Za siječanj–lipanj datumi nisu uključeni.</t>
        </is>
      </c>
    </row>
    <row r="29">
      <c r="A29" s="15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0">
      <c r="A30" s="15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1">
      <c r="A31" s="15" t="inlineStr">
        <is>
          <t>• Glomazni otpad: jednom godišnje besplatan odvoz do 4 m³ po korisniku, po pozivu (034 411 225).</t>
        </is>
      </c>
    </row>
    <row r="32">
      <c r="A32" s="15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12 (Lipik)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17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17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17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17" t="n"/>
    </row>
    <row r="11">
      <c r="A11" s="18" t="n">
        <v>46119</v>
      </c>
      <c r="B11" s="19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17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17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17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17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17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17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17" t="n"/>
    </row>
    <row r="18">
      <c r="A18" s="6" t="n">
        <v>46216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17" t="n"/>
    </row>
    <row r="19">
      <c r="A19" s="6" t="n">
        <v>46230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17" t="n"/>
    </row>
    <row r="20">
      <c r="A20" s="6" t="n">
        <v>46244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17" t="n"/>
    </row>
    <row r="21">
      <c r="A21" s="6" t="n">
        <v>46258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17" t="n"/>
    </row>
    <row r="22">
      <c r="A22" s="6" t="n">
        <v>46272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17" t="n"/>
    </row>
    <row r="23">
      <c r="A23" s="6" t="n">
        <v>46286</v>
      </c>
      <c r="B23" s="7" t="inlineStr">
        <is>
          <t>ponedjeljak</t>
        </is>
      </c>
      <c r="C23" s="7" t="inlineStr">
        <is>
          <t>rujan</t>
        </is>
      </c>
      <c r="D23" s="7" t="inlineStr">
        <is>
          <t>x</t>
        </is>
      </c>
      <c r="E23" s="17" t="n"/>
    </row>
    <row r="24">
      <c r="A24" s="6" t="n">
        <v>46300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17" t="n"/>
    </row>
    <row r="25">
      <c r="A25" s="6" t="n">
        <v>46314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17" t="n"/>
    </row>
    <row r="26">
      <c r="A26" s="6" t="n">
        <v>46328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17" t="n"/>
    </row>
    <row r="27">
      <c r="A27" s="6" t="n">
        <v>46342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17" t="n"/>
    </row>
    <row r="28">
      <c r="A28" s="6" t="n">
        <v>46356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17" t="n"/>
    </row>
    <row r="29">
      <c r="A29" s="6" t="n">
        <v>46370</v>
      </c>
      <c r="B29" s="7" t="inlineStr">
        <is>
          <t>ponedjeljak</t>
        </is>
      </c>
      <c r="C29" s="7" t="inlineStr">
        <is>
          <t>prosinac</t>
        </is>
      </c>
      <c r="D29" s="7" t="inlineStr">
        <is>
          <t>x</t>
        </is>
      </c>
      <c r="E29" s="17" t="n"/>
    </row>
    <row r="30">
      <c r="A30" s="6" t="n">
        <v>46384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17" t="n"/>
    </row>
  </sheetData>
  <autoFilter ref="A4:E30"/>
  <conditionalFormatting sqref="D5:D30">
    <cfRule type="expression" priority="1" dxfId="0">
      <formula>D5="x"</formula>
    </cfRule>
  </conditionalFormatting>
  <conditionalFormatting sqref="A5:E3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46034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20" t="n">
        <v>46048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20" t="n">
        <v>46062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20" t="n">
        <v>46076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20" t="n">
        <v>46090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20" t="n">
        <v>46104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20" t="n">
        <v>46119</v>
      </c>
      <c r="B8" s="11" t="inlineStr">
        <is>
          <t>utorak</t>
        </is>
      </c>
      <c r="C8" s="5" t="inlineStr">
        <is>
          <t>Miješani komunalni otpad</t>
        </is>
      </c>
      <c r="D8" s="11" t="inlineStr">
        <is>
          <t>Pomaknuto zbog neradnog dana u tjednu</t>
        </is>
      </c>
    </row>
    <row r="9">
      <c r="A9" s="20" t="n">
        <v>46132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20" t="n">
        <v>46146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20" t="n">
        <v>46160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20" t="n">
        <v>46174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20" t="n">
        <v>46188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20" t="n">
        <v>46202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20" t="n">
        <v>46216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20" t="n">
        <v>46230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20" t="n">
        <v>46244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20" t="n">
        <v>46258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20" t="n">
        <v>46272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20" t="n">
        <v>46286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20" t="n">
        <v>46300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20" t="n">
        <v>46314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20" t="n">
        <v>46328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20" t="n">
        <v>46342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20" t="n">
        <v>46356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20" t="n">
        <v>46370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20" t="n">
        <v>46384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(Lipik): ulice i naselja</t>
        </is>
      </c>
    </row>
    <row r="2">
      <c r="A2" s="16" t="inlineStr">
        <is>
          <t>NASELJA DONJI ČAGLIĆ, JAPAGA, ŠEOVICA, SKENDEROVCI – SVAKI DRUGI RADNI PONEDJELJAK I TO :</t>
        </is>
      </c>
    </row>
    <row r="4">
      <c r="A4" s="4" t="inlineStr">
        <is>
          <t>Ulica / naselje</t>
        </is>
      </c>
    </row>
    <row r="5">
      <c r="A5" s="11" t="inlineStr">
        <is>
          <t>Skenderovci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
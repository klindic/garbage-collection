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'Raspored'!$A$4:$G$36</definedName>
    <definedName name="_xlnm._FilterDatabase" localSheetId="2" hidden="1">'Po vrsti'!$A$1:$D$39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IFERROR(1/(1/_xlfn.MINIFS(Raspored!$A$5:$A$36,Raspored!$D$5:$D$36,"x",Raspored!$A$5:$A$36,"&gt;="&amp;$B$3)),"nema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COUNTIF(Raspored!$D$5:$D$36,"x")</f>
        <v/>
      </c>
    </row>
    <row r="7">
      <c r="A7" s="9" t="inlineStr">
        <is>
          <t>Plastika i metal (žuta kanta)</t>
        </is>
      </c>
      <c r="B7" s="6">
        <f>IFERROR(1/(1/_xlfn.MINIFS(Raspored!$A$5:$A$36,Raspored!$E$5:$E$36,"x",Raspored!$A$5:$A$36,"&gt;="&amp;$B$3)),"nema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COUNTIF(Raspored!$E$5:$E$36,"x")</f>
        <v/>
      </c>
    </row>
    <row r="8">
      <c r="A8" s="10" t="inlineStr">
        <is>
          <t>Papir i karton (plava kanta)</t>
        </is>
      </c>
      <c r="B8" s="6">
        <f>IFERROR(1/(1/_xlfn.MINIFS(Raspored!$A$5:$A$36,Raspored!$F$5:$F$36,"x",Raspored!$A$5:$A$36,"&gt;="&amp;$B$3)),"nema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COUNTIFS(Raspored!$C$5:$C$36,$A12,Raspored!$D$5:$D$36,"x")</f>
        <v/>
      </c>
      <c r="C12" s="7">
        <f>COUNTIFS(Raspored!$C$5:$C$36,$A12,Raspored!$E$5:$E$36,"x")</f>
        <v/>
      </c>
      <c r="D12" s="7">
        <f>COUNTIFS(Raspored!$C$5:$C$36,$A12,Raspored!$F$5:$F$36,"x")</f>
        <v/>
      </c>
    </row>
    <row r="13">
      <c r="A13" s="15" t="inlineStr">
        <is>
          <t>veljača</t>
        </is>
      </c>
      <c r="B13" s="7">
        <f>COUNTIFS(Raspored!$C$5:$C$36,$A13,Raspored!$D$5:$D$36,"x")</f>
        <v/>
      </c>
      <c r="C13" s="7">
        <f>COUNTIFS(Raspored!$C$5:$C$36,$A13,Raspored!$E$5:$E$36,"x")</f>
        <v/>
      </c>
      <c r="D13" s="7">
        <f>COUNTIFS(Raspored!$C$5:$C$36,$A13,Raspored!$F$5:$F$36,"x")</f>
        <v/>
      </c>
    </row>
    <row r="14">
      <c r="A14" s="15" t="inlineStr">
        <is>
          <t>ožujak</t>
        </is>
      </c>
      <c r="B14" s="7">
        <f>COUNTIFS(Raspored!$C$5:$C$36,$A14,Raspored!$D$5:$D$36,"x")</f>
        <v/>
      </c>
      <c r="C14" s="7">
        <f>COUNTIFS(Raspored!$C$5:$C$36,$A14,Raspored!$E$5:$E$36,"x")</f>
        <v/>
      </c>
      <c r="D14" s="7">
        <f>COUNTIFS(Raspored!$C$5:$C$36,$A14,Raspored!$F$5:$F$36,"x")</f>
        <v/>
      </c>
    </row>
    <row r="15">
      <c r="A15" s="15" t="inlineStr">
        <is>
          <t>travanj</t>
        </is>
      </c>
      <c r="B15" s="7">
        <f>COUNTIFS(Raspored!$C$5:$C$36,$A15,Raspored!$D$5:$D$36,"x")</f>
        <v/>
      </c>
      <c r="C15" s="7">
        <f>COUNTIFS(Raspored!$C$5:$C$36,$A15,Raspored!$E$5:$E$36,"x")</f>
        <v/>
      </c>
      <c r="D15" s="7">
        <f>COUNTIFS(Raspored!$C$5:$C$36,$A15,Raspored!$F$5:$F$36,"x")</f>
        <v/>
      </c>
    </row>
    <row r="16">
      <c r="A16" s="15" t="inlineStr">
        <is>
          <t>svibanj</t>
        </is>
      </c>
      <c r="B16" s="7">
        <f>COUNTIFS(Raspored!$C$5:$C$36,$A16,Raspored!$D$5:$D$36,"x")</f>
        <v/>
      </c>
      <c r="C16" s="7">
        <f>COUNTIFS(Raspored!$C$5:$C$36,$A16,Raspored!$E$5:$E$36,"x")</f>
        <v/>
      </c>
      <c r="D16" s="7">
        <f>COUNTIFS(Raspored!$C$5:$C$36,$A16,Raspored!$F$5:$F$36,"x")</f>
        <v/>
      </c>
    </row>
    <row r="17">
      <c r="A17" s="15" t="inlineStr">
        <is>
          <t>lipanj</t>
        </is>
      </c>
      <c r="B17" s="7">
        <f>COUNTIFS(Raspored!$C$5:$C$36,$A17,Raspored!$D$5:$D$36,"x")</f>
        <v/>
      </c>
      <c r="C17" s="7">
        <f>COUNTIFS(Raspored!$C$5:$C$36,$A17,Raspored!$E$5:$E$36,"x")</f>
        <v/>
      </c>
      <c r="D17" s="7">
        <f>COUNTIFS(Raspored!$C$5:$C$36,$A17,Raspored!$F$5:$F$36,"x")</f>
        <v/>
      </c>
    </row>
    <row r="18">
      <c r="A18" s="15" t="inlineStr">
        <is>
          <t>srpanj</t>
        </is>
      </c>
      <c r="B18" s="7">
        <f>COUNTIFS(Raspored!$C$5:$C$36,$A18,Raspored!$D$5:$D$36,"x")</f>
        <v/>
      </c>
      <c r="C18" s="7">
        <f>COUNTIFS(Raspored!$C$5:$C$36,$A18,Raspored!$E$5:$E$36,"x")</f>
        <v/>
      </c>
      <c r="D18" s="7">
        <f>COUNTIFS(Raspored!$C$5:$C$36,$A18,Raspored!$F$5:$F$36,"x")</f>
        <v/>
      </c>
    </row>
    <row r="19">
      <c r="A19" s="15" t="inlineStr">
        <is>
          <t>kolovoz</t>
        </is>
      </c>
      <c r="B19" s="7">
        <f>COUNTIFS(Raspored!$C$5:$C$36,$A19,Raspored!$D$5:$D$36,"x")</f>
        <v/>
      </c>
      <c r="C19" s="7">
        <f>COUNTIFS(Raspored!$C$5:$C$36,$A19,Raspored!$E$5:$E$36,"x")</f>
        <v/>
      </c>
      <c r="D19" s="7">
        <f>COUNTIFS(Raspored!$C$5:$C$36,$A19,Raspored!$F$5:$F$36,"x")</f>
        <v/>
      </c>
    </row>
    <row r="20">
      <c r="A20" s="15" t="inlineStr">
        <is>
          <t>rujan</t>
        </is>
      </c>
      <c r="B20" s="7">
        <f>COUNTIFS(Raspored!$C$5:$C$36,$A20,Raspored!$D$5:$D$36,"x")</f>
        <v/>
      </c>
      <c r="C20" s="7">
        <f>COUNTIFS(Raspored!$C$5:$C$36,$A20,Raspored!$E$5:$E$36,"x")</f>
        <v/>
      </c>
      <c r="D20" s="7">
        <f>COUNTIFS(Raspored!$C$5:$C$36,$A20,Raspored!$F$5:$F$36,"x")</f>
        <v/>
      </c>
    </row>
    <row r="21">
      <c r="A21" s="15" t="inlineStr">
        <is>
          <t>listopad</t>
        </is>
      </c>
      <c r="B21" s="7">
        <f>COUNTIFS(Raspored!$C$5:$C$36,$A21,Raspored!$D$5:$D$36,"x")</f>
        <v/>
      </c>
      <c r="C21" s="7">
        <f>COUNTIFS(Raspored!$C$5:$C$36,$A21,Raspored!$E$5:$E$36,"x")</f>
        <v/>
      </c>
      <c r="D21" s="7">
        <f>COUNTIFS(Raspored!$C$5:$C$36,$A21,Raspored!$F$5:$F$36,"x")</f>
        <v/>
      </c>
    </row>
    <row r="22">
      <c r="A22" s="15" t="inlineStr">
        <is>
          <t>studeni</t>
        </is>
      </c>
      <c r="B22" s="7">
        <f>COUNTIFS(Raspored!$C$5:$C$36,$A22,Raspored!$D$5:$D$36,"x")</f>
        <v/>
      </c>
      <c r="C22" s="7">
        <f>COUNTIFS(Raspored!$C$5:$C$36,$A22,Raspored!$E$5:$E$36,"x")</f>
        <v/>
      </c>
      <c r="D22" s="7">
        <f>COUNTIFS(Raspored!$C$5:$C$36,$A22,Raspored!$F$5:$F$36,"x")</f>
        <v/>
      </c>
    </row>
    <row r="23">
      <c r="A23" s="15" t="inlineStr">
        <is>
          <t>prosinac</t>
        </is>
      </c>
      <c r="B23" s="7">
        <f>COUNTIFS(Raspored!$C$5:$C$36,$A23,Raspored!$D$5:$D$36,"x")</f>
        <v/>
      </c>
      <c r="C23" s="7">
        <f>COUNTIFS(Raspored!$C$5:$C$36,$A23,Raspored!$E$5:$E$36,"x")</f>
        <v/>
      </c>
      <c r="D23" s="7">
        <f>COUNTIFS(Raspored!$C$5:$C$36,$A23,Raspored!$F$5:$F$36,"x")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komunalni otpad: svaki drugi tjedan, ponedjeljkom; neradni dan → dan kasnije. Papir i plastika (od 7. mjeseca): papir zadnji radni ponedjeljak, plastika prvi radni ponedjeljak u mjesecu.</t>
        </is>
      </c>
    </row>
    <row r="29">
      <c r="A29" s="19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30">
      <c r="A30" s="19" t="inlineStr">
        <is>
          <t>• Papir i plastika: uključen je raspored s letka za 1. srpnja – 31. prosinca 2026. Za siječanj–lipanj datumi nisu uključeni.</t>
        </is>
      </c>
    </row>
    <row r="31">
      <c r="A31" s="19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2">
      <c r="A32" s="19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3">
      <c r="A33" s="19" t="inlineStr">
        <is>
          <t>• Glomazni otpad: jednom godišnje besplatan odvoz do 4 m³ po korisniku, po pozivu (034 411 225).</t>
        </is>
      </c>
    </row>
    <row r="34">
      <c r="A34" s="19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(Pakrac)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46055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46069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46083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46097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46111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46125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46139</v>
      </c>
      <c r="B13" s="7" t="inlineStr">
        <is>
          <t>ponedjeljak</t>
        </is>
      </c>
      <c r="C13" s="7" t="inlineStr">
        <is>
          <t>travanj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46153</v>
      </c>
      <c r="B14" s="7" t="inlineStr">
        <is>
          <t>ponedjeljak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46167</v>
      </c>
      <c r="B15" s="7" t="inlineStr">
        <is>
          <t>ponedjeljak</t>
        </is>
      </c>
      <c r="C15" s="7" t="inlineStr">
        <is>
          <t>svibanj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46181</v>
      </c>
      <c r="B16" s="7" t="inlineStr">
        <is>
          <t>ponedjeljak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21" t="n"/>
    </row>
    <row r="17">
      <c r="A17" s="22" t="n">
        <v>46196</v>
      </c>
      <c r="B17" s="23" t="inlineStr">
        <is>
          <t>utorak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1" t="inlineStr">
        <is>
          <t>Pomaknuto zbog neradnog dana u tjednu</t>
        </is>
      </c>
    </row>
    <row r="18">
      <c r="A18" s="6" t="n">
        <v>46209</v>
      </c>
      <c r="B18" s="7" t="inlineStr">
        <is>
          <t>ponedjeljak</t>
        </is>
      </c>
      <c r="C18" s="7" t="inlineStr">
        <is>
          <t>srpanj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46223</v>
      </c>
      <c r="B19" s="7" t="inlineStr">
        <is>
          <t>ponedjeljak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46230</v>
      </c>
      <c r="B20" s="7" t="inlineStr">
        <is>
          <t>ponedjeljak</t>
        </is>
      </c>
      <c r="C20" s="7" t="inlineStr">
        <is>
          <t>srpanj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46237</v>
      </c>
      <c r="B21" s="7" t="inlineStr">
        <is>
          <t>ponedjeljak</t>
        </is>
      </c>
      <c r="C21" s="7" t="inlineStr">
        <is>
          <t>kolovoz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46251</v>
      </c>
      <c r="B22" s="7" t="inlineStr">
        <is>
          <t>ponedjeljak</t>
        </is>
      </c>
      <c r="C22" s="7" t="inlineStr">
        <is>
          <t>kolovoz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46265</v>
      </c>
      <c r="B23" s="7" t="inlineStr">
        <is>
          <t>ponedjeljak</t>
        </is>
      </c>
      <c r="C23" s="7" t="inlineStr">
        <is>
          <t>kolovoz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46272</v>
      </c>
      <c r="B24" s="7" t="inlineStr">
        <is>
          <t>ponedjeljak</t>
        </is>
      </c>
      <c r="C24" s="7" t="inlineStr">
        <is>
          <t>rujan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46279</v>
      </c>
      <c r="B25" s="7" t="inlineStr">
        <is>
          <t>ponedjeljak</t>
        </is>
      </c>
      <c r="C25" s="7" t="inlineStr">
        <is>
          <t>rujan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46293</v>
      </c>
      <c r="B26" s="7" t="inlineStr">
        <is>
          <t>ponedjeljak</t>
        </is>
      </c>
      <c r="C26" s="7" t="inlineStr">
        <is>
          <t>rujan</t>
        </is>
      </c>
      <c r="D26" s="7" t="inlineStr">
        <is>
          <t>x</t>
        </is>
      </c>
      <c r="E26" s="7" t="n"/>
      <c r="F26" s="7" t="inlineStr">
        <is>
          <t>x</t>
        </is>
      </c>
      <c r="G26" s="21" t="n"/>
    </row>
    <row r="27">
      <c r="A27" s="6" t="n">
        <v>46300</v>
      </c>
      <c r="B27" s="7" t="inlineStr">
        <is>
          <t>ponedjeljak</t>
        </is>
      </c>
      <c r="C27" s="7" t="inlineStr">
        <is>
          <t>listopad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46307</v>
      </c>
      <c r="B28" s="7" t="inlineStr">
        <is>
          <t>ponedjeljak</t>
        </is>
      </c>
      <c r="C28" s="7" t="inlineStr">
        <is>
          <t>listopad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46321</v>
      </c>
      <c r="B29" s="7" t="inlineStr">
        <is>
          <t>ponedjeljak</t>
        </is>
      </c>
      <c r="C29" s="7" t="inlineStr">
        <is>
          <t>listopad</t>
        </is>
      </c>
      <c r="D29" s="7" t="inlineStr">
        <is>
          <t>x</t>
        </is>
      </c>
      <c r="E29" s="7" t="n"/>
      <c r="F29" s="7" t="inlineStr">
        <is>
          <t>x</t>
        </is>
      </c>
      <c r="G29" s="21" t="n"/>
    </row>
    <row r="30">
      <c r="A30" s="6" t="n">
        <v>46328</v>
      </c>
      <c r="B30" s="7" t="inlineStr">
        <is>
          <t>ponedjeljak</t>
        </is>
      </c>
      <c r="C30" s="7" t="inlineStr">
        <is>
          <t>studeni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46335</v>
      </c>
      <c r="B31" s="7" t="inlineStr">
        <is>
          <t>ponedjeljak</t>
        </is>
      </c>
      <c r="C31" s="7" t="inlineStr">
        <is>
          <t>studeni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46349</v>
      </c>
      <c r="B32" s="7" t="inlineStr">
        <is>
          <t>ponedjeljak</t>
        </is>
      </c>
      <c r="C32" s="7" t="inlineStr">
        <is>
          <t>studeni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46356</v>
      </c>
      <c r="B33" s="7" t="inlineStr">
        <is>
          <t>ponedjeljak</t>
        </is>
      </c>
      <c r="C33" s="7" t="inlineStr">
        <is>
          <t>studeni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46363</v>
      </c>
      <c r="B34" s="7" t="inlineStr">
        <is>
          <t>ponedjeljak</t>
        </is>
      </c>
      <c r="C34" s="7" t="inlineStr">
        <is>
          <t>prosinac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46377</v>
      </c>
      <c r="B35" s="7" t="inlineStr">
        <is>
          <t>ponedjeljak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46384</v>
      </c>
      <c r="B36" s="7" t="inlineStr">
        <is>
          <t>ponedjeljak</t>
        </is>
      </c>
      <c r="C36" s="7" t="inlineStr">
        <is>
          <t>prosinac</t>
        </is>
      </c>
      <c r="D36" s="7" t="n"/>
      <c r="E36" s="7" t="n"/>
      <c r="F36" s="7" t="inlineStr">
        <is>
          <t>x</t>
        </is>
      </c>
      <c r="G36" s="21" t="n"/>
    </row>
  </sheetData>
  <autoFilter ref="A4:G36"/>
  <conditionalFormatting sqref="D5:D36">
    <cfRule type="expression" priority="1" dxfId="0">
      <formula>D5="x"</formula>
    </cfRule>
  </conditionalFormatting>
  <conditionalFormatting sqref="E5:E36">
    <cfRule type="expression" priority="2" dxfId="1">
      <formula>E5="x"</formula>
    </cfRule>
  </conditionalFormatting>
  <conditionalFormatting sqref="F5:F36">
    <cfRule type="expression" priority="3" dxfId="2">
      <formula>F5="x"</formula>
    </cfRule>
  </conditionalFormatting>
  <conditionalFormatting sqref="A5:G3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46041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46055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46069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46083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46097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46111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46125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46139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46153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46167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46181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46196</v>
      </c>
      <c r="B14" s="15" t="inlineStr">
        <is>
          <t>utorak</t>
        </is>
      </c>
      <c r="C14" s="5" t="inlineStr">
        <is>
          <t>Miješani komunalni otpad</t>
        </is>
      </c>
      <c r="D14" s="15" t="inlineStr">
        <is>
          <t>Pomaknuto zbog neradnog dana u tjednu</t>
        </is>
      </c>
    </row>
    <row r="15">
      <c r="A15" s="24" t="n">
        <v>46209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46209</v>
      </c>
      <c r="B16" s="15" t="inlineStr">
        <is>
          <t>ponedjeljak</t>
        </is>
      </c>
      <c r="C16" s="9" t="inlineStr">
        <is>
          <t>Plastika i metal (žuta kanta)</t>
        </is>
      </c>
      <c r="D16" s="15" t="n"/>
    </row>
    <row r="17">
      <c r="A17" s="24" t="n">
        <v>46223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46230</v>
      </c>
      <c r="B18" s="15" t="inlineStr">
        <is>
          <t>ponedjeljak</t>
        </is>
      </c>
      <c r="C18" s="10" t="inlineStr">
        <is>
          <t>Papir i karton (plava kanta)</t>
        </is>
      </c>
      <c r="D18" s="15" t="n"/>
    </row>
    <row r="19">
      <c r="A19" s="24" t="n">
        <v>46237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46237</v>
      </c>
      <c r="B20" s="15" t="inlineStr">
        <is>
          <t>ponedjeljak</t>
        </is>
      </c>
      <c r="C20" s="9" t="inlineStr">
        <is>
          <t>Plastika i metal (žuta kanta)</t>
        </is>
      </c>
      <c r="D20" s="15" t="n"/>
    </row>
    <row r="21">
      <c r="A21" s="24" t="n">
        <v>46251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46265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46265</v>
      </c>
      <c r="B23" s="15" t="inlineStr">
        <is>
          <t>ponedjeljak</t>
        </is>
      </c>
      <c r="C23" s="10" t="inlineStr">
        <is>
          <t>Papir i karton (plava kanta)</t>
        </is>
      </c>
      <c r="D23" s="15" t="n"/>
    </row>
    <row r="24">
      <c r="A24" s="24" t="n">
        <v>46272</v>
      </c>
      <c r="B24" s="15" t="inlineStr">
        <is>
          <t>ponedjeljak</t>
        </is>
      </c>
      <c r="C24" s="9" t="inlineStr">
        <is>
          <t>Plastika i metal (žuta kanta)</t>
        </is>
      </c>
      <c r="D24" s="15" t="n"/>
    </row>
    <row r="25">
      <c r="A25" s="24" t="n">
        <v>46279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46293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46293</v>
      </c>
      <c r="B27" s="15" t="inlineStr">
        <is>
          <t>ponedjeljak</t>
        </is>
      </c>
      <c r="C27" s="10" t="inlineStr">
        <is>
          <t>Papir i karton (plava kanta)</t>
        </is>
      </c>
      <c r="D27" s="15" t="n"/>
    </row>
    <row r="28">
      <c r="A28" s="24" t="n">
        <v>46300</v>
      </c>
      <c r="B28" s="15" t="inlineStr">
        <is>
          <t>ponedjeljak</t>
        </is>
      </c>
      <c r="C28" s="9" t="inlineStr">
        <is>
          <t>Plastika i metal (žuta kanta)</t>
        </is>
      </c>
      <c r="D28" s="15" t="n"/>
    </row>
    <row r="29">
      <c r="A29" s="24" t="n">
        <v>46307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46321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46321</v>
      </c>
      <c r="B31" s="15" t="inlineStr">
        <is>
          <t>ponedjeljak</t>
        </is>
      </c>
      <c r="C31" s="10" t="inlineStr">
        <is>
          <t>Papir i karton (plava kanta)</t>
        </is>
      </c>
      <c r="D31" s="15" t="n"/>
    </row>
    <row r="32">
      <c r="A32" s="24" t="n">
        <v>46328</v>
      </c>
      <c r="B32" s="15" t="inlineStr">
        <is>
          <t>ponedjeljak</t>
        </is>
      </c>
      <c r="C32" s="9" t="inlineStr">
        <is>
          <t>Plastika i metal (žuta kanta)</t>
        </is>
      </c>
      <c r="D32" s="15" t="n"/>
    </row>
    <row r="33">
      <c r="A33" s="24" t="n">
        <v>46335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46349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46356</v>
      </c>
      <c r="B35" s="15" t="inlineStr">
        <is>
          <t>ponedjeljak</t>
        </is>
      </c>
      <c r="C35" s="10" t="inlineStr">
        <is>
          <t>Papir i karton (plava kanta)</t>
        </is>
      </c>
      <c r="D35" s="15" t="n"/>
    </row>
    <row r="36">
      <c r="A36" s="24" t="n">
        <v>46363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46363</v>
      </c>
      <c r="B37" s="15" t="inlineStr">
        <is>
          <t>ponedjeljak</t>
        </is>
      </c>
      <c r="C37" s="9" t="inlineStr">
        <is>
          <t>Plastika i metal (žuta kanta)</t>
        </is>
      </c>
      <c r="D37" s="15" t="n"/>
    </row>
    <row r="38">
      <c r="A38" s="24" t="n">
        <v>46377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46384</v>
      </c>
      <c r="B39" s="15" t="inlineStr">
        <is>
          <t>ponedjeljak</t>
        </is>
      </c>
      <c r="C39" s="10" t="inlineStr">
        <is>
          <t>Papir i karton (plava kanta)</t>
        </is>
      </c>
      <c r="D39" s="15" t="n"/>
    </row>
  </sheetData>
  <autoFilter ref="A1:D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(Pakrac): ulice i naselja</t>
        </is>
      </c>
    </row>
    <row r="2">
      <c r="A2" s="20" t="inlineStr">
        <is>
          <t>NASELJA KUSONJE, DRAGOVIĆ, ŠPANOVICA, G.GRAHOVLJANI, G.ŠUMETLICA – SVAKI DRUGI RADNI PONEDJELJAK I TO:</t>
        </is>
      </c>
    </row>
    <row r="4">
      <c r="A4" s="4" t="inlineStr">
        <is>
          <t>Ulica / naselje</t>
        </is>
      </c>
    </row>
    <row r="5">
      <c r="A5" s="15" t="inlineStr">
        <is>
          <t>Kusonje</t>
        </is>
      </c>
    </row>
    <row r="6">
      <c r="A6" s="15" t="inlineStr">
        <is>
          <t>Dragović</t>
        </is>
      </c>
    </row>
    <row r="7">
      <c r="A7" s="15" t="inlineStr">
        <is>
          <t>Španovica</t>
        </is>
      </c>
    </row>
    <row r="8">
      <c r="A8" s="15" t="inlineStr">
        <is>
          <t>Gornji Grahovljani</t>
        </is>
      </c>
    </row>
    <row r="9">
      <c r="A9" s="15" t="inlineStr">
        <is>
          <t>Gornja Šumetlica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2026-10-07T18:23:35Z</dcterms:created>
  <dcterms:modified xmlns:dcterms="http://purl.org/dc/terms/" xmlns:xsi="http://www.w3.org/2001/XMLSchema-instance" xsi:type="dcterms:W3CDTF">2026-10-07T18:23:35Z</dcterms:modified>
</cp:coreProperties>
</file>
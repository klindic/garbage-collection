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Pregled" sheetId="1" state="visible" r:id="rId1"/>
    <sheet xmlns:r="http://schemas.openxmlformats.org/officeDocument/2006/relationships" name="Raspored" sheetId="2" state="visible" r:id="rId2"/>
    <sheet xmlns:r="http://schemas.openxmlformats.org/officeDocument/2006/relationships" name="Po vrsti" sheetId="3" state="visible" r:id="rId3"/>
    <sheet xmlns:r="http://schemas.openxmlformats.org/officeDocument/2006/relationships" name="Ulice i naselja" sheetId="4" state="visible" r:id="rId4"/>
  </sheets>
  <definedNames>
    <definedName name="_xlnm._FilterDatabase" localSheetId="1" hidden="1">'Raspored'!$A$4:$G$42</definedName>
    <definedName name="_xlnm._FilterDatabase" localSheetId="2" hidden="1">'Po vrsti'!$A$1:$D$39</definedName>
  </definedNames>
  <calcPr calcId="124519" fullCalcOnLoad="1"/>
</workbook>
</file>

<file path=xl/styles.xml><?xml version="1.0" encoding="utf-8"?>
<styleSheet xmlns="http://schemas.openxmlformats.org/spreadsheetml/2006/main">
  <numFmts count="2">
    <numFmt numFmtId="164" formatCode="yyyy-mm-dd h:mm:ss"/>
    <numFmt numFmtId="165" formatCode="DD.MM.YYYY."/>
  </numFmts>
  <fonts count="11">
    <font>
      <name val="Calibri"/>
      <family val="2"/>
      <color theme="1"/>
      <sz val="11"/>
      <scheme val="minor"/>
    </font>
    <font>
      <name val="Arial"/>
      <b val="1"/>
      <sz val="14"/>
    </font>
    <font>
      <name val="Arial"/>
      <i val="1"/>
      <color rgb="00595959"/>
      <sz val="9"/>
    </font>
    <font>
      <name val="Arial"/>
      <b val="1"/>
      <color rgb="00FFFFFF"/>
    </font>
    <font>
      <name val="Arial"/>
      <b val="1"/>
      <color rgb="00000000"/>
    </font>
    <font>
      <name val="Arial"/>
    </font>
    <font>
      <name val="Arial"/>
      <b val="1"/>
      <color rgb="00C00000"/>
    </font>
    <font>
      <name val="Arial"/>
      <b val="1"/>
    </font>
    <font>
      <name val="Arial"/>
      <b val="1"/>
      <sz val="12"/>
    </font>
    <font>
      <name val="Arial"/>
      <b val="1"/>
      <sz val="10"/>
    </font>
    <font>
      <name val="Arial"/>
      <sz val="10"/>
    </font>
  </fonts>
  <fills count="6">
    <fill>
      <patternFill/>
    </fill>
    <fill>
      <patternFill patternType="gray125"/>
    </fill>
    <fill>
      <patternFill patternType="solid">
        <fgColor rgb="00375623"/>
      </patternFill>
    </fill>
    <fill>
      <patternFill patternType="solid">
        <fgColor rgb="00262626"/>
      </patternFill>
    </fill>
    <fill>
      <patternFill patternType="solid">
        <fgColor rgb="00FFE600"/>
      </patternFill>
    </fill>
    <fill>
      <patternFill patternType="solid">
        <fgColor rgb="003B6EF5"/>
      </patternFill>
    </fill>
  </fills>
  <borders count="2">
    <border>
      <left/>
      <right/>
      <top/>
      <bottom/>
      <diagonal/>
    </border>
    <border>
      <left style="thin">
        <color rgb="00BFBFBF"/>
      </left>
      <right style="thin">
        <color rgb="00BFBFBF"/>
      </right>
      <top style="thin">
        <color rgb="00BFBFBF"/>
      </top>
      <bottom style="thin">
        <color rgb="00BFBFBF"/>
      </bottom>
    </border>
  </borders>
  <cellStyleXfs count="1">
    <xf numFmtId="0" fontId="0" fillId="0" borderId="0"/>
  </cellStyleXfs>
  <cellXfs count="25">
    <xf numFmtId="0" fontId="0" fillId="0" borderId="0" pivotButton="0" quotePrefix="0" xfId="0"/>
    <xf numFmtId="0" fontId="1" fillId="0" borderId="0" pivotButton="0" quotePrefix="0" xfId="0"/>
    <xf numFmtId="0" fontId="7" fillId="0" borderId="0" pivotButton="0" quotePrefix="0" xfId="0"/>
    <xf numFmtId="165" fontId="5" fillId="0" borderId="0" pivotButton="0" quotePrefix="0" xfId="0"/>
    <xf numFmtId="0" fontId="3" fillId="2" borderId="1" applyAlignment="1" pivotButton="0" quotePrefix="0" xfId="0">
      <alignment horizontal="center" vertical="center" wrapText="1"/>
    </xf>
    <xf numFmtId="0" fontId="3" fillId="3" borderId="1" pivotButton="0" quotePrefix="0" xfId="0"/>
    <xf numFmtId="165" fontId="5" fillId="0" borderId="1" applyAlignment="1" pivotButton="0" quotePrefix="0" xfId="0">
      <alignment horizontal="center" vertical="center" wrapText="1"/>
    </xf>
    <xf numFmtId="0" fontId="5" fillId="0" borderId="1" applyAlignment="1" pivotButton="0" quotePrefix="0" xfId="0">
      <alignment horizontal="center" vertical="center" wrapText="1"/>
    </xf>
    <xf numFmtId="1" fontId="5" fillId="0" borderId="1" applyAlignment="1" pivotButton="0" quotePrefix="0" xfId="0">
      <alignment horizontal="center" vertical="center" wrapText="1"/>
    </xf>
    <xf numFmtId="0" fontId="4" fillId="4" borderId="1" pivotButton="0" quotePrefix="0" xfId="0"/>
    <xf numFmtId="0" fontId="3" fillId="5" borderId="1" pivotButton="0" quotePrefix="0" xfId="0"/>
    <xf numFmtId="0" fontId="8" fillId="0" borderId="0" pivotButton="0" quotePrefix="0" xfId="0"/>
    <xf numFmtId="0" fontId="3" fillId="3" borderId="1" applyAlignment="1" pivotButton="0" quotePrefix="0" xfId="0">
      <alignment horizontal="center" vertical="center" wrapText="1"/>
    </xf>
    <xf numFmtId="0" fontId="4" fillId="4" borderId="1" applyAlignment="1" pivotButton="0" quotePrefix="0" xfId="0">
      <alignment horizontal="center" vertical="center" wrapText="1"/>
    </xf>
    <xf numFmtId="0" fontId="3" fillId="5" borderId="1" applyAlignment="1" pivotButton="0" quotePrefix="0" xfId="0">
      <alignment horizontal="center" vertical="center" wrapText="1"/>
    </xf>
    <xf numFmtId="0" fontId="5" fillId="0" borderId="1" pivotButton="0" quotePrefix="0" xfId="0"/>
    <xf numFmtId="0" fontId="7" fillId="0" borderId="1" pivotButton="0" quotePrefix="0" xfId="0"/>
    <xf numFmtId="0" fontId="7" fillId="0" borderId="1" applyAlignment="1" pivotButton="0" quotePrefix="0" xfId="0">
      <alignment horizontal="center" vertical="center" wrapText="1"/>
    </xf>
    <xf numFmtId="0" fontId="9" fillId="0" borderId="0" pivotButton="0" quotePrefix="0" xfId="0"/>
    <xf numFmtId="0" fontId="10" fillId="0" borderId="0" pivotButton="0" quotePrefix="0" xfId="0"/>
    <xf numFmtId="0" fontId="2" fillId="0" borderId="0" pivotButton="0" quotePrefix="0" xfId="0"/>
    <xf numFmtId="0" fontId="5" fillId="0" borderId="1" applyAlignment="1" pivotButton="0" quotePrefix="0" xfId="0">
      <alignment vertical="center"/>
    </xf>
    <xf numFmtId="165" fontId="6" fillId="0" borderId="1" applyAlignment="1" pivotButton="0" quotePrefix="0" xfId="0">
      <alignment horizontal="center" vertical="center" wrapText="1"/>
    </xf>
    <xf numFmtId="0" fontId="6" fillId="0" borderId="1" applyAlignment="1" pivotButton="0" quotePrefix="0" xfId="0">
      <alignment horizontal="center" vertical="center" wrapText="1"/>
    </xf>
    <xf numFmtId="165" fontId="5" fillId="0" borderId="1" pivotButton="0" quotePrefix="0" xfId="0"/>
  </cellXfs>
  <cellStyles count="1">
    <cellStyle name="Normal" xfId="0" builtinId="0" hidden="0"/>
  </cellStyles>
  <dxfs count="4">
    <dxf>
      <font>
        <b val="1"/>
        <color rgb="00FFFFFF"/>
      </font>
      <fill>
        <patternFill patternType="solid">
          <fgColor rgb="00262626"/>
          <bgColor rgb="00262626"/>
        </patternFill>
      </fill>
    </dxf>
    <dxf>
      <font>
        <b val="1"/>
        <color rgb="00000000"/>
      </font>
      <fill>
        <patternFill patternType="solid">
          <fgColor rgb="00FFE600"/>
          <bgColor rgb="00FFE600"/>
        </patternFill>
      </fill>
    </dxf>
    <dxf>
      <font>
        <b val="1"/>
        <color rgb="00FFFFFF"/>
      </font>
      <fill>
        <patternFill patternType="solid">
          <fgColor rgb="003B6EF5"/>
          <bgColor rgb="003B6EF5"/>
        </patternFill>
      </fill>
    </dxf>
    <dxf>
      <font>
        <color rgb="00A6A6A6"/>
      </font>
    </dxf>
  </dxf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styles" Target="styles.xml" Id="rId5"/><Relationship Type="http://schemas.openxmlformats.org/officeDocument/2006/relationships/theme" Target="theme/theme1.xml" Id="rId6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34"/>
  <sheetViews>
    <sheetView workbookViewId="0">
      <selection activeCell="A1" sqref="A1"/>
    </sheetView>
  </sheetViews>
  <sheetFormatPr baseColWidth="8" defaultRowHeight="15"/>
  <cols>
    <col width="26" customWidth="1" min="1" max="1"/>
    <col width="24" customWidth="1" min="2" max="2"/>
    <col width="24" customWidth="1" min="3" max="3"/>
    <col width="24" customWidth="1" min="4" max="4"/>
    <col width="20" customWidth="1" min="5" max="5"/>
  </cols>
  <sheetData>
    <row r="1">
      <c r="A1" s="1" t="inlineStr">
        <is>
          <t>Zona 14, 2026: pregled odvoza</t>
        </is>
      </c>
    </row>
    <row r="3">
      <c r="A3" s="2" t="inlineStr">
        <is>
          <t>Danas</t>
        </is>
      </c>
      <c r="B3" s="3">
        <f>TODAY()</f>
        <v/>
      </c>
    </row>
    <row r="5">
      <c r="A5" s="4" t="inlineStr">
        <is>
          <t>Vrsta otpada</t>
        </is>
      </c>
      <c r="B5" s="4" t="inlineStr">
        <is>
          <t>Sljedeći odvoz</t>
        </is>
      </c>
      <c r="C5" s="4" t="inlineStr">
        <is>
          <t>Dan</t>
        </is>
      </c>
      <c r="D5" s="4" t="inlineStr">
        <is>
          <t>Za dana</t>
        </is>
      </c>
      <c r="E5" s="4" t="inlineStr">
        <is>
          <t>Ukupno u 2026.</t>
        </is>
      </c>
    </row>
    <row r="6">
      <c r="A6" s="5" t="inlineStr">
        <is>
          <t>Miješani komunalni otpad</t>
        </is>
      </c>
      <c r="B6" s="6">
        <f>IFERROR(1/(1/_xlfn.MINIFS(Raspored!$A$5:$A$42,Raspored!$D$5:$D$42,"x",Raspored!$A$5:$A$42,"&gt;="&amp;$B$3)),"nema više u 2026.")</f>
        <v/>
      </c>
      <c r="C6" s="7">
        <f>IF(ISNUMBER(B6),INDEX({"nedjelja","ponedjeljak","utorak","srijeda","četvrtak","petak","subota"},WEEKDAY(B6)),"")</f>
        <v/>
      </c>
      <c r="D6" s="8">
        <f>IF(ISNUMBER(B6),B6-$B$3,"")</f>
        <v/>
      </c>
      <c r="E6" s="7">
        <f>COUNTIF(Raspored!$D$5:$D$42,"x")</f>
        <v/>
      </c>
    </row>
    <row r="7">
      <c r="A7" s="9" t="inlineStr">
        <is>
          <t>Plastika i metal (žuta kanta)</t>
        </is>
      </c>
      <c r="B7" s="6">
        <f>IFERROR(1/(1/_xlfn.MINIFS(Raspored!$A$5:$A$42,Raspored!$E$5:$E$42,"x",Raspored!$A$5:$A$42,"&gt;="&amp;$B$3)),"nema više u 2026.")</f>
        <v/>
      </c>
      <c r="C7" s="7">
        <f>IF(ISNUMBER(B7),INDEX({"nedjelja","ponedjeljak","utorak","srijeda","četvrtak","petak","subota"},WEEKDAY(B7)),"")</f>
        <v/>
      </c>
      <c r="D7" s="8">
        <f>IF(ISNUMBER(B7),B7-$B$3,"")</f>
        <v/>
      </c>
      <c r="E7" s="7">
        <f>COUNTIF(Raspored!$E$5:$E$42,"x")</f>
        <v/>
      </c>
    </row>
    <row r="8">
      <c r="A8" s="10" t="inlineStr">
        <is>
          <t>Papir i karton (plava kanta)</t>
        </is>
      </c>
      <c r="B8" s="6">
        <f>IFERROR(1/(1/_xlfn.MINIFS(Raspored!$A$5:$A$42,Raspored!$F$5:$F$42,"x",Raspored!$A$5:$A$42,"&gt;="&amp;$B$3)),"nema više u 2026.")</f>
        <v/>
      </c>
      <c r="C8" s="7">
        <f>IF(ISNUMBER(B8),INDEX({"nedjelja","ponedjeljak","utorak","srijeda","četvrtak","petak","subota"},WEEKDAY(B8)),"")</f>
        <v/>
      </c>
      <c r="D8" s="8">
        <f>IF(ISNUMBER(B8),B8-$B$3,"")</f>
        <v/>
      </c>
      <c r="E8" s="7">
        <f>COUNTIF(Raspored!$F$5:$F$42,"x")</f>
        <v/>
      </c>
    </row>
    <row r="10">
      <c r="A10" s="11" t="inlineStr">
        <is>
          <t>Broj odvoza po mjesecu</t>
        </is>
      </c>
    </row>
    <row r="11" ht="30" customHeight="1">
      <c r="A11" s="4" t="inlineStr">
        <is>
          <t>Mjesec</t>
        </is>
      </c>
      <c r="B11" s="12" t="inlineStr">
        <is>
          <t>Miješani komunalni otpad</t>
        </is>
      </c>
      <c r="C11" s="13" t="inlineStr">
        <is>
          <t>Plastika i metal (žuta kanta)</t>
        </is>
      </c>
      <c r="D11" s="14" t="inlineStr">
        <is>
          <t>Papir i karton (plava kanta)</t>
        </is>
      </c>
    </row>
    <row r="12">
      <c r="A12" s="15" t="inlineStr">
        <is>
          <t>siječanj</t>
        </is>
      </c>
      <c r="B12" s="7">
        <f>COUNTIFS(Raspored!$C$5:$C$42,$A12,Raspored!$D$5:$D$42,"x")</f>
        <v/>
      </c>
      <c r="C12" s="7">
        <f>COUNTIFS(Raspored!$C$5:$C$42,$A12,Raspored!$E$5:$E$42,"x")</f>
        <v/>
      </c>
      <c r="D12" s="7">
        <f>COUNTIFS(Raspored!$C$5:$C$42,$A12,Raspored!$F$5:$F$42,"x")</f>
        <v/>
      </c>
    </row>
    <row r="13">
      <c r="A13" s="15" t="inlineStr">
        <is>
          <t>veljača</t>
        </is>
      </c>
      <c r="B13" s="7">
        <f>COUNTIFS(Raspored!$C$5:$C$42,$A13,Raspored!$D$5:$D$42,"x")</f>
        <v/>
      </c>
      <c r="C13" s="7">
        <f>COUNTIFS(Raspored!$C$5:$C$42,$A13,Raspored!$E$5:$E$42,"x")</f>
        <v/>
      </c>
      <c r="D13" s="7">
        <f>COUNTIFS(Raspored!$C$5:$C$42,$A13,Raspored!$F$5:$F$42,"x")</f>
        <v/>
      </c>
    </row>
    <row r="14">
      <c r="A14" s="15" t="inlineStr">
        <is>
          <t>ožujak</t>
        </is>
      </c>
      <c r="B14" s="7">
        <f>COUNTIFS(Raspored!$C$5:$C$42,$A14,Raspored!$D$5:$D$42,"x")</f>
        <v/>
      </c>
      <c r="C14" s="7">
        <f>COUNTIFS(Raspored!$C$5:$C$42,$A14,Raspored!$E$5:$E$42,"x")</f>
        <v/>
      </c>
      <c r="D14" s="7">
        <f>COUNTIFS(Raspored!$C$5:$C$42,$A14,Raspored!$F$5:$F$42,"x")</f>
        <v/>
      </c>
    </row>
    <row r="15">
      <c r="A15" s="15" t="inlineStr">
        <is>
          <t>travanj</t>
        </is>
      </c>
      <c r="B15" s="7">
        <f>COUNTIFS(Raspored!$C$5:$C$42,$A15,Raspored!$D$5:$D$42,"x")</f>
        <v/>
      </c>
      <c r="C15" s="7">
        <f>COUNTIFS(Raspored!$C$5:$C$42,$A15,Raspored!$E$5:$E$42,"x")</f>
        <v/>
      </c>
      <c r="D15" s="7">
        <f>COUNTIFS(Raspored!$C$5:$C$42,$A15,Raspored!$F$5:$F$42,"x")</f>
        <v/>
      </c>
    </row>
    <row r="16">
      <c r="A16" s="15" t="inlineStr">
        <is>
          <t>svibanj</t>
        </is>
      </c>
      <c r="B16" s="7">
        <f>COUNTIFS(Raspored!$C$5:$C$42,$A16,Raspored!$D$5:$D$42,"x")</f>
        <v/>
      </c>
      <c r="C16" s="7">
        <f>COUNTIFS(Raspored!$C$5:$C$42,$A16,Raspored!$E$5:$E$42,"x")</f>
        <v/>
      </c>
      <c r="D16" s="7">
        <f>COUNTIFS(Raspored!$C$5:$C$42,$A16,Raspored!$F$5:$F$42,"x")</f>
        <v/>
      </c>
    </row>
    <row r="17">
      <c r="A17" s="15" t="inlineStr">
        <is>
          <t>lipanj</t>
        </is>
      </c>
      <c r="B17" s="7">
        <f>COUNTIFS(Raspored!$C$5:$C$42,$A17,Raspored!$D$5:$D$42,"x")</f>
        <v/>
      </c>
      <c r="C17" s="7">
        <f>COUNTIFS(Raspored!$C$5:$C$42,$A17,Raspored!$E$5:$E$42,"x")</f>
        <v/>
      </c>
      <c r="D17" s="7">
        <f>COUNTIFS(Raspored!$C$5:$C$42,$A17,Raspored!$F$5:$F$42,"x")</f>
        <v/>
      </c>
    </row>
    <row r="18">
      <c r="A18" s="15" t="inlineStr">
        <is>
          <t>srpanj</t>
        </is>
      </c>
      <c r="B18" s="7">
        <f>COUNTIFS(Raspored!$C$5:$C$42,$A18,Raspored!$D$5:$D$42,"x")</f>
        <v/>
      </c>
      <c r="C18" s="7">
        <f>COUNTIFS(Raspored!$C$5:$C$42,$A18,Raspored!$E$5:$E$42,"x")</f>
        <v/>
      </c>
      <c r="D18" s="7">
        <f>COUNTIFS(Raspored!$C$5:$C$42,$A18,Raspored!$F$5:$F$42,"x")</f>
        <v/>
      </c>
    </row>
    <row r="19">
      <c r="A19" s="15" t="inlineStr">
        <is>
          <t>kolovoz</t>
        </is>
      </c>
      <c r="B19" s="7">
        <f>COUNTIFS(Raspored!$C$5:$C$42,$A19,Raspored!$D$5:$D$42,"x")</f>
        <v/>
      </c>
      <c r="C19" s="7">
        <f>COUNTIFS(Raspored!$C$5:$C$42,$A19,Raspored!$E$5:$E$42,"x")</f>
        <v/>
      </c>
      <c r="D19" s="7">
        <f>COUNTIFS(Raspored!$C$5:$C$42,$A19,Raspored!$F$5:$F$42,"x")</f>
        <v/>
      </c>
    </row>
    <row r="20">
      <c r="A20" s="15" t="inlineStr">
        <is>
          <t>rujan</t>
        </is>
      </c>
      <c r="B20" s="7">
        <f>COUNTIFS(Raspored!$C$5:$C$42,$A20,Raspored!$D$5:$D$42,"x")</f>
        <v/>
      </c>
      <c r="C20" s="7">
        <f>COUNTIFS(Raspored!$C$5:$C$42,$A20,Raspored!$E$5:$E$42,"x")</f>
        <v/>
      </c>
      <c r="D20" s="7">
        <f>COUNTIFS(Raspored!$C$5:$C$42,$A20,Raspored!$F$5:$F$42,"x")</f>
        <v/>
      </c>
    </row>
    <row r="21">
      <c r="A21" s="15" t="inlineStr">
        <is>
          <t>listopad</t>
        </is>
      </c>
      <c r="B21" s="7">
        <f>COUNTIFS(Raspored!$C$5:$C$42,$A21,Raspored!$D$5:$D$42,"x")</f>
        <v/>
      </c>
      <c r="C21" s="7">
        <f>COUNTIFS(Raspored!$C$5:$C$42,$A21,Raspored!$E$5:$E$42,"x")</f>
        <v/>
      </c>
      <c r="D21" s="7">
        <f>COUNTIFS(Raspored!$C$5:$C$42,$A21,Raspored!$F$5:$F$42,"x")</f>
        <v/>
      </c>
    </row>
    <row r="22">
      <c r="A22" s="15" t="inlineStr">
        <is>
          <t>studeni</t>
        </is>
      </c>
      <c r="B22" s="7">
        <f>COUNTIFS(Raspored!$C$5:$C$42,$A22,Raspored!$D$5:$D$42,"x")</f>
        <v/>
      </c>
      <c r="C22" s="7">
        <f>COUNTIFS(Raspored!$C$5:$C$42,$A22,Raspored!$E$5:$E$42,"x")</f>
        <v/>
      </c>
      <c r="D22" s="7">
        <f>COUNTIFS(Raspored!$C$5:$C$42,$A22,Raspored!$F$5:$F$42,"x")</f>
        <v/>
      </c>
    </row>
    <row r="23">
      <c r="A23" s="15" t="inlineStr">
        <is>
          <t>prosinac</t>
        </is>
      </c>
      <c r="B23" s="7">
        <f>COUNTIFS(Raspored!$C$5:$C$42,$A23,Raspored!$D$5:$D$42,"x")</f>
        <v/>
      </c>
      <c r="C23" s="7">
        <f>COUNTIFS(Raspored!$C$5:$C$42,$A23,Raspored!$E$5:$E$42,"x")</f>
        <v/>
      </c>
      <c r="D23" s="7">
        <f>COUNTIFS(Raspored!$C$5:$C$42,$A23,Raspored!$F$5:$F$42,"x")</f>
        <v/>
      </c>
    </row>
    <row r="24">
      <c r="A24" s="16" t="inlineStr">
        <is>
          <t>Ukupno</t>
        </is>
      </c>
      <c r="B24" s="17">
        <f>SUM(B12:B23)</f>
        <v/>
      </c>
      <c r="C24" s="17">
        <f>SUM(C12:C23)</f>
        <v/>
      </c>
      <c r="D24" s="17">
        <f>SUM(D12:D23)</f>
        <v/>
      </c>
    </row>
    <row r="26">
      <c r="A26" s="18" t="inlineStr">
        <is>
          <t>Napomene:</t>
        </is>
      </c>
    </row>
    <row r="27">
      <c r="A27" s="19" t="inlineStr">
        <is>
          <t>• Crveno označeni datumi u listu "Raspored" su pomaknuti zbog neradnog dana u tom tjednu (inače je odvoz srijedom).</t>
        </is>
      </c>
    </row>
    <row r="28">
      <c r="A28" s="19" t="inlineStr">
        <is>
          <t>• Miješani komunalni otpad: svaki drugi tjedan, srijedom; neradni dan → dan kasnije. Papir i plastika (od 7. mjeseca): papir zadnji radni utorak, plastika prvi radni utorak u mjesecu.</t>
        </is>
      </c>
    </row>
    <row r="29">
      <c r="A29" s="19" t="inlineStr">
        <is>
          <t>• Miješani komunalni otpad: ako je dan odvoza neradni dan, odvozi se dan kasnije (pravilo iz rasporeda). U rasporedima za naselja pomak je već u datumima; za tjedne odvoze u gradovima pravilo je primijenjeno na izračunate datume.</t>
        </is>
      </c>
    </row>
    <row r="30">
      <c r="A30" s="19" t="inlineStr">
        <is>
          <t>• Papir i plastika: uključen je raspored s letka za 1. srpnja – 31. prosinca 2026. Za siječanj–lipanj datumi nisu uključeni.</t>
        </is>
      </c>
    </row>
    <row r="31">
      <c r="A31" s="19" t="inlineStr">
        <is>
          <t>• Područja koja letak za papir i plastiku ne navodi (npr. Skenderovci, Bukovčani, Jagma, Korita) imaju samo miješani otpad; raspored papira i plastike provjerite kod davatelja (034 411 225).</t>
        </is>
      </c>
    </row>
    <row r="32">
      <c r="A32" s="19" t="inlineStr">
        <is>
          <t>• Reciklažno dvorište Pakrac (Ulica križnog puta 18): pon-pet 8-16, subota (prva i treća u mjesecu) 8-13 sati. Korisnici s područja Grada Lipika mogu koristiti i reciklažno dvorište u Lipiku.</t>
        </is>
      </c>
    </row>
    <row r="33">
      <c r="A33" s="19" t="inlineStr">
        <is>
          <t>• Glomazni otpad: jednom godišnje besplatan odvoz do 4 m³ po korisniku, po pozivu (034 411 225).</t>
        </is>
      </c>
    </row>
    <row r="34">
      <c r="A34" s="19" t="inlineStr">
        <is>
          <t>• Letak za papir i plastiku: https://komunalac-pakrac.hr/wp-content/uploads/2026/07/Odvojeno-sakupljanje-otpada-raspored-sakupljanja.pdf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G42"/>
  <sheetViews>
    <sheetView workbookViewId="0">
      <pane ySplit="4" topLeftCell="A5" activePane="bottomLeft" state="frozen"/>
      <selection pane="bottomLeft" activeCell="A1" sqref="A1"/>
    </sheetView>
  </sheetViews>
  <sheetFormatPr baseColWidth="8" defaultRowHeight="15"/>
  <cols>
    <col width="13" customWidth="1" min="1" max="1"/>
    <col width="12" customWidth="1" min="2" max="2"/>
    <col width="11" customWidth="1" min="3" max="3"/>
    <col width="16" customWidth="1" min="4" max="4"/>
    <col width="16" customWidth="1" min="5" max="5"/>
    <col width="13" customWidth="1" min="6" max="6"/>
    <col width="44" customWidth="1" min="7" max="7"/>
  </cols>
  <sheetData>
    <row r="1">
      <c r="A1" s="1" t="inlineStr">
        <is>
          <t>Raspored odvoza otpada 2026., Zona 14 (Lipik)</t>
        </is>
      </c>
    </row>
    <row r="2">
      <c r="A2" s="20" t="inlineStr">
        <is>
          <t>"x" = odvoz tog dana. Spremnike iznijeti do 07:00. Prošli datumi su posivljeni.</t>
        </is>
      </c>
    </row>
    <row r="4" ht="32" customHeight="1">
      <c r="A4" s="4" t="inlineStr">
        <is>
          <t>Datum</t>
        </is>
      </c>
      <c r="B4" s="4" t="inlineStr">
        <is>
          <t>Dan</t>
        </is>
      </c>
      <c r="C4" s="4" t="inlineStr">
        <is>
          <t>Mjesec</t>
        </is>
      </c>
      <c r="D4" s="12" t="inlineStr">
        <is>
          <t>Miješani komunalni otpad</t>
        </is>
      </c>
      <c r="E4" s="13" t="inlineStr">
        <is>
          <t>Plastika i metal (žuta kanta)</t>
        </is>
      </c>
      <c r="F4" s="14" t="inlineStr">
        <is>
          <t>Papir i karton (plava kanta)</t>
        </is>
      </c>
      <c r="G4" s="4" t="inlineStr">
        <is>
          <t>Napomena</t>
        </is>
      </c>
    </row>
    <row r="5">
      <c r="A5" s="6" t="n">
        <v>46029</v>
      </c>
      <c r="B5" s="7" t="inlineStr">
        <is>
          <t>srijeda</t>
        </is>
      </c>
      <c r="C5" s="7" t="inlineStr">
        <is>
          <t>siječanj</t>
        </is>
      </c>
      <c r="D5" s="7" t="inlineStr">
        <is>
          <t>x</t>
        </is>
      </c>
      <c r="E5" s="7" t="n"/>
      <c r="F5" s="7" t="n"/>
      <c r="G5" s="21" t="n"/>
    </row>
    <row r="6">
      <c r="A6" s="6" t="n">
        <v>46043</v>
      </c>
      <c r="B6" s="7" t="inlineStr">
        <is>
          <t>srijeda</t>
        </is>
      </c>
      <c r="C6" s="7" t="inlineStr">
        <is>
          <t>siječanj</t>
        </is>
      </c>
      <c r="D6" s="7" t="inlineStr">
        <is>
          <t>x</t>
        </is>
      </c>
      <c r="E6" s="7" t="n"/>
      <c r="F6" s="7" t="n"/>
      <c r="G6" s="21" t="n"/>
    </row>
    <row r="7">
      <c r="A7" s="6" t="n">
        <v>46057</v>
      </c>
      <c r="B7" s="7" t="inlineStr">
        <is>
          <t>srijeda</t>
        </is>
      </c>
      <c r="C7" s="7" t="inlineStr">
        <is>
          <t>veljača</t>
        </is>
      </c>
      <c r="D7" s="7" t="inlineStr">
        <is>
          <t>x</t>
        </is>
      </c>
      <c r="E7" s="7" t="n"/>
      <c r="F7" s="7" t="n"/>
      <c r="G7" s="21" t="n"/>
    </row>
    <row r="8">
      <c r="A8" s="6" t="n">
        <v>46071</v>
      </c>
      <c r="B8" s="7" t="inlineStr">
        <is>
          <t>srijeda</t>
        </is>
      </c>
      <c r="C8" s="7" t="inlineStr">
        <is>
          <t>veljača</t>
        </is>
      </c>
      <c r="D8" s="7" t="inlineStr">
        <is>
          <t>x</t>
        </is>
      </c>
      <c r="E8" s="7" t="n"/>
      <c r="F8" s="7" t="n"/>
      <c r="G8" s="21" t="n"/>
    </row>
    <row r="9">
      <c r="A9" s="6" t="n">
        <v>46085</v>
      </c>
      <c r="B9" s="7" t="inlineStr">
        <is>
          <t>srijeda</t>
        </is>
      </c>
      <c r="C9" s="7" t="inlineStr">
        <is>
          <t>ožujak</t>
        </is>
      </c>
      <c r="D9" s="7" t="inlineStr">
        <is>
          <t>x</t>
        </is>
      </c>
      <c r="E9" s="7" t="n"/>
      <c r="F9" s="7" t="n"/>
      <c r="G9" s="21" t="n"/>
    </row>
    <row r="10">
      <c r="A10" s="6" t="n">
        <v>46099</v>
      </c>
      <c r="B10" s="7" t="inlineStr">
        <is>
          <t>srijeda</t>
        </is>
      </c>
      <c r="C10" s="7" t="inlineStr">
        <is>
          <t>ožujak</t>
        </is>
      </c>
      <c r="D10" s="7" t="inlineStr">
        <is>
          <t>x</t>
        </is>
      </c>
      <c r="E10" s="7" t="n"/>
      <c r="F10" s="7" t="n"/>
      <c r="G10" s="21" t="n"/>
    </row>
    <row r="11">
      <c r="A11" s="6" t="n">
        <v>46113</v>
      </c>
      <c r="B11" s="7" t="inlineStr">
        <is>
          <t>srijeda</t>
        </is>
      </c>
      <c r="C11" s="7" t="inlineStr">
        <is>
          <t>travanj</t>
        </is>
      </c>
      <c r="D11" s="7" t="inlineStr">
        <is>
          <t>x</t>
        </is>
      </c>
      <c r="E11" s="7" t="n"/>
      <c r="F11" s="7" t="n"/>
      <c r="G11" s="21" t="n"/>
    </row>
    <row r="12">
      <c r="A12" s="6" t="n">
        <v>46127</v>
      </c>
      <c r="B12" s="7" t="inlineStr">
        <is>
          <t>srijeda</t>
        </is>
      </c>
      <c r="C12" s="7" t="inlineStr">
        <is>
          <t>travanj</t>
        </is>
      </c>
      <c r="D12" s="7" t="inlineStr">
        <is>
          <t>x</t>
        </is>
      </c>
      <c r="E12" s="7" t="n"/>
      <c r="F12" s="7" t="n"/>
      <c r="G12" s="21" t="n"/>
    </row>
    <row r="13">
      <c r="A13" s="6" t="n">
        <v>46141</v>
      </c>
      <c r="B13" s="7" t="inlineStr">
        <is>
          <t>srijeda</t>
        </is>
      </c>
      <c r="C13" s="7" t="inlineStr">
        <is>
          <t>travanj</t>
        </is>
      </c>
      <c r="D13" s="7" t="inlineStr">
        <is>
          <t>x</t>
        </is>
      </c>
      <c r="E13" s="7" t="n"/>
      <c r="F13" s="7" t="n"/>
      <c r="G13" s="21" t="n"/>
    </row>
    <row r="14">
      <c r="A14" s="6" t="n">
        <v>46155</v>
      </c>
      <c r="B14" s="7" t="inlineStr">
        <is>
          <t>srijeda</t>
        </is>
      </c>
      <c r="C14" s="7" t="inlineStr">
        <is>
          <t>svibanj</t>
        </is>
      </c>
      <c r="D14" s="7" t="inlineStr">
        <is>
          <t>x</t>
        </is>
      </c>
      <c r="E14" s="7" t="n"/>
      <c r="F14" s="7" t="n"/>
      <c r="G14" s="21" t="n"/>
    </row>
    <row r="15">
      <c r="A15" s="6" t="n">
        <v>46169</v>
      </c>
      <c r="B15" s="7" t="inlineStr">
        <is>
          <t>srijeda</t>
        </is>
      </c>
      <c r="C15" s="7" t="inlineStr">
        <is>
          <t>svibanj</t>
        </is>
      </c>
      <c r="D15" s="7" t="inlineStr">
        <is>
          <t>x</t>
        </is>
      </c>
      <c r="E15" s="7" t="n"/>
      <c r="F15" s="7" t="n"/>
      <c r="G15" s="21" t="n"/>
    </row>
    <row r="16">
      <c r="A16" s="6" t="n">
        <v>46183</v>
      </c>
      <c r="B16" s="7" t="inlineStr">
        <is>
          <t>srijeda</t>
        </is>
      </c>
      <c r="C16" s="7" t="inlineStr">
        <is>
          <t>lipanj</t>
        </is>
      </c>
      <c r="D16" s="7" t="inlineStr">
        <is>
          <t>x</t>
        </is>
      </c>
      <c r="E16" s="7" t="n"/>
      <c r="F16" s="7" t="n"/>
      <c r="G16" s="21" t="n"/>
    </row>
    <row r="17">
      <c r="A17" s="6" t="n">
        <v>46197</v>
      </c>
      <c r="B17" s="7" t="inlineStr">
        <is>
          <t>srijeda</t>
        </is>
      </c>
      <c r="C17" s="7" t="inlineStr">
        <is>
          <t>lipanj</t>
        </is>
      </c>
      <c r="D17" s="7" t="inlineStr">
        <is>
          <t>x</t>
        </is>
      </c>
      <c r="E17" s="7" t="n"/>
      <c r="F17" s="7" t="n"/>
      <c r="G17" s="21" t="n"/>
    </row>
    <row r="18">
      <c r="A18" s="6" t="n">
        <v>46210</v>
      </c>
      <c r="B18" s="7" t="inlineStr">
        <is>
          <t>utorak</t>
        </is>
      </c>
      <c r="C18" s="7" t="inlineStr">
        <is>
          <t>srpanj</t>
        </is>
      </c>
      <c r="D18" s="7" t="n"/>
      <c r="E18" s="7" t="inlineStr">
        <is>
          <t>x</t>
        </is>
      </c>
      <c r="F18" s="7" t="n"/>
      <c r="G18" s="21" t="n"/>
    </row>
    <row r="19">
      <c r="A19" s="6" t="n">
        <v>46211</v>
      </c>
      <c r="B19" s="7" t="inlineStr">
        <is>
          <t>srijeda</t>
        </is>
      </c>
      <c r="C19" s="7" t="inlineStr">
        <is>
          <t>srpanj</t>
        </is>
      </c>
      <c r="D19" s="7" t="inlineStr">
        <is>
          <t>x</t>
        </is>
      </c>
      <c r="E19" s="7" t="n"/>
      <c r="F19" s="7" t="n"/>
      <c r="G19" s="21" t="n"/>
    </row>
    <row r="20">
      <c r="A20" s="6" t="n">
        <v>46225</v>
      </c>
      <c r="B20" s="7" t="inlineStr">
        <is>
          <t>srijeda</t>
        </is>
      </c>
      <c r="C20" s="7" t="inlineStr">
        <is>
          <t>srpanj</t>
        </is>
      </c>
      <c r="D20" s="7" t="inlineStr">
        <is>
          <t>x</t>
        </is>
      </c>
      <c r="E20" s="7" t="n"/>
      <c r="F20" s="7" t="n"/>
      <c r="G20" s="21" t="n"/>
    </row>
    <row r="21">
      <c r="A21" s="6" t="n">
        <v>46231</v>
      </c>
      <c r="B21" s="7" t="inlineStr">
        <is>
          <t>utorak</t>
        </is>
      </c>
      <c r="C21" s="7" t="inlineStr">
        <is>
          <t>srpanj</t>
        </is>
      </c>
      <c r="D21" s="7" t="n"/>
      <c r="E21" s="7" t="n"/>
      <c r="F21" s="7" t="inlineStr">
        <is>
          <t>x</t>
        </is>
      </c>
      <c r="G21" s="21" t="n"/>
    </row>
    <row r="22">
      <c r="A22" s="6" t="n">
        <v>46238</v>
      </c>
      <c r="B22" s="7" t="inlineStr">
        <is>
          <t>utorak</t>
        </is>
      </c>
      <c r="C22" s="7" t="inlineStr">
        <is>
          <t>kolovoz</t>
        </is>
      </c>
      <c r="D22" s="7" t="n"/>
      <c r="E22" s="7" t="inlineStr">
        <is>
          <t>x</t>
        </is>
      </c>
      <c r="F22" s="7" t="n"/>
      <c r="G22" s="21" t="n"/>
    </row>
    <row r="23">
      <c r="A23" s="22" t="n">
        <v>46240</v>
      </c>
      <c r="B23" s="23" t="inlineStr">
        <is>
          <t>četvrtak</t>
        </is>
      </c>
      <c r="C23" s="7" t="inlineStr">
        <is>
          <t>kolovoz</t>
        </is>
      </c>
      <c r="D23" s="7" t="inlineStr">
        <is>
          <t>x</t>
        </is>
      </c>
      <c r="E23" s="7" t="n"/>
      <c r="F23" s="7" t="n"/>
      <c r="G23" s="21" t="inlineStr">
        <is>
          <t>Pomaknuto zbog neradnog dana u tjednu</t>
        </is>
      </c>
    </row>
    <row r="24">
      <c r="A24" s="6" t="n">
        <v>46253</v>
      </c>
      <c r="B24" s="7" t="inlineStr">
        <is>
          <t>srijeda</t>
        </is>
      </c>
      <c r="C24" s="7" t="inlineStr">
        <is>
          <t>kolovoz</t>
        </is>
      </c>
      <c r="D24" s="7" t="inlineStr">
        <is>
          <t>x</t>
        </is>
      </c>
      <c r="E24" s="7" t="n"/>
      <c r="F24" s="7" t="n"/>
      <c r="G24" s="21" t="n"/>
    </row>
    <row r="25">
      <c r="A25" s="6" t="n">
        <v>46259</v>
      </c>
      <c r="B25" s="7" t="inlineStr">
        <is>
          <t>utorak</t>
        </is>
      </c>
      <c r="C25" s="7" t="inlineStr">
        <is>
          <t>kolovoz</t>
        </is>
      </c>
      <c r="D25" s="7" t="n"/>
      <c r="E25" s="7" t="n"/>
      <c r="F25" s="7" t="inlineStr">
        <is>
          <t>x</t>
        </is>
      </c>
      <c r="G25" s="21" t="n"/>
    </row>
    <row r="26">
      <c r="A26" s="6" t="n">
        <v>46266</v>
      </c>
      <c r="B26" s="7" t="inlineStr">
        <is>
          <t>utorak</t>
        </is>
      </c>
      <c r="C26" s="7" t="inlineStr">
        <is>
          <t>rujan</t>
        </is>
      </c>
      <c r="D26" s="7" t="n"/>
      <c r="E26" s="7" t="inlineStr">
        <is>
          <t>x</t>
        </is>
      </c>
      <c r="F26" s="7" t="n"/>
      <c r="G26" s="21" t="n"/>
    </row>
    <row r="27">
      <c r="A27" s="6" t="n">
        <v>46267</v>
      </c>
      <c r="B27" s="7" t="inlineStr">
        <is>
          <t>srijeda</t>
        </is>
      </c>
      <c r="C27" s="7" t="inlineStr">
        <is>
          <t>rujan</t>
        </is>
      </c>
      <c r="D27" s="7" t="inlineStr">
        <is>
          <t>x</t>
        </is>
      </c>
      <c r="E27" s="7" t="n"/>
      <c r="F27" s="7" t="n"/>
      <c r="G27" s="21" t="n"/>
    </row>
    <row r="28">
      <c r="A28" s="6" t="n">
        <v>46281</v>
      </c>
      <c r="B28" s="7" t="inlineStr">
        <is>
          <t>srijeda</t>
        </is>
      </c>
      <c r="C28" s="7" t="inlineStr">
        <is>
          <t>rujan</t>
        </is>
      </c>
      <c r="D28" s="7" t="inlineStr">
        <is>
          <t>x</t>
        </is>
      </c>
      <c r="E28" s="7" t="n"/>
      <c r="F28" s="7" t="n"/>
      <c r="G28" s="21" t="n"/>
    </row>
    <row r="29">
      <c r="A29" s="6" t="n">
        <v>46294</v>
      </c>
      <c r="B29" s="7" t="inlineStr">
        <is>
          <t>utorak</t>
        </is>
      </c>
      <c r="C29" s="7" t="inlineStr">
        <is>
          <t>rujan</t>
        </is>
      </c>
      <c r="D29" s="7" t="n"/>
      <c r="E29" s="7" t="n"/>
      <c r="F29" s="7" t="inlineStr">
        <is>
          <t>x</t>
        </is>
      </c>
      <c r="G29" s="21" t="n"/>
    </row>
    <row r="30">
      <c r="A30" s="6" t="n">
        <v>46295</v>
      </c>
      <c r="B30" s="7" t="inlineStr">
        <is>
          <t>srijeda</t>
        </is>
      </c>
      <c r="C30" s="7" t="inlineStr">
        <is>
          <t>rujan</t>
        </is>
      </c>
      <c r="D30" s="7" t="inlineStr">
        <is>
          <t>x</t>
        </is>
      </c>
      <c r="E30" s="7" t="n"/>
      <c r="F30" s="7" t="n"/>
      <c r="G30" s="21" t="n"/>
    </row>
    <row r="31">
      <c r="A31" s="6" t="n">
        <v>46301</v>
      </c>
      <c r="B31" s="7" t="inlineStr">
        <is>
          <t>utorak</t>
        </is>
      </c>
      <c r="C31" s="7" t="inlineStr">
        <is>
          <t>listopad</t>
        </is>
      </c>
      <c r="D31" s="7" t="n"/>
      <c r="E31" s="7" t="inlineStr">
        <is>
          <t>x</t>
        </is>
      </c>
      <c r="F31" s="7" t="n"/>
      <c r="G31" s="21" t="n"/>
    </row>
    <row r="32">
      <c r="A32" s="6" t="n">
        <v>46309</v>
      </c>
      <c r="B32" s="7" t="inlineStr">
        <is>
          <t>srijeda</t>
        </is>
      </c>
      <c r="C32" s="7" t="inlineStr">
        <is>
          <t>listopad</t>
        </is>
      </c>
      <c r="D32" s="7" t="inlineStr">
        <is>
          <t>x</t>
        </is>
      </c>
      <c r="E32" s="7" t="n"/>
      <c r="F32" s="7" t="n"/>
      <c r="G32" s="21" t="n"/>
    </row>
    <row r="33">
      <c r="A33" s="6" t="n">
        <v>46322</v>
      </c>
      <c r="B33" s="7" t="inlineStr">
        <is>
          <t>utorak</t>
        </is>
      </c>
      <c r="C33" s="7" t="inlineStr">
        <is>
          <t>listopad</t>
        </is>
      </c>
      <c r="D33" s="7" t="n"/>
      <c r="E33" s="7" t="n"/>
      <c r="F33" s="7" t="inlineStr">
        <is>
          <t>x</t>
        </is>
      </c>
      <c r="G33" s="21" t="n"/>
    </row>
    <row r="34">
      <c r="A34" s="6" t="n">
        <v>46323</v>
      </c>
      <c r="B34" s="7" t="inlineStr">
        <is>
          <t>srijeda</t>
        </is>
      </c>
      <c r="C34" s="7" t="inlineStr">
        <is>
          <t>listopad</t>
        </is>
      </c>
      <c r="D34" s="7" t="inlineStr">
        <is>
          <t>x</t>
        </is>
      </c>
      <c r="E34" s="7" t="n"/>
      <c r="F34" s="7" t="n"/>
      <c r="G34" s="21" t="n"/>
    </row>
    <row r="35">
      <c r="A35" s="6" t="n">
        <v>46329</v>
      </c>
      <c r="B35" s="7" t="inlineStr">
        <is>
          <t>utorak</t>
        </is>
      </c>
      <c r="C35" s="7" t="inlineStr">
        <is>
          <t>studeni</t>
        </is>
      </c>
      <c r="D35" s="7" t="n"/>
      <c r="E35" s="7" t="inlineStr">
        <is>
          <t>x</t>
        </is>
      </c>
      <c r="F35" s="7" t="n"/>
      <c r="G35" s="21" t="n"/>
    </row>
    <row r="36">
      <c r="A36" s="6" t="n">
        <v>46337</v>
      </c>
      <c r="B36" s="7" t="inlineStr">
        <is>
          <t>srijeda</t>
        </is>
      </c>
      <c r="C36" s="7" t="inlineStr">
        <is>
          <t>studeni</t>
        </is>
      </c>
      <c r="D36" s="7" t="inlineStr">
        <is>
          <t>x</t>
        </is>
      </c>
      <c r="E36" s="7" t="n"/>
      <c r="F36" s="7" t="n"/>
      <c r="G36" s="21" t="n"/>
    </row>
    <row r="37">
      <c r="A37" s="6" t="n">
        <v>46350</v>
      </c>
      <c r="B37" s="7" t="inlineStr">
        <is>
          <t>utorak</t>
        </is>
      </c>
      <c r="C37" s="7" t="inlineStr">
        <is>
          <t>studeni</t>
        </is>
      </c>
      <c r="D37" s="7" t="n"/>
      <c r="E37" s="7" t="n"/>
      <c r="F37" s="7" t="inlineStr">
        <is>
          <t>x</t>
        </is>
      </c>
      <c r="G37" s="21" t="n"/>
    </row>
    <row r="38">
      <c r="A38" s="6" t="n">
        <v>46351</v>
      </c>
      <c r="B38" s="7" t="inlineStr">
        <is>
          <t>srijeda</t>
        </is>
      </c>
      <c r="C38" s="7" t="inlineStr">
        <is>
          <t>studeni</t>
        </is>
      </c>
      <c r="D38" s="7" t="inlineStr">
        <is>
          <t>x</t>
        </is>
      </c>
      <c r="E38" s="7" t="n"/>
      <c r="F38" s="7" t="n"/>
      <c r="G38" s="21" t="n"/>
    </row>
    <row r="39">
      <c r="A39" s="6" t="n">
        <v>46357</v>
      </c>
      <c r="B39" s="7" t="inlineStr">
        <is>
          <t>utorak</t>
        </is>
      </c>
      <c r="C39" s="7" t="inlineStr">
        <is>
          <t>prosinac</t>
        </is>
      </c>
      <c r="D39" s="7" t="n"/>
      <c r="E39" s="7" t="inlineStr">
        <is>
          <t>x</t>
        </is>
      </c>
      <c r="F39" s="7" t="n"/>
      <c r="G39" s="21" t="n"/>
    </row>
    <row r="40">
      <c r="A40" s="6" t="n">
        <v>46365</v>
      </c>
      <c r="B40" s="7" t="inlineStr">
        <is>
          <t>srijeda</t>
        </is>
      </c>
      <c r="C40" s="7" t="inlineStr">
        <is>
          <t>prosinac</t>
        </is>
      </c>
      <c r="D40" s="7" t="inlineStr">
        <is>
          <t>x</t>
        </is>
      </c>
      <c r="E40" s="7" t="n"/>
      <c r="F40" s="7" t="n"/>
      <c r="G40" s="21" t="n"/>
    </row>
    <row r="41">
      <c r="A41" s="6" t="n">
        <v>46379</v>
      </c>
      <c r="B41" s="7" t="inlineStr">
        <is>
          <t>srijeda</t>
        </is>
      </c>
      <c r="C41" s="7" t="inlineStr">
        <is>
          <t>prosinac</t>
        </is>
      </c>
      <c r="D41" s="7" t="inlineStr">
        <is>
          <t>x</t>
        </is>
      </c>
      <c r="E41" s="7" t="n"/>
      <c r="F41" s="7" t="n"/>
      <c r="G41" s="21" t="n"/>
    </row>
    <row r="42">
      <c r="A42" s="6" t="n">
        <v>46385</v>
      </c>
      <c r="B42" s="7" t="inlineStr">
        <is>
          <t>utorak</t>
        </is>
      </c>
      <c r="C42" s="7" t="inlineStr">
        <is>
          <t>prosinac</t>
        </is>
      </c>
      <c r="D42" s="7" t="n"/>
      <c r="E42" s="7" t="n"/>
      <c r="F42" s="7" t="inlineStr">
        <is>
          <t>x</t>
        </is>
      </c>
      <c r="G42" s="21" t="n"/>
    </row>
  </sheetData>
  <autoFilter ref="A4:G42"/>
  <conditionalFormatting sqref="D5:D42">
    <cfRule type="expression" priority="1" dxfId="0">
      <formula>D5="x"</formula>
    </cfRule>
  </conditionalFormatting>
  <conditionalFormatting sqref="E5:E42">
    <cfRule type="expression" priority="2" dxfId="1">
      <formula>E5="x"</formula>
    </cfRule>
  </conditionalFormatting>
  <conditionalFormatting sqref="F5:F42">
    <cfRule type="expression" priority="3" dxfId="2">
      <formula>F5="x"</formula>
    </cfRule>
  </conditionalFormatting>
  <conditionalFormatting sqref="A5:G42">
    <cfRule type="expression" priority="4" dxfId="3" stopIfTrue="0">
      <formula>$A5&lt;TODAY()</formula>
    </cfRule>
  </conditionalFormatting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D39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3" customWidth="1" min="1" max="1"/>
    <col width="12" customWidth="1" min="2" max="2"/>
    <col width="26" customWidth="1" min="3" max="3"/>
    <col width="40" customWidth="1" min="4" max="4"/>
  </cols>
  <sheetData>
    <row r="1">
      <c r="A1" s="4" t="inlineStr">
        <is>
          <t>Datum</t>
        </is>
      </c>
      <c r="B1" s="4" t="inlineStr">
        <is>
          <t>Dan</t>
        </is>
      </c>
      <c r="C1" s="4" t="inlineStr">
        <is>
          <t>Vrsta otpada</t>
        </is>
      </c>
      <c r="D1" s="4" t="inlineStr">
        <is>
          <t>Napomena</t>
        </is>
      </c>
    </row>
    <row r="2">
      <c r="A2" s="24" t="n">
        <v>46029</v>
      </c>
      <c r="B2" s="15" t="inlineStr">
        <is>
          <t>srijeda</t>
        </is>
      </c>
      <c r="C2" s="5" t="inlineStr">
        <is>
          <t>Miješani komunalni otpad</t>
        </is>
      </c>
      <c r="D2" s="15" t="n"/>
    </row>
    <row r="3">
      <c r="A3" s="24" t="n">
        <v>46043</v>
      </c>
      <c r="B3" s="15" t="inlineStr">
        <is>
          <t>srijeda</t>
        </is>
      </c>
      <c r="C3" s="5" t="inlineStr">
        <is>
          <t>Miješani komunalni otpad</t>
        </is>
      </c>
      <c r="D3" s="15" t="n"/>
    </row>
    <row r="4">
      <c r="A4" s="24" t="n">
        <v>46057</v>
      </c>
      <c r="B4" s="15" t="inlineStr">
        <is>
          <t>srijeda</t>
        </is>
      </c>
      <c r="C4" s="5" t="inlineStr">
        <is>
          <t>Miješani komunalni otpad</t>
        </is>
      </c>
      <c r="D4" s="15" t="n"/>
    </row>
    <row r="5">
      <c r="A5" s="24" t="n">
        <v>46071</v>
      </c>
      <c r="B5" s="15" t="inlineStr">
        <is>
          <t>srijeda</t>
        </is>
      </c>
      <c r="C5" s="5" t="inlineStr">
        <is>
          <t>Miješani komunalni otpad</t>
        </is>
      </c>
      <c r="D5" s="15" t="n"/>
    </row>
    <row r="6">
      <c r="A6" s="24" t="n">
        <v>46085</v>
      </c>
      <c r="B6" s="15" t="inlineStr">
        <is>
          <t>srijeda</t>
        </is>
      </c>
      <c r="C6" s="5" t="inlineStr">
        <is>
          <t>Miješani komunalni otpad</t>
        </is>
      </c>
      <c r="D6" s="15" t="n"/>
    </row>
    <row r="7">
      <c r="A7" s="24" t="n">
        <v>46099</v>
      </c>
      <c r="B7" s="15" t="inlineStr">
        <is>
          <t>srijeda</t>
        </is>
      </c>
      <c r="C7" s="5" t="inlineStr">
        <is>
          <t>Miješani komunalni otpad</t>
        </is>
      </c>
      <c r="D7" s="15" t="n"/>
    </row>
    <row r="8">
      <c r="A8" s="24" t="n">
        <v>46113</v>
      </c>
      <c r="B8" s="15" t="inlineStr">
        <is>
          <t>srijeda</t>
        </is>
      </c>
      <c r="C8" s="5" t="inlineStr">
        <is>
          <t>Miješani komunalni otpad</t>
        </is>
      </c>
      <c r="D8" s="15" t="n"/>
    </row>
    <row r="9">
      <c r="A9" s="24" t="n">
        <v>46127</v>
      </c>
      <c r="B9" s="15" t="inlineStr">
        <is>
          <t>srijeda</t>
        </is>
      </c>
      <c r="C9" s="5" t="inlineStr">
        <is>
          <t>Miješani komunalni otpad</t>
        </is>
      </c>
      <c r="D9" s="15" t="n"/>
    </row>
    <row r="10">
      <c r="A10" s="24" t="n">
        <v>46141</v>
      </c>
      <c r="B10" s="15" t="inlineStr">
        <is>
          <t>srijeda</t>
        </is>
      </c>
      <c r="C10" s="5" t="inlineStr">
        <is>
          <t>Miješani komunalni otpad</t>
        </is>
      </c>
      <c r="D10" s="15" t="n"/>
    </row>
    <row r="11">
      <c r="A11" s="24" t="n">
        <v>46155</v>
      </c>
      <c r="B11" s="15" t="inlineStr">
        <is>
          <t>srijeda</t>
        </is>
      </c>
      <c r="C11" s="5" t="inlineStr">
        <is>
          <t>Miješani komunalni otpad</t>
        </is>
      </c>
      <c r="D11" s="15" t="n"/>
    </row>
    <row r="12">
      <c r="A12" s="24" t="n">
        <v>46169</v>
      </c>
      <c r="B12" s="15" t="inlineStr">
        <is>
          <t>srijeda</t>
        </is>
      </c>
      <c r="C12" s="5" t="inlineStr">
        <is>
          <t>Miješani komunalni otpad</t>
        </is>
      </c>
      <c r="D12" s="15" t="n"/>
    </row>
    <row r="13">
      <c r="A13" s="24" t="n">
        <v>46183</v>
      </c>
      <c r="B13" s="15" t="inlineStr">
        <is>
          <t>srijeda</t>
        </is>
      </c>
      <c r="C13" s="5" t="inlineStr">
        <is>
          <t>Miješani komunalni otpad</t>
        </is>
      </c>
      <c r="D13" s="15" t="n"/>
    </row>
    <row r="14">
      <c r="A14" s="24" t="n">
        <v>46197</v>
      </c>
      <c r="B14" s="15" t="inlineStr">
        <is>
          <t>srijeda</t>
        </is>
      </c>
      <c r="C14" s="5" t="inlineStr">
        <is>
          <t>Miješani komunalni otpad</t>
        </is>
      </c>
      <c r="D14" s="15" t="n"/>
    </row>
    <row r="15">
      <c r="A15" s="24" t="n">
        <v>46210</v>
      </c>
      <c r="B15" s="15" t="inlineStr">
        <is>
          <t>utorak</t>
        </is>
      </c>
      <c r="C15" s="9" t="inlineStr">
        <is>
          <t>Plastika i metal (žuta kanta)</t>
        </is>
      </c>
      <c r="D15" s="15" t="n"/>
    </row>
    <row r="16">
      <c r="A16" s="24" t="n">
        <v>46211</v>
      </c>
      <c r="B16" s="15" t="inlineStr">
        <is>
          <t>srijeda</t>
        </is>
      </c>
      <c r="C16" s="5" t="inlineStr">
        <is>
          <t>Miješani komunalni otpad</t>
        </is>
      </c>
      <c r="D16" s="15" t="n"/>
    </row>
    <row r="17">
      <c r="A17" s="24" t="n">
        <v>46225</v>
      </c>
      <c r="B17" s="15" t="inlineStr">
        <is>
          <t>srijeda</t>
        </is>
      </c>
      <c r="C17" s="5" t="inlineStr">
        <is>
          <t>Miješani komunalni otpad</t>
        </is>
      </c>
      <c r="D17" s="15" t="n"/>
    </row>
    <row r="18">
      <c r="A18" s="24" t="n">
        <v>46231</v>
      </c>
      <c r="B18" s="15" t="inlineStr">
        <is>
          <t>utorak</t>
        </is>
      </c>
      <c r="C18" s="10" t="inlineStr">
        <is>
          <t>Papir i karton (plava kanta)</t>
        </is>
      </c>
      <c r="D18" s="15" t="n"/>
    </row>
    <row r="19">
      <c r="A19" s="24" t="n">
        <v>46238</v>
      </c>
      <c r="B19" s="15" t="inlineStr">
        <is>
          <t>utorak</t>
        </is>
      </c>
      <c r="C19" s="9" t="inlineStr">
        <is>
          <t>Plastika i metal (žuta kanta)</t>
        </is>
      </c>
      <c r="D19" s="15" t="n"/>
    </row>
    <row r="20">
      <c r="A20" s="24" t="n">
        <v>46240</v>
      </c>
      <c r="B20" s="15" t="inlineStr">
        <is>
          <t>četvrtak</t>
        </is>
      </c>
      <c r="C20" s="5" t="inlineStr">
        <is>
          <t>Miješani komunalni otpad</t>
        </is>
      </c>
      <c r="D20" s="15" t="inlineStr">
        <is>
          <t>Pomaknuto zbog neradnog dana u tjednu</t>
        </is>
      </c>
    </row>
    <row r="21">
      <c r="A21" s="24" t="n">
        <v>46253</v>
      </c>
      <c r="B21" s="15" t="inlineStr">
        <is>
          <t>srijeda</t>
        </is>
      </c>
      <c r="C21" s="5" t="inlineStr">
        <is>
          <t>Miješani komunalni otpad</t>
        </is>
      </c>
      <c r="D21" s="15" t="n"/>
    </row>
    <row r="22">
      <c r="A22" s="24" t="n">
        <v>46259</v>
      </c>
      <c r="B22" s="15" t="inlineStr">
        <is>
          <t>utorak</t>
        </is>
      </c>
      <c r="C22" s="10" t="inlineStr">
        <is>
          <t>Papir i karton (plava kanta)</t>
        </is>
      </c>
      <c r="D22" s="15" t="n"/>
    </row>
    <row r="23">
      <c r="A23" s="24" t="n">
        <v>46266</v>
      </c>
      <c r="B23" s="15" t="inlineStr">
        <is>
          <t>utorak</t>
        </is>
      </c>
      <c r="C23" s="9" t="inlineStr">
        <is>
          <t>Plastika i metal (žuta kanta)</t>
        </is>
      </c>
      <c r="D23" s="15" t="n"/>
    </row>
    <row r="24">
      <c r="A24" s="24" t="n">
        <v>46267</v>
      </c>
      <c r="B24" s="15" t="inlineStr">
        <is>
          <t>srijeda</t>
        </is>
      </c>
      <c r="C24" s="5" t="inlineStr">
        <is>
          <t>Miješani komunalni otpad</t>
        </is>
      </c>
      <c r="D24" s="15" t="n"/>
    </row>
    <row r="25">
      <c r="A25" s="24" t="n">
        <v>46281</v>
      </c>
      <c r="B25" s="15" t="inlineStr">
        <is>
          <t>srijeda</t>
        </is>
      </c>
      <c r="C25" s="5" t="inlineStr">
        <is>
          <t>Miješani komunalni otpad</t>
        </is>
      </c>
      <c r="D25" s="15" t="n"/>
    </row>
    <row r="26">
      <c r="A26" s="24" t="n">
        <v>46294</v>
      </c>
      <c r="B26" s="15" t="inlineStr">
        <is>
          <t>utorak</t>
        </is>
      </c>
      <c r="C26" s="10" t="inlineStr">
        <is>
          <t>Papir i karton (plava kanta)</t>
        </is>
      </c>
      <c r="D26" s="15" t="n"/>
    </row>
    <row r="27">
      <c r="A27" s="24" t="n">
        <v>46295</v>
      </c>
      <c r="B27" s="15" t="inlineStr">
        <is>
          <t>srijeda</t>
        </is>
      </c>
      <c r="C27" s="5" t="inlineStr">
        <is>
          <t>Miješani komunalni otpad</t>
        </is>
      </c>
      <c r="D27" s="15" t="n"/>
    </row>
    <row r="28">
      <c r="A28" s="24" t="n">
        <v>46301</v>
      </c>
      <c r="B28" s="15" t="inlineStr">
        <is>
          <t>utorak</t>
        </is>
      </c>
      <c r="C28" s="9" t="inlineStr">
        <is>
          <t>Plastika i metal (žuta kanta)</t>
        </is>
      </c>
      <c r="D28" s="15" t="n"/>
    </row>
    <row r="29">
      <c r="A29" s="24" t="n">
        <v>46309</v>
      </c>
      <c r="B29" s="15" t="inlineStr">
        <is>
          <t>srijeda</t>
        </is>
      </c>
      <c r="C29" s="5" t="inlineStr">
        <is>
          <t>Miješani komunalni otpad</t>
        </is>
      </c>
      <c r="D29" s="15" t="n"/>
    </row>
    <row r="30">
      <c r="A30" s="24" t="n">
        <v>46322</v>
      </c>
      <c r="B30" s="15" t="inlineStr">
        <is>
          <t>utorak</t>
        </is>
      </c>
      <c r="C30" s="10" t="inlineStr">
        <is>
          <t>Papir i karton (plava kanta)</t>
        </is>
      </c>
      <c r="D30" s="15" t="n"/>
    </row>
    <row r="31">
      <c r="A31" s="24" t="n">
        <v>46323</v>
      </c>
      <c r="B31" s="15" t="inlineStr">
        <is>
          <t>srijeda</t>
        </is>
      </c>
      <c r="C31" s="5" t="inlineStr">
        <is>
          <t>Miješani komunalni otpad</t>
        </is>
      </c>
      <c r="D31" s="15" t="n"/>
    </row>
    <row r="32">
      <c r="A32" s="24" t="n">
        <v>46329</v>
      </c>
      <c r="B32" s="15" t="inlineStr">
        <is>
          <t>utorak</t>
        </is>
      </c>
      <c r="C32" s="9" t="inlineStr">
        <is>
          <t>Plastika i metal (žuta kanta)</t>
        </is>
      </c>
      <c r="D32" s="15" t="n"/>
    </row>
    <row r="33">
      <c r="A33" s="24" t="n">
        <v>46337</v>
      </c>
      <c r="B33" s="15" t="inlineStr">
        <is>
          <t>srijeda</t>
        </is>
      </c>
      <c r="C33" s="5" t="inlineStr">
        <is>
          <t>Miješani komunalni otpad</t>
        </is>
      </c>
      <c r="D33" s="15" t="n"/>
    </row>
    <row r="34">
      <c r="A34" s="24" t="n">
        <v>46350</v>
      </c>
      <c r="B34" s="15" t="inlineStr">
        <is>
          <t>utorak</t>
        </is>
      </c>
      <c r="C34" s="10" t="inlineStr">
        <is>
          <t>Papir i karton (plava kanta)</t>
        </is>
      </c>
      <c r="D34" s="15" t="n"/>
    </row>
    <row r="35">
      <c r="A35" s="24" t="n">
        <v>46351</v>
      </c>
      <c r="B35" s="15" t="inlineStr">
        <is>
          <t>srijeda</t>
        </is>
      </c>
      <c r="C35" s="5" t="inlineStr">
        <is>
          <t>Miješani komunalni otpad</t>
        </is>
      </c>
      <c r="D35" s="15" t="n"/>
    </row>
    <row r="36">
      <c r="A36" s="24" t="n">
        <v>46357</v>
      </c>
      <c r="B36" s="15" t="inlineStr">
        <is>
          <t>utorak</t>
        </is>
      </c>
      <c r="C36" s="9" t="inlineStr">
        <is>
          <t>Plastika i metal (žuta kanta)</t>
        </is>
      </c>
      <c r="D36" s="15" t="n"/>
    </row>
    <row r="37">
      <c r="A37" s="24" t="n">
        <v>46365</v>
      </c>
      <c r="B37" s="15" t="inlineStr">
        <is>
          <t>srijeda</t>
        </is>
      </c>
      <c r="C37" s="5" t="inlineStr">
        <is>
          <t>Miješani komunalni otpad</t>
        </is>
      </c>
      <c r="D37" s="15" t="n"/>
    </row>
    <row r="38">
      <c r="A38" s="24" t="n">
        <v>46379</v>
      </c>
      <c r="B38" s="15" t="inlineStr">
        <is>
          <t>srijeda</t>
        </is>
      </c>
      <c r="C38" s="5" t="inlineStr">
        <is>
          <t>Miješani komunalni otpad</t>
        </is>
      </c>
      <c r="D38" s="15" t="n"/>
    </row>
    <row r="39">
      <c r="A39" s="24" t="n">
        <v>46385</v>
      </c>
      <c r="B39" s="15" t="inlineStr">
        <is>
          <t>utorak</t>
        </is>
      </c>
      <c r="C39" s="10" t="inlineStr">
        <is>
          <t>Papir i karton (plava kanta)</t>
        </is>
      </c>
      <c r="D39" s="15" t="n"/>
    </row>
  </sheetData>
  <autoFilter ref="A1:D39"/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A5"/>
  <sheetViews>
    <sheetView workbookViewId="0">
      <pane ySplit="4" topLeftCell="A5" activePane="bottomLeft" state="frozen"/>
      <selection pane="bottomLeft" activeCell="A1" sqref="A1"/>
    </sheetView>
  </sheetViews>
  <sheetFormatPr baseColWidth="8" defaultRowHeight="15"/>
  <cols>
    <col width="44" customWidth="1" min="1" max="1"/>
  </cols>
  <sheetData>
    <row r="1">
      <c r="A1" s="1" t="inlineStr">
        <is>
          <t>Zona 14 (Lipik): ulice i naselja</t>
        </is>
      </c>
    </row>
    <row r="2">
      <c r="A2" s="20" t="inlineStr">
        <is>
          <t>NASELJE KLISA – SVAKA DRUGA RADNA SRIJEDA I TO :</t>
        </is>
      </c>
    </row>
    <row r="4">
      <c r="A4" s="4" t="inlineStr">
        <is>
          <t>Ulica / naselje</t>
        </is>
      </c>
    </row>
    <row r="5">
      <c r="A5" s="15" t="inlineStr">
        <is>
          <t>Klisa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2026-10-07T18:23:35Z</dcterms:created>
  <dcterms:modified xmlns:dcterms="http://purl.org/dc/terms/" xmlns:xsi="http://www.w3.org/2001/XMLSchema-instance" xsi:type="dcterms:W3CDTF">2026-10-07T18:23:35Z</dcterms:modified>
</cp:coreProperties>
</file>
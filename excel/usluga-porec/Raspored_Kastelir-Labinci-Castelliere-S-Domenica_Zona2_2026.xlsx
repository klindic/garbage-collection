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'Raspored'!$A$4:$H$55</definedName>
    <definedName name="_xlnm._FilterDatabase" localSheetId="2" hidden="1">'Po vrsti'!$A$1:$D$115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IFERROR(1/(1/_xlfn.MINIFS(Raspored!$A$5:$A$55,Raspored!$D$5:$D$55,"x",Raspored!$A$5:$A$55,"&gt;="&amp;$B$3)),"nema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COUNTIF(Raspored!$D$5:$D$55,"x")</f>
        <v/>
      </c>
    </row>
    <row r="7">
      <c r="A7" s="9" t="inlineStr">
        <is>
          <t>Plastična ambalaža</t>
        </is>
      </c>
      <c r="B7" s="6">
        <f>IFERROR(1/(1/_xlfn.MINIFS(Raspored!$A$5:$A$55,Raspored!$E$5:$E$55,"x",Raspored!$A$5:$A$55,"&gt;="&amp;$B$3)),"nema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COUNTIF(Raspored!$E$5:$E$55,"x")</f>
        <v/>
      </c>
    </row>
    <row r="8">
      <c r="A8" s="10" t="inlineStr">
        <is>
          <t>Papir i karton</t>
        </is>
      </c>
      <c r="B8" s="6">
        <f>IFERROR(1/(1/_xlfn.MINIFS(Raspored!$A$5:$A$55,Raspored!$F$5:$F$55,"x",Raspored!$A$5:$A$55,"&gt;="&amp;$B$3)),"nema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COUNTIF(Raspored!$F$5:$F$55,"x")</f>
        <v/>
      </c>
    </row>
    <row r="9">
      <c r="A9" s="11" t="inlineStr">
        <is>
          <t>Staklo</t>
        </is>
      </c>
      <c r="B9" s="6">
        <f>IFERROR(1/(1/_xlfn.MINIFS(Raspored!$A$5:$A$55,Raspored!$G$5:$G$55,"x",Raspored!$A$5:$A$55,"&gt;="&amp;$B$3)),"nema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ambalaža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COUNTIFS(Raspored!$C$5:$C$55,$A13,Raspored!$D$5:$D$55,"x")</f>
        <v/>
      </c>
      <c r="C13" s="7">
        <f>COUNTIFS(Raspored!$C$5:$C$55,$A13,Raspored!$E$5:$E$55,"x")</f>
        <v/>
      </c>
      <c r="D13" s="7">
        <f>COUNTIFS(Raspored!$C$5:$C$55,$A13,Raspored!$F$5:$F$55,"x")</f>
        <v/>
      </c>
      <c r="E13" s="7">
        <f>COUNTIFS(Raspored!$C$5:$C$55,$A13,Raspored!$G$5:$G$55,"x")</f>
        <v/>
      </c>
    </row>
    <row r="14">
      <c r="A14" s="17" t="inlineStr">
        <is>
          <t>veljača</t>
        </is>
      </c>
      <c r="B14" s="7">
        <f>COUNTIFS(Raspored!$C$5:$C$55,$A14,Raspored!$D$5:$D$55,"x")</f>
        <v/>
      </c>
      <c r="C14" s="7">
        <f>COUNTIFS(Raspored!$C$5:$C$55,$A14,Raspored!$E$5:$E$55,"x")</f>
        <v/>
      </c>
      <c r="D14" s="7">
        <f>COUNTIFS(Raspored!$C$5:$C$55,$A14,Raspored!$F$5:$F$55,"x")</f>
        <v/>
      </c>
      <c r="E14" s="7">
        <f>COUNTIFS(Raspored!$C$5:$C$55,$A14,Raspored!$G$5:$G$55,"x")</f>
        <v/>
      </c>
    </row>
    <row r="15">
      <c r="A15" s="17" t="inlineStr">
        <is>
          <t>ožujak</t>
        </is>
      </c>
      <c r="B15" s="7">
        <f>COUNTIFS(Raspored!$C$5:$C$55,$A15,Raspored!$D$5:$D$55,"x")</f>
        <v/>
      </c>
      <c r="C15" s="7">
        <f>COUNTIFS(Raspored!$C$5:$C$55,$A15,Raspored!$E$5:$E$55,"x")</f>
        <v/>
      </c>
      <c r="D15" s="7">
        <f>COUNTIFS(Raspored!$C$5:$C$55,$A15,Raspored!$F$5:$F$55,"x")</f>
        <v/>
      </c>
      <c r="E15" s="7">
        <f>COUNTIFS(Raspored!$C$5:$C$55,$A15,Raspored!$G$5:$G$55,"x")</f>
        <v/>
      </c>
    </row>
    <row r="16">
      <c r="A16" s="17" t="inlineStr">
        <is>
          <t>travanj</t>
        </is>
      </c>
      <c r="B16" s="7">
        <f>COUNTIFS(Raspored!$C$5:$C$55,$A16,Raspored!$D$5:$D$55,"x")</f>
        <v/>
      </c>
      <c r="C16" s="7">
        <f>COUNTIFS(Raspored!$C$5:$C$55,$A16,Raspored!$E$5:$E$55,"x")</f>
        <v/>
      </c>
      <c r="D16" s="7">
        <f>COUNTIFS(Raspored!$C$5:$C$55,$A16,Raspored!$F$5:$F$55,"x")</f>
        <v/>
      </c>
      <c r="E16" s="7">
        <f>COUNTIFS(Raspored!$C$5:$C$55,$A16,Raspored!$G$5:$G$55,"x")</f>
        <v/>
      </c>
    </row>
    <row r="17">
      <c r="A17" s="17" t="inlineStr">
        <is>
          <t>svibanj</t>
        </is>
      </c>
      <c r="B17" s="7">
        <f>COUNTIFS(Raspored!$C$5:$C$55,$A17,Raspored!$D$5:$D$55,"x")</f>
        <v/>
      </c>
      <c r="C17" s="7">
        <f>COUNTIFS(Raspored!$C$5:$C$55,$A17,Raspored!$E$5:$E$55,"x")</f>
        <v/>
      </c>
      <c r="D17" s="7">
        <f>COUNTIFS(Raspored!$C$5:$C$55,$A17,Raspored!$F$5:$F$55,"x")</f>
        <v/>
      </c>
      <c r="E17" s="7">
        <f>COUNTIFS(Raspored!$C$5:$C$55,$A17,Raspored!$G$5:$G$55,"x")</f>
        <v/>
      </c>
    </row>
    <row r="18">
      <c r="A18" s="17" t="inlineStr">
        <is>
          <t>lipanj</t>
        </is>
      </c>
      <c r="B18" s="7">
        <f>COUNTIFS(Raspored!$C$5:$C$55,$A18,Raspored!$D$5:$D$55,"x")</f>
        <v/>
      </c>
      <c r="C18" s="7">
        <f>COUNTIFS(Raspored!$C$5:$C$55,$A18,Raspored!$E$5:$E$55,"x")</f>
        <v/>
      </c>
      <c r="D18" s="7">
        <f>COUNTIFS(Raspored!$C$5:$C$55,$A18,Raspored!$F$5:$F$55,"x")</f>
        <v/>
      </c>
      <c r="E18" s="7">
        <f>COUNTIFS(Raspored!$C$5:$C$55,$A18,Raspored!$G$5:$G$55,"x")</f>
        <v/>
      </c>
    </row>
    <row r="19">
      <c r="A19" s="17" t="inlineStr">
        <is>
          <t>srpanj</t>
        </is>
      </c>
      <c r="B19" s="7">
        <f>COUNTIFS(Raspored!$C$5:$C$55,$A19,Raspored!$D$5:$D$55,"x")</f>
        <v/>
      </c>
      <c r="C19" s="7">
        <f>COUNTIFS(Raspored!$C$5:$C$55,$A19,Raspored!$E$5:$E$55,"x")</f>
        <v/>
      </c>
      <c r="D19" s="7">
        <f>COUNTIFS(Raspored!$C$5:$C$55,$A19,Raspored!$F$5:$F$55,"x")</f>
        <v/>
      </c>
      <c r="E19" s="7">
        <f>COUNTIFS(Raspored!$C$5:$C$55,$A19,Raspored!$G$5:$G$55,"x")</f>
        <v/>
      </c>
    </row>
    <row r="20">
      <c r="A20" s="17" t="inlineStr">
        <is>
          <t>kolovoz</t>
        </is>
      </c>
      <c r="B20" s="7">
        <f>COUNTIFS(Raspored!$C$5:$C$55,$A20,Raspored!$D$5:$D$55,"x")</f>
        <v/>
      </c>
      <c r="C20" s="7">
        <f>COUNTIFS(Raspored!$C$5:$C$55,$A20,Raspored!$E$5:$E$55,"x")</f>
        <v/>
      </c>
      <c r="D20" s="7">
        <f>COUNTIFS(Raspored!$C$5:$C$55,$A20,Raspored!$F$5:$F$55,"x")</f>
        <v/>
      </c>
      <c r="E20" s="7">
        <f>COUNTIFS(Raspored!$C$5:$C$55,$A20,Raspored!$G$5:$G$55,"x")</f>
        <v/>
      </c>
    </row>
    <row r="21">
      <c r="A21" s="17" t="inlineStr">
        <is>
          <t>rujan</t>
        </is>
      </c>
      <c r="B21" s="7">
        <f>COUNTIFS(Raspored!$C$5:$C$55,$A21,Raspored!$D$5:$D$55,"x")</f>
        <v/>
      </c>
      <c r="C21" s="7">
        <f>COUNTIFS(Raspored!$C$5:$C$55,$A21,Raspored!$E$5:$E$55,"x")</f>
        <v/>
      </c>
      <c r="D21" s="7">
        <f>COUNTIFS(Raspored!$C$5:$C$55,$A21,Raspored!$F$5:$F$55,"x")</f>
        <v/>
      </c>
      <c r="E21" s="7">
        <f>COUNTIFS(Raspored!$C$5:$C$55,$A21,Raspored!$G$5:$G$55,"x")</f>
        <v/>
      </c>
    </row>
    <row r="22">
      <c r="A22" s="17" t="inlineStr">
        <is>
          <t>listopad</t>
        </is>
      </c>
      <c r="B22" s="7">
        <f>COUNTIFS(Raspored!$C$5:$C$55,$A22,Raspored!$D$5:$D$55,"x")</f>
        <v/>
      </c>
      <c r="C22" s="7">
        <f>COUNTIFS(Raspored!$C$5:$C$55,$A22,Raspored!$E$5:$E$55,"x")</f>
        <v/>
      </c>
      <c r="D22" s="7">
        <f>COUNTIFS(Raspored!$C$5:$C$55,$A22,Raspored!$F$5:$F$55,"x")</f>
        <v/>
      </c>
      <c r="E22" s="7">
        <f>COUNTIFS(Raspored!$C$5:$C$55,$A22,Raspored!$G$5:$G$55,"x")</f>
        <v/>
      </c>
    </row>
    <row r="23">
      <c r="A23" s="17" t="inlineStr">
        <is>
          <t>studeni</t>
        </is>
      </c>
      <c r="B23" s="7">
        <f>COUNTIFS(Raspored!$C$5:$C$55,$A23,Raspored!$D$5:$D$55,"x")</f>
        <v/>
      </c>
      <c r="C23" s="7">
        <f>COUNTIFS(Raspored!$C$5:$C$55,$A23,Raspored!$E$5:$E$55,"x")</f>
        <v/>
      </c>
      <c r="D23" s="7">
        <f>COUNTIFS(Raspored!$C$5:$C$55,$A23,Raspored!$F$5:$F$55,"x")</f>
        <v/>
      </c>
      <c r="E23" s="7">
        <f>COUNTIFS(Raspored!$C$5:$C$55,$A23,Raspored!$G$5:$G$55,"x")</f>
        <v/>
      </c>
    </row>
    <row r="24">
      <c r="A24" s="17" t="inlineStr">
        <is>
          <t>prosinac</t>
        </is>
      </c>
      <c r="B24" s="7">
        <f>COUNTIFS(Raspored!$C$5:$C$55,$A24,Raspored!$D$5:$D$55,"x")</f>
        <v/>
      </c>
      <c r="C24" s="7">
        <f>COUNTIFS(Raspored!$C$5:$C$55,$A24,Raspored!$E$5:$E$55,"x")</f>
        <v/>
      </c>
      <c r="D24" s="7">
        <f>COUNTIFS(Raspored!$C$5:$C$55,$A24,Raspored!$F$5:$F$55,"x")</f>
        <v/>
      </c>
      <c r="E24" s="7">
        <f>COUNTIFS(Raspored!$C$5:$C$55,$A24,Raspored!$G$5:$G$55,"x")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Miješani komunalni otpad odvozi se svaki tjedan, istog dana kad i papir odnosno plastika (napomena u planu); papir i karton te plastična ambalaža odvoze se naizmjence svaki drugi tjedan, staklo svaka četiri tjedna.</t>
        </is>
      </c>
    </row>
    <row r="30">
      <c r="A30" s="21" t="inlineStr">
        <is>
          <t>• Objavljeni plan ne sadrži odvoz biootpada.</t>
        </is>
      </c>
    </row>
    <row r="31">
      <c r="A31" s="21" t="inlineStr">
        <is>
          <t>• Usluga Poreč: 052 431 003, usluga@usluga.hr, Mlinska 1, Poreč.</t>
        </is>
      </c>
    </row>
    <row r="32">
      <c r="A32" s="21" t="inlineStr">
        <is>
          <t>• Blagdani su uračunati u objavljene datume (pomaknuti odvozi: 02.05., 26.12.); na 1.1. nema odvoza, a na ostale blagdane odvozi se prema rasporedu. Odvoz 02.01. nije u planu za 2026.</t>
        </is>
      </c>
    </row>
    <row r="33">
      <c r="A33" s="21" t="inlineStr">
        <is>
          <t>• Izvor: https://www.cms.usluga.hr/uploaded/1767347272909-USLUGA-plan-primopredaje-OPCINE-2026-web.pdf.</t>
        </is>
      </c>
    </row>
    <row r="34">
      <c r="A34" s="21" t="inlineStr">
        <is>
          <t>• Grad Poreč – Parenzo nije uključen: gradski plan (https://www.cms.usluga.hr/uploaded/1767346955103-USLUGA-plan-primopredaje-GRAD-2026-web.pdf) još se ne čita ovom skriptom.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 (Kaštelir-Labinci – Castelliere-S. Domenica)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ambalaža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46038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46045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46052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46059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46066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46073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46080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46087</v>
      </c>
      <c r="B13" s="7" t="inlineStr">
        <is>
          <t>petak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46094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46101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46108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46115</v>
      </c>
      <c r="B17" s="7" t="inlineStr">
        <is>
          <t>petak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46122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46129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46136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inlineStr">
        <is>
          <t>x</t>
        </is>
      </c>
      <c r="H20" s="23" t="n"/>
    </row>
    <row r="21">
      <c r="A21" s="24" t="n">
        <v>46144</v>
      </c>
      <c r="B21" s="25" t="inlineStr">
        <is>
          <t>subota</t>
        </is>
      </c>
      <c r="C21" s="7" t="inlineStr">
        <is>
          <t>svibanj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inlineStr">
        <is>
          <t>Pomaknuto zbog neradnog dana u tjednu</t>
        </is>
      </c>
    </row>
    <row r="22">
      <c r="A22" s="6" t="n">
        <v>46150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46157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46164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46171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46178</v>
      </c>
      <c r="B26" s="7" t="inlineStr">
        <is>
          <t>petak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46185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46192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46199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46206</v>
      </c>
      <c r="B30" s="7" t="inlineStr">
        <is>
          <t>petak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46213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46220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46227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46234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46241</v>
      </c>
      <c r="B35" s="7" t="inlineStr">
        <is>
          <t>petak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46248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46255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46262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46269</v>
      </c>
      <c r="B39" s="7" t="inlineStr">
        <is>
          <t>petak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46276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46283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46290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46297</v>
      </c>
      <c r="B43" s="7" t="inlineStr">
        <is>
          <t>petak</t>
        </is>
      </c>
      <c r="C43" s="7" t="inlineStr">
        <is>
          <t>listopad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46304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46311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46318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46325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46332</v>
      </c>
      <c r="B48" s="7" t="inlineStr">
        <is>
          <t>petak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46339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46346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46353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46360</v>
      </c>
      <c r="B52" s="7" t="inlineStr">
        <is>
          <t>petak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46367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46374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24" t="n">
        <v>46382</v>
      </c>
      <c r="B55" s="25" t="inlineStr">
        <is>
          <t>subota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inlineStr">
        <is>
          <t>Pomaknuto zbog neradnog dana u tjednu</t>
        </is>
      </c>
    </row>
  </sheetData>
  <autoFilter ref="A4:H55"/>
  <conditionalFormatting sqref="D5:D55">
    <cfRule type="expression" priority="1" dxfId="0">
      <formula>D5="x"</formula>
    </cfRule>
  </conditionalFormatting>
  <conditionalFormatting sqref="E5:E55">
    <cfRule type="expression" priority="2" dxfId="1">
      <formula>E5="x"</formula>
    </cfRule>
  </conditionalFormatting>
  <conditionalFormatting sqref="F5:F55">
    <cfRule type="expression" priority="3" dxfId="2">
      <formula>F5="x"</formula>
    </cfRule>
  </conditionalFormatting>
  <conditionalFormatting sqref="G5:G55">
    <cfRule type="expression" priority="4" dxfId="3">
      <formula>G5="x"</formula>
    </cfRule>
  </conditionalFormatting>
  <conditionalFormatting sqref="A5:H5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46031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46031</v>
      </c>
      <c r="B3" s="17" t="inlineStr">
        <is>
          <t>petak</t>
        </is>
      </c>
      <c r="C3" s="9" t="inlineStr">
        <is>
          <t>Plastična ambalaža</t>
        </is>
      </c>
      <c r="D3" s="17" t="n"/>
    </row>
    <row r="4">
      <c r="A4" s="26" t="n">
        <v>46038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6" t="n">
        <v>46038</v>
      </c>
      <c r="B5" s="17" t="inlineStr">
        <is>
          <t>petak</t>
        </is>
      </c>
      <c r="C5" s="10" t="inlineStr">
        <is>
          <t>Papir i karton</t>
        </is>
      </c>
      <c r="D5" s="17" t="n"/>
    </row>
    <row r="6">
      <c r="A6" s="26" t="n">
        <v>46045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46045</v>
      </c>
      <c r="B7" s="17" t="inlineStr">
        <is>
          <t>petak</t>
        </is>
      </c>
      <c r="C7" s="9" t="inlineStr">
        <is>
          <t>Plastična ambalaža</t>
        </is>
      </c>
      <c r="D7" s="17" t="n"/>
    </row>
    <row r="8">
      <c r="A8" s="26" t="n">
        <v>46052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46052</v>
      </c>
      <c r="B9" s="17" t="inlineStr">
        <is>
          <t>petak</t>
        </is>
      </c>
      <c r="C9" s="10" t="inlineStr">
        <is>
          <t>Papir i karton</t>
        </is>
      </c>
      <c r="D9" s="17" t="n"/>
    </row>
    <row r="10">
      <c r="A10" s="26" t="n">
        <v>46052</v>
      </c>
      <c r="B10" s="17" t="inlineStr">
        <is>
          <t>petak</t>
        </is>
      </c>
      <c r="C10" s="11" t="inlineStr">
        <is>
          <t>Staklo</t>
        </is>
      </c>
      <c r="D10" s="17" t="n"/>
    </row>
    <row r="11">
      <c r="A11" s="26" t="n">
        <v>46059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46059</v>
      </c>
      <c r="B12" s="17" t="inlineStr">
        <is>
          <t>petak</t>
        </is>
      </c>
      <c r="C12" s="9" t="inlineStr">
        <is>
          <t>Plastična ambalaža</t>
        </is>
      </c>
      <c r="D12" s="17" t="n"/>
    </row>
    <row r="13">
      <c r="A13" s="26" t="n">
        <v>46066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46066</v>
      </c>
      <c r="B14" s="17" t="inlineStr">
        <is>
          <t>petak</t>
        </is>
      </c>
      <c r="C14" s="10" t="inlineStr">
        <is>
          <t>Papir i karton</t>
        </is>
      </c>
      <c r="D14" s="17" t="n"/>
    </row>
    <row r="15">
      <c r="A15" s="26" t="n">
        <v>46073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46073</v>
      </c>
      <c r="B16" s="17" t="inlineStr">
        <is>
          <t>petak</t>
        </is>
      </c>
      <c r="C16" s="9" t="inlineStr">
        <is>
          <t>Plastična ambalaža</t>
        </is>
      </c>
      <c r="D16" s="17" t="n"/>
    </row>
    <row r="17">
      <c r="A17" s="26" t="n">
        <v>46080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6" t="n">
        <v>46080</v>
      </c>
      <c r="B18" s="17" t="inlineStr">
        <is>
          <t>petak</t>
        </is>
      </c>
      <c r="C18" s="10" t="inlineStr">
        <is>
          <t>Papir i karton</t>
        </is>
      </c>
      <c r="D18" s="17" t="n"/>
    </row>
    <row r="19">
      <c r="A19" s="26" t="n">
        <v>46080</v>
      </c>
      <c r="B19" s="17" t="inlineStr">
        <is>
          <t>petak</t>
        </is>
      </c>
      <c r="C19" s="11" t="inlineStr">
        <is>
          <t>Staklo</t>
        </is>
      </c>
      <c r="D19" s="17" t="n"/>
    </row>
    <row r="20">
      <c r="A20" s="26" t="n">
        <v>46087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46087</v>
      </c>
      <c r="B21" s="17" t="inlineStr">
        <is>
          <t>petak</t>
        </is>
      </c>
      <c r="C21" s="9" t="inlineStr">
        <is>
          <t>Plastična ambalaža</t>
        </is>
      </c>
      <c r="D21" s="17" t="n"/>
    </row>
    <row r="22">
      <c r="A22" s="26" t="n">
        <v>46094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46094</v>
      </c>
      <c r="B23" s="17" t="inlineStr">
        <is>
          <t>petak</t>
        </is>
      </c>
      <c r="C23" s="10" t="inlineStr">
        <is>
          <t>Papir i karton</t>
        </is>
      </c>
      <c r="D23" s="17" t="n"/>
    </row>
    <row r="24">
      <c r="A24" s="26" t="n">
        <v>46101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46101</v>
      </c>
      <c r="B25" s="17" t="inlineStr">
        <is>
          <t>petak</t>
        </is>
      </c>
      <c r="C25" s="9" t="inlineStr">
        <is>
          <t>Plastična ambalaža</t>
        </is>
      </c>
      <c r="D25" s="17" t="n"/>
    </row>
    <row r="26">
      <c r="A26" s="26" t="n">
        <v>46108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46108</v>
      </c>
      <c r="B27" s="17" t="inlineStr">
        <is>
          <t>petak</t>
        </is>
      </c>
      <c r="C27" s="10" t="inlineStr">
        <is>
          <t>Papir i karton</t>
        </is>
      </c>
      <c r="D27" s="17" t="n"/>
    </row>
    <row r="28">
      <c r="A28" s="26" t="n">
        <v>46108</v>
      </c>
      <c r="B28" s="17" t="inlineStr">
        <is>
          <t>petak</t>
        </is>
      </c>
      <c r="C28" s="11" t="inlineStr">
        <is>
          <t>Staklo</t>
        </is>
      </c>
      <c r="D28" s="17" t="n"/>
    </row>
    <row r="29">
      <c r="A29" s="26" t="n">
        <v>46115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6" t="n">
        <v>46115</v>
      </c>
      <c r="B30" s="17" t="inlineStr">
        <is>
          <t>petak</t>
        </is>
      </c>
      <c r="C30" s="9" t="inlineStr">
        <is>
          <t>Plastična ambalaža</t>
        </is>
      </c>
      <c r="D30" s="17" t="n"/>
    </row>
    <row r="31">
      <c r="A31" s="26" t="n">
        <v>46122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6" t="n">
        <v>46122</v>
      </c>
      <c r="B32" s="17" t="inlineStr">
        <is>
          <t>petak</t>
        </is>
      </c>
      <c r="C32" s="10" t="inlineStr">
        <is>
          <t>Papir i karton</t>
        </is>
      </c>
      <c r="D32" s="17" t="n"/>
    </row>
    <row r="33">
      <c r="A33" s="26" t="n">
        <v>46129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6" t="n">
        <v>46129</v>
      </c>
      <c r="B34" s="17" t="inlineStr">
        <is>
          <t>petak</t>
        </is>
      </c>
      <c r="C34" s="9" t="inlineStr">
        <is>
          <t>Plastična ambalaža</t>
        </is>
      </c>
      <c r="D34" s="17" t="n"/>
    </row>
    <row r="35">
      <c r="A35" s="26" t="n">
        <v>46136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46136</v>
      </c>
      <c r="B36" s="17" t="inlineStr">
        <is>
          <t>petak</t>
        </is>
      </c>
      <c r="C36" s="10" t="inlineStr">
        <is>
          <t>Papir i karton</t>
        </is>
      </c>
      <c r="D36" s="17" t="n"/>
    </row>
    <row r="37">
      <c r="A37" s="26" t="n">
        <v>46136</v>
      </c>
      <c r="B37" s="17" t="inlineStr">
        <is>
          <t>petak</t>
        </is>
      </c>
      <c r="C37" s="11" t="inlineStr">
        <is>
          <t>Staklo</t>
        </is>
      </c>
      <c r="D37" s="17" t="n"/>
    </row>
    <row r="38">
      <c r="A38" s="26" t="n">
        <v>46144</v>
      </c>
      <c r="B38" s="17" t="inlineStr">
        <is>
          <t>subota</t>
        </is>
      </c>
      <c r="C38" s="5" t="inlineStr">
        <is>
          <t>Miješani komunalni otpad</t>
        </is>
      </c>
      <c r="D38" s="17" t="inlineStr">
        <is>
          <t>Pomaknuto zbog neradnog dana u tjednu</t>
        </is>
      </c>
    </row>
    <row r="39">
      <c r="A39" s="26" t="n">
        <v>46144</v>
      </c>
      <c r="B39" s="17" t="inlineStr">
        <is>
          <t>subota</t>
        </is>
      </c>
      <c r="C39" s="9" t="inlineStr">
        <is>
          <t>Plastična ambalaža</t>
        </is>
      </c>
      <c r="D39" s="17" t="inlineStr">
        <is>
          <t>Pomaknuto zbog neradnog dana u tjednu</t>
        </is>
      </c>
    </row>
    <row r="40">
      <c r="A40" s="26" t="n">
        <v>46150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46150</v>
      </c>
      <c r="B41" s="17" t="inlineStr">
        <is>
          <t>petak</t>
        </is>
      </c>
      <c r="C41" s="10" t="inlineStr">
        <is>
          <t>Papir i karton</t>
        </is>
      </c>
      <c r="D41" s="17" t="n"/>
    </row>
    <row r="42">
      <c r="A42" s="26" t="n">
        <v>46157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46157</v>
      </c>
      <c r="B43" s="17" t="inlineStr">
        <is>
          <t>petak</t>
        </is>
      </c>
      <c r="C43" s="9" t="inlineStr">
        <is>
          <t>Plastična ambalaža</t>
        </is>
      </c>
      <c r="D43" s="17" t="n"/>
    </row>
    <row r="44">
      <c r="A44" s="26" t="n">
        <v>46164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46164</v>
      </c>
      <c r="B45" s="17" t="inlineStr">
        <is>
          <t>petak</t>
        </is>
      </c>
      <c r="C45" s="10" t="inlineStr">
        <is>
          <t>Papir i karton</t>
        </is>
      </c>
      <c r="D45" s="17" t="n"/>
    </row>
    <row r="46">
      <c r="A46" s="26" t="n">
        <v>46164</v>
      </c>
      <c r="B46" s="17" t="inlineStr">
        <is>
          <t>petak</t>
        </is>
      </c>
      <c r="C46" s="11" t="inlineStr">
        <is>
          <t>Staklo</t>
        </is>
      </c>
      <c r="D46" s="17" t="n"/>
    </row>
    <row r="47">
      <c r="A47" s="26" t="n">
        <v>46171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46171</v>
      </c>
      <c r="B48" s="17" t="inlineStr">
        <is>
          <t>petak</t>
        </is>
      </c>
      <c r="C48" s="9" t="inlineStr">
        <is>
          <t>Plastična ambalaža</t>
        </is>
      </c>
      <c r="D48" s="17" t="n"/>
    </row>
    <row r="49">
      <c r="A49" s="26" t="n">
        <v>46178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6" t="n">
        <v>46178</v>
      </c>
      <c r="B50" s="17" t="inlineStr">
        <is>
          <t>petak</t>
        </is>
      </c>
      <c r="C50" s="10" t="inlineStr">
        <is>
          <t>Papir i karton</t>
        </is>
      </c>
      <c r="D50" s="17" t="n"/>
    </row>
    <row r="51">
      <c r="A51" s="26" t="n">
        <v>46185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46185</v>
      </c>
      <c r="B52" s="17" t="inlineStr">
        <is>
          <t>petak</t>
        </is>
      </c>
      <c r="C52" s="9" t="inlineStr">
        <is>
          <t>Plastična ambalaža</t>
        </is>
      </c>
      <c r="D52" s="17" t="n"/>
    </row>
    <row r="53">
      <c r="A53" s="26" t="n">
        <v>46192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46192</v>
      </c>
      <c r="B54" s="17" t="inlineStr">
        <is>
          <t>petak</t>
        </is>
      </c>
      <c r="C54" s="10" t="inlineStr">
        <is>
          <t>Papir i karton</t>
        </is>
      </c>
      <c r="D54" s="17" t="n"/>
    </row>
    <row r="55">
      <c r="A55" s="26" t="n">
        <v>46192</v>
      </c>
      <c r="B55" s="17" t="inlineStr">
        <is>
          <t>petak</t>
        </is>
      </c>
      <c r="C55" s="11" t="inlineStr">
        <is>
          <t>Staklo</t>
        </is>
      </c>
      <c r="D55" s="17" t="n"/>
    </row>
    <row r="56">
      <c r="A56" s="26" t="n">
        <v>46199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6" t="n">
        <v>46199</v>
      </c>
      <c r="B57" s="17" t="inlineStr">
        <is>
          <t>petak</t>
        </is>
      </c>
      <c r="C57" s="9" t="inlineStr">
        <is>
          <t>Plastična ambalaža</t>
        </is>
      </c>
      <c r="D57" s="17" t="n"/>
    </row>
    <row r="58">
      <c r="A58" s="26" t="n">
        <v>46206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46206</v>
      </c>
      <c r="B59" s="17" t="inlineStr">
        <is>
          <t>petak</t>
        </is>
      </c>
      <c r="C59" s="10" t="inlineStr">
        <is>
          <t>Papir i karton</t>
        </is>
      </c>
      <c r="D59" s="17" t="n"/>
    </row>
    <row r="60">
      <c r="A60" s="26" t="n">
        <v>46213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46213</v>
      </c>
      <c r="B61" s="17" t="inlineStr">
        <is>
          <t>petak</t>
        </is>
      </c>
      <c r="C61" s="9" t="inlineStr">
        <is>
          <t>Plastična ambalaža</t>
        </is>
      </c>
      <c r="D61" s="17" t="n"/>
    </row>
    <row r="62">
      <c r="A62" s="26" t="n">
        <v>46220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46220</v>
      </c>
      <c r="B63" s="17" t="inlineStr">
        <is>
          <t>petak</t>
        </is>
      </c>
      <c r="C63" s="10" t="inlineStr">
        <is>
          <t>Papir i karton</t>
        </is>
      </c>
      <c r="D63" s="17" t="n"/>
    </row>
    <row r="64">
      <c r="A64" s="26" t="n">
        <v>46220</v>
      </c>
      <c r="B64" s="17" t="inlineStr">
        <is>
          <t>petak</t>
        </is>
      </c>
      <c r="C64" s="11" t="inlineStr">
        <is>
          <t>Staklo</t>
        </is>
      </c>
      <c r="D64" s="17" t="n"/>
    </row>
    <row r="65">
      <c r="A65" s="26" t="n">
        <v>46227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46227</v>
      </c>
      <c r="B66" s="17" t="inlineStr">
        <is>
          <t>petak</t>
        </is>
      </c>
      <c r="C66" s="9" t="inlineStr">
        <is>
          <t>Plastična ambalaža</t>
        </is>
      </c>
      <c r="D66" s="17" t="n"/>
    </row>
    <row r="67">
      <c r="A67" s="26" t="n">
        <v>46234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6" t="n">
        <v>46234</v>
      </c>
      <c r="B68" s="17" t="inlineStr">
        <is>
          <t>petak</t>
        </is>
      </c>
      <c r="C68" s="10" t="inlineStr">
        <is>
          <t>Papir i karton</t>
        </is>
      </c>
      <c r="D68" s="17" t="n"/>
    </row>
    <row r="69">
      <c r="A69" s="26" t="n">
        <v>46241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6" t="n">
        <v>46241</v>
      </c>
      <c r="B70" s="17" t="inlineStr">
        <is>
          <t>petak</t>
        </is>
      </c>
      <c r="C70" s="9" t="inlineStr">
        <is>
          <t>Plastična ambalaža</t>
        </is>
      </c>
      <c r="D70" s="17" t="n"/>
    </row>
    <row r="71">
      <c r="A71" s="26" t="n">
        <v>46248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6" t="n">
        <v>46248</v>
      </c>
      <c r="B72" s="17" t="inlineStr">
        <is>
          <t>petak</t>
        </is>
      </c>
      <c r="C72" s="10" t="inlineStr">
        <is>
          <t>Papir i karton</t>
        </is>
      </c>
      <c r="D72" s="17" t="n"/>
    </row>
    <row r="73">
      <c r="A73" s="26" t="n">
        <v>46248</v>
      </c>
      <c r="B73" s="17" t="inlineStr">
        <is>
          <t>petak</t>
        </is>
      </c>
      <c r="C73" s="11" t="inlineStr">
        <is>
          <t>Staklo</t>
        </is>
      </c>
      <c r="D73" s="17" t="n"/>
    </row>
    <row r="74">
      <c r="A74" s="26" t="n">
        <v>46255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46255</v>
      </c>
      <c r="B75" s="17" t="inlineStr">
        <is>
          <t>petak</t>
        </is>
      </c>
      <c r="C75" s="9" t="inlineStr">
        <is>
          <t>Plastična ambalaža</t>
        </is>
      </c>
      <c r="D75" s="17" t="n"/>
    </row>
    <row r="76">
      <c r="A76" s="26" t="n">
        <v>46262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46262</v>
      </c>
      <c r="B77" s="17" t="inlineStr">
        <is>
          <t>petak</t>
        </is>
      </c>
      <c r="C77" s="10" t="inlineStr">
        <is>
          <t>Papir i karton</t>
        </is>
      </c>
      <c r="D77" s="17" t="n"/>
    </row>
    <row r="78">
      <c r="A78" s="26" t="n">
        <v>46269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46269</v>
      </c>
      <c r="B79" s="17" t="inlineStr">
        <is>
          <t>petak</t>
        </is>
      </c>
      <c r="C79" s="9" t="inlineStr">
        <is>
          <t>Plastična ambalaža</t>
        </is>
      </c>
      <c r="D79" s="17" t="n"/>
    </row>
    <row r="80">
      <c r="A80" s="26" t="n">
        <v>46276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6" t="n">
        <v>46276</v>
      </c>
      <c r="B81" s="17" t="inlineStr">
        <is>
          <t>petak</t>
        </is>
      </c>
      <c r="C81" s="10" t="inlineStr">
        <is>
          <t>Papir i karton</t>
        </is>
      </c>
      <c r="D81" s="17" t="n"/>
    </row>
    <row r="82">
      <c r="A82" s="26" t="n">
        <v>46276</v>
      </c>
      <c r="B82" s="17" t="inlineStr">
        <is>
          <t>petak</t>
        </is>
      </c>
      <c r="C82" s="11" t="inlineStr">
        <is>
          <t>Staklo</t>
        </is>
      </c>
      <c r="D82" s="17" t="n"/>
    </row>
    <row r="83">
      <c r="A83" s="26" t="n">
        <v>46283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6" t="n">
        <v>46283</v>
      </c>
      <c r="B84" s="17" t="inlineStr">
        <is>
          <t>petak</t>
        </is>
      </c>
      <c r="C84" s="9" t="inlineStr">
        <is>
          <t>Plastična ambalaža</t>
        </is>
      </c>
      <c r="D84" s="17" t="n"/>
    </row>
    <row r="85">
      <c r="A85" s="26" t="n">
        <v>46290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6" t="n">
        <v>46290</v>
      </c>
      <c r="B86" s="17" t="inlineStr">
        <is>
          <t>petak</t>
        </is>
      </c>
      <c r="C86" s="10" t="inlineStr">
        <is>
          <t>Papir i karton</t>
        </is>
      </c>
      <c r="D86" s="17" t="n"/>
    </row>
    <row r="87">
      <c r="A87" s="26" t="n">
        <v>46297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6" t="n">
        <v>46297</v>
      </c>
      <c r="B88" s="17" t="inlineStr">
        <is>
          <t>petak</t>
        </is>
      </c>
      <c r="C88" s="9" t="inlineStr">
        <is>
          <t>Plastična ambalaža</t>
        </is>
      </c>
      <c r="D88" s="17" t="n"/>
    </row>
    <row r="89">
      <c r="A89" s="26" t="n">
        <v>46304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6" t="n">
        <v>46304</v>
      </c>
      <c r="B90" s="17" t="inlineStr">
        <is>
          <t>petak</t>
        </is>
      </c>
      <c r="C90" s="10" t="inlineStr">
        <is>
          <t>Papir i karton</t>
        </is>
      </c>
      <c r="D90" s="17" t="n"/>
    </row>
    <row r="91">
      <c r="A91" s="26" t="n">
        <v>46304</v>
      </c>
      <c r="B91" s="17" t="inlineStr">
        <is>
          <t>petak</t>
        </is>
      </c>
      <c r="C91" s="11" t="inlineStr">
        <is>
          <t>Staklo</t>
        </is>
      </c>
      <c r="D91" s="17" t="n"/>
    </row>
    <row r="92">
      <c r="A92" s="26" t="n">
        <v>46311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6" t="n">
        <v>46311</v>
      </c>
      <c r="B93" s="17" t="inlineStr">
        <is>
          <t>petak</t>
        </is>
      </c>
      <c r="C93" s="9" t="inlineStr">
        <is>
          <t>Plastična ambalaža</t>
        </is>
      </c>
      <c r="D93" s="17" t="n"/>
    </row>
    <row r="94">
      <c r="A94" s="26" t="n">
        <v>46318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6" t="n">
        <v>46318</v>
      </c>
      <c r="B95" s="17" t="inlineStr">
        <is>
          <t>petak</t>
        </is>
      </c>
      <c r="C95" s="10" t="inlineStr">
        <is>
          <t>Papir i karton</t>
        </is>
      </c>
      <c r="D95" s="17" t="n"/>
    </row>
    <row r="96">
      <c r="A96" s="26" t="n">
        <v>46325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6" t="n">
        <v>46325</v>
      </c>
      <c r="B97" s="17" t="inlineStr">
        <is>
          <t>petak</t>
        </is>
      </c>
      <c r="C97" s="9" t="inlineStr">
        <is>
          <t>Plastična ambalaža</t>
        </is>
      </c>
      <c r="D97" s="17" t="n"/>
    </row>
    <row r="98">
      <c r="A98" s="26" t="n">
        <v>46332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6" t="n">
        <v>46332</v>
      </c>
      <c r="B99" s="17" t="inlineStr">
        <is>
          <t>petak</t>
        </is>
      </c>
      <c r="C99" s="10" t="inlineStr">
        <is>
          <t>Papir i karton</t>
        </is>
      </c>
      <c r="D99" s="17" t="n"/>
    </row>
    <row r="100">
      <c r="A100" s="26" t="n">
        <v>46332</v>
      </c>
      <c r="B100" s="17" t="inlineStr">
        <is>
          <t>petak</t>
        </is>
      </c>
      <c r="C100" s="11" t="inlineStr">
        <is>
          <t>Staklo</t>
        </is>
      </c>
      <c r="D100" s="17" t="n"/>
    </row>
    <row r="101">
      <c r="A101" s="26" t="n">
        <v>46339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6" t="n">
        <v>46339</v>
      </c>
      <c r="B102" s="17" t="inlineStr">
        <is>
          <t>petak</t>
        </is>
      </c>
      <c r="C102" s="9" t="inlineStr">
        <is>
          <t>Plastična ambalaža</t>
        </is>
      </c>
      <c r="D102" s="17" t="n"/>
    </row>
    <row r="103">
      <c r="A103" s="26" t="n">
        <v>46346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6" t="n">
        <v>46346</v>
      </c>
      <c r="B104" s="17" t="inlineStr">
        <is>
          <t>petak</t>
        </is>
      </c>
      <c r="C104" s="10" t="inlineStr">
        <is>
          <t>Papir i karton</t>
        </is>
      </c>
      <c r="D104" s="17" t="n"/>
    </row>
    <row r="105">
      <c r="A105" s="26" t="n">
        <v>46353</v>
      </c>
      <c r="B105" s="17" t="inlineStr">
        <is>
          <t>petak</t>
        </is>
      </c>
      <c r="C105" s="5" t="inlineStr">
        <is>
          <t>Miješani komunalni otpad</t>
        </is>
      </c>
      <c r="D105" s="17" t="n"/>
    </row>
    <row r="106">
      <c r="A106" s="26" t="n">
        <v>46353</v>
      </c>
      <c r="B106" s="17" t="inlineStr">
        <is>
          <t>petak</t>
        </is>
      </c>
      <c r="C106" s="9" t="inlineStr">
        <is>
          <t>Plastična ambalaža</t>
        </is>
      </c>
      <c r="D106" s="17" t="n"/>
    </row>
    <row r="107">
      <c r="A107" s="26" t="n">
        <v>46360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6" t="n">
        <v>46360</v>
      </c>
      <c r="B108" s="17" t="inlineStr">
        <is>
          <t>petak</t>
        </is>
      </c>
      <c r="C108" s="10" t="inlineStr">
        <is>
          <t>Papir i karton</t>
        </is>
      </c>
      <c r="D108" s="17" t="n"/>
    </row>
    <row r="109">
      <c r="A109" s="26" t="n">
        <v>46360</v>
      </c>
      <c r="B109" s="17" t="inlineStr">
        <is>
          <t>petak</t>
        </is>
      </c>
      <c r="C109" s="11" t="inlineStr">
        <is>
          <t>Staklo</t>
        </is>
      </c>
      <c r="D109" s="17" t="n"/>
    </row>
    <row r="110">
      <c r="A110" s="26" t="n">
        <v>46367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6" t="n">
        <v>46367</v>
      </c>
      <c r="B111" s="17" t="inlineStr">
        <is>
          <t>petak</t>
        </is>
      </c>
      <c r="C111" s="9" t="inlineStr">
        <is>
          <t>Plastična ambalaža</t>
        </is>
      </c>
      <c r="D111" s="17" t="n"/>
    </row>
    <row r="112">
      <c r="A112" s="26" t="n">
        <v>46374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6" t="n">
        <v>46374</v>
      </c>
      <c r="B113" s="17" t="inlineStr">
        <is>
          <t>petak</t>
        </is>
      </c>
      <c r="C113" s="10" t="inlineStr">
        <is>
          <t>Papir i karton</t>
        </is>
      </c>
      <c r="D113" s="17" t="n"/>
    </row>
    <row r="114">
      <c r="A114" s="26" t="n">
        <v>46382</v>
      </c>
      <c r="B114" s="17" t="inlineStr">
        <is>
          <t>subota</t>
        </is>
      </c>
      <c r="C114" s="5" t="inlineStr">
        <is>
          <t>Miješani komunalni otpad</t>
        </is>
      </c>
      <c r="D114" s="17" t="inlineStr">
        <is>
          <t>Pomaknuto zbog neradnog dana u tjednu</t>
        </is>
      </c>
    </row>
    <row r="115">
      <c r="A115" s="26" t="n">
        <v>46382</v>
      </c>
      <c r="B115" s="17" t="inlineStr">
        <is>
          <t>subota</t>
        </is>
      </c>
      <c r="C115" s="9" t="inlineStr">
        <is>
          <t>Plastična ambalaža</t>
        </is>
      </c>
      <c r="D115" s="17" t="inlineStr">
        <is>
          <t>Pomaknuto zbog neradnog dana u tjednu</t>
        </is>
      </c>
    </row>
  </sheetData>
  <autoFilter ref="A1:D1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(Kaštelir-Labinci – Castelliere-S. Domenica): ulice i naselja</t>
        </is>
      </c>
    </row>
    <row r="4">
      <c r="A4" s="4" t="inlineStr">
        <is>
          <t>Ulica / naselje</t>
        </is>
      </c>
    </row>
    <row r="5">
      <c r="A5" s="17" t="inlineStr">
        <is>
          <t>Kaštelir-Labinci (cijela općina osim Rogovića)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2026-10-08T06:40:57Z</dcterms:created>
  <dcterms:modified xmlns:dcterms="http://purl.org/dc/terms/" xmlns:xsi="http://www.w3.org/2001/XMLSchema-instance" xsi:type="dcterms:W3CDTF">2026-10-08T06:40:58Z</dcterms:modified>
</cp:coreProperties>
</file>
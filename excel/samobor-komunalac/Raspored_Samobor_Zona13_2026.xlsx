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'Raspored'!$A$4:$H$95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IFERROR(1/(1/_xlfn.MINIFS(Raspored!$A$5:$A$95,Raspored!$D$5:$D$95,"x",Raspored!$A$5:$A$95,"&gt;="&amp;$B$3)),"nema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COUNTIF(Raspored!$D$5:$D$95,"x")</f>
        <v/>
      </c>
    </row>
    <row r="7">
      <c r="A7" s="9" t="inlineStr">
        <is>
          <t>Biootpad</t>
        </is>
      </c>
      <c r="B7" s="6">
        <f>IFERROR(1/(1/_xlfn.MINIFS(Raspored!$A$5:$A$95,Raspored!$E$5:$E$95,"x",Raspored!$A$5:$A$95,"&gt;="&amp;$B$3)),"nema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COUNTIF(Raspored!$E$5:$E$95,"x")</f>
        <v/>
      </c>
    </row>
    <row r="8">
      <c r="A8" s="10" t="inlineStr">
        <is>
          <t>Plastika i metal (PET/MET)</t>
        </is>
      </c>
      <c r="B8" s="6">
        <f>IFERROR(1/(1/_xlfn.MINIFS(Raspored!$A$5:$A$95,Raspored!$F$5:$F$95,"x",Raspored!$A$5:$A$95,"&gt;="&amp;$B$3)),"nema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COUNTIF(Raspored!$F$5:$F$95,"x")</f>
        <v/>
      </c>
    </row>
    <row r="9">
      <c r="A9" s="11" t="inlineStr">
        <is>
          <t>Papir (PAP)</t>
        </is>
      </c>
      <c r="B9" s="6">
        <f>IFERROR(1/(1/_xlfn.MINIFS(Raspored!$A$5:$A$95,Raspored!$G$5:$G$95,"x",Raspored!$A$5:$A$95,"&gt;="&amp;$B$3)),"nema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COUNTIFS(Raspored!$C$5:$C$95,$A13,Raspored!$D$5:$D$95,"x")</f>
        <v/>
      </c>
      <c r="C13" s="7">
        <f>COUNTIFS(Raspored!$C$5:$C$95,$A13,Raspored!$E$5:$E$95,"x")</f>
        <v/>
      </c>
      <c r="D13" s="7">
        <f>COUNTIFS(Raspored!$C$5:$C$95,$A13,Raspored!$F$5:$F$95,"x")</f>
        <v/>
      </c>
      <c r="E13" s="7">
        <f>COUNTIFS(Raspored!$C$5:$C$95,$A13,Raspored!$G$5:$G$95,"x")</f>
        <v/>
      </c>
    </row>
    <row r="14">
      <c r="A14" s="17" t="inlineStr">
        <is>
          <t>veljača</t>
        </is>
      </c>
      <c r="B14" s="7">
        <f>COUNTIFS(Raspored!$C$5:$C$95,$A14,Raspored!$D$5:$D$95,"x")</f>
        <v/>
      </c>
      <c r="C14" s="7">
        <f>COUNTIFS(Raspored!$C$5:$C$95,$A14,Raspored!$E$5:$E$95,"x")</f>
        <v/>
      </c>
      <c r="D14" s="7">
        <f>COUNTIFS(Raspored!$C$5:$C$95,$A14,Raspored!$F$5:$F$95,"x")</f>
        <v/>
      </c>
      <c r="E14" s="7">
        <f>COUNTIFS(Raspored!$C$5:$C$95,$A14,Raspored!$G$5:$G$95,"x")</f>
        <v/>
      </c>
    </row>
    <row r="15">
      <c r="A15" s="17" t="inlineStr">
        <is>
          <t>ožujak</t>
        </is>
      </c>
      <c r="B15" s="7">
        <f>COUNTIFS(Raspored!$C$5:$C$95,$A15,Raspored!$D$5:$D$95,"x")</f>
        <v/>
      </c>
      <c r="C15" s="7">
        <f>COUNTIFS(Raspored!$C$5:$C$95,$A15,Raspored!$E$5:$E$95,"x")</f>
        <v/>
      </c>
      <c r="D15" s="7">
        <f>COUNTIFS(Raspored!$C$5:$C$95,$A15,Raspored!$F$5:$F$95,"x")</f>
        <v/>
      </c>
      <c r="E15" s="7">
        <f>COUNTIFS(Raspored!$C$5:$C$95,$A15,Raspored!$G$5:$G$95,"x")</f>
        <v/>
      </c>
    </row>
    <row r="16">
      <c r="A16" s="17" t="inlineStr">
        <is>
          <t>travanj</t>
        </is>
      </c>
      <c r="B16" s="7">
        <f>COUNTIFS(Raspored!$C$5:$C$95,$A16,Raspored!$D$5:$D$95,"x")</f>
        <v/>
      </c>
      <c r="C16" s="7">
        <f>COUNTIFS(Raspored!$C$5:$C$95,$A16,Raspored!$E$5:$E$95,"x")</f>
        <v/>
      </c>
      <c r="D16" s="7">
        <f>COUNTIFS(Raspored!$C$5:$C$95,$A16,Raspored!$F$5:$F$95,"x")</f>
        <v/>
      </c>
      <c r="E16" s="7">
        <f>COUNTIFS(Raspored!$C$5:$C$95,$A16,Raspored!$G$5:$G$95,"x")</f>
        <v/>
      </c>
    </row>
    <row r="17">
      <c r="A17" s="17" t="inlineStr">
        <is>
          <t>svibanj</t>
        </is>
      </c>
      <c r="B17" s="7">
        <f>COUNTIFS(Raspored!$C$5:$C$95,$A17,Raspored!$D$5:$D$95,"x")</f>
        <v/>
      </c>
      <c r="C17" s="7">
        <f>COUNTIFS(Raspored!$C$5:$C$95,$A17,Raspored!$E$5:$E$95,"x")</f>
        <v/>
      </c>
      <c r="D17" s="7">
        <f>COUNTIFS(Raspored!$C$5:$C$95,$A17,Raspored!$F$5:$F$95,"x")</f>
        <v/>
      </c>
      <c r="E17" s="7">
        <f>COUNTIFS(Raspored!$C$5:$C$95,$A17,Raspored!$G$5:$G$95,"x")</f>
        <v/>
      </c>
    </row>
    <row r="18">
      <c r="A18" s="17" t="inlineStr">
        <is>
          <t>lipanj</t>
        </is>
      </c>
      <c r="B18" s="7">
        <f>COUNTIFS(Raspored!$C$5:$C$95,$A18,Raspored!$D$5:$D$95,"x")</f>
        <v/>
      </c>
      <c r="C18" s="7">
        <f>COUNTIFS(Raspored!$C$5:$C$95,$A18,Raspored!$E$5:$E$95,"x")</f>
        <v/>
      </c>
      <c r="D18" s="7">
        <f>COUNTIFS(Raspored!$C$5:$C$95,$A18,Raspored!$F$5:$F$95,"x")</f>
        <v/>
      </c>
      <c r="E18" s="7">
        <f>COUNTIFS(Raspored!$C$5:$C$95,$A18,Raspored!$G$5:$G$95,"x")</f>
        <v/>
      </c>
    </row>
    <row r="19">
      <c r="A19" s="17" t="inlineStr">
        <is>
          <t>srpanj</t>
        </is>
      </c>
      <c r="B19" s="7">
        <f>COUNTIFS(Raspored!$C$5:$C$95,$A19,Raspored!$D$5:$D$95,"x")</f>
        <v/>
      </c>
      <c r="C19" s="7">
        <f>COUNTIFS(Raspored!$C$5:$C$95,$A19,Raspored!$E$5:$E$95,"x")</f>
        <v/>
      </c>
      <c r="D19" s="7">
        <f>COUNTIFS(Raspored!$C$5:$C$95,$A19,Raspored!$F$5:$F$95,"x")</f>
        <v/>
      </c>
      <c r="E19" s="7">
        <f>COUNTIFS(Raspored!$C$5:$C$95,$A19,Raspored!$G$5:$G$95,"x")</f>
        <v/>
      </c>
    </row>
    <row r="20">
      <c r="A20" s="17" t="inlineStr">
        <is>
          <t>kolovoz</t>
        </is>
      </c>
      <c r="B20" s="7">
        <f>COUNTIFS(Raspored!$C$5:$C$95,$A20,Raspored!$D$5:$D$95,"x")</f>
        <v/>
      </c>
      <c r="C20" s="7">
        <f>COUNTIFS(Raspored!$C$5:$C$95,$A20,Raspored!$E$5:$E$95,"x")</f>
        <v/>
      </c>
      <c r="D20" s="7">
        <f>COUNTIFS(Raspored!$C$5:$C$95,$A20,Raspored!$F$5:$F$95,"x")</f>
        <v/>
      </c>
      <c r="E20" s="7">
        <f>COUNTIFS(Raspored!$C$5:$C$95,$A20,Raspored!$G$5:$G$95,"x")</f>
        <v/>
      </c>
    </row>
    <row r="21">
      <c r="A21" s="17" t="inlineStr">
        <is>
          <t>rujan</t>
        </is>
      </c>
      <c r="B21" s="7">
        <f>COUNTIFS(Raspored!$C$5:$C$95,$A21,Raspored!$D$5:$D$95,"x")</f>
        <v/>
      </c>
      <c r="C21" s="7">
        <f>COUNTIFS(Raspored!$C$5:$C$95,$A21,Raspored!$E$5:$E$95,"x")</f>
        <v/>
      </c>
      <c r="D21" s="7">
        <f>COUNTIFS(Raspored!$C$5:$C$95,$A21,Raspored!$F$5:$F$95,"x")</f>
        <v/>
      </c>
      <c r="E21" s="7">
        <f>COUNTIFS(Raspored!$C$5:$C$95,$A21,Raspored!$G$5:$G$95,"x")</f>
        <v/>
      </c>
    </row>
    <row r="22">
      <c r="A22" s="17" t="inlineStr">
        <is>
          <t>listopad</t>
        </is>
      </c>
      <c r="B22" s="7">
        <f>COUNTIFS(Raspored!$C$5:$C$95,$A22,Raspored!$D$5:$D$95,"x")</f>
        <v/>
      </c>
      <c r="C22" s="7">
        <f>COUNTIFS(Raspored!$C$5:$C$95,$A22,Raspored!$E$5:$E$95,"x")</f>
        <v/>
      </c>
      <c r="D22" s="7">
        <f>COUNTIFS(Raspored!$C$5:$C$95,$A22,Raspored!$F$5:$F$95,"x")</f>
        <v/>
      </c>
      <c r="E22" s="7">
        <f>COUNTIFS(Raspored!$C$5:$C$95,$A22,Raspored!$G$5:$G$95,"x")</f>
        <v/>
      </c>
    </row>
    <row r="23">
      <c r="A23" s="17" t="inlineStr">
        <is>
          <t>studeni</t>
        </is>
      </c>
      <c r="B23" s="7">
        <f>COUNTIFS(Raspored!$C$5:$C$95,$A23,Raspored!$D$5:$D$95,"x")</f>
        <v/>
      </c>
      <c r="C23" s="7">
        <f>COUNTIFS(Raspored!$C$5:$C$95,$A23,Raspored!$E$5:$E$95,"x")</f>
        <v/>
      </c>
      <c r="D23" s="7">
        <f>COUNTIFS(Raspored!$C$5:$C$95,$A23,Raspored!$F$5:$F$95,"x")</f>
        <v/>
      </c>
      <c r="E23" s="7">
        <f>COUNTIFS(Raspored!$C$5:$C$95,$A23,Raspored!$G$5:$G$95,"x")</f>
        <v/>
      </c>
    </row>
    <row r="24">
      <c r="A24" s="17" t="inlineStr">
        <is>
          <t>prosinac</t>
        </is>
      </c>
      <c r="B24" s="7">
        <f>COUNTIFS(Raspored!$C$5:$C$95,$A24,Raspored!$D$5:$D$95,"x")</f>
        <v/>
      </c>
      <c r="C24" s="7">
        <f>COUNTIFS(Raspored!$C$5:$C$95,$A24,Raspored!$E$5:$E$95,"x")</f>
        <v/>
      </c>
      <c r="D24" s="7">
        <f>COUNTIFS(Raspored!$C$5:$C$95,$A24,Raspored!$F$5:$F$95,"x")</f>
        <v/>
      </c>
      <c r="E24" s="7">
        <f>COUNTIFS(Raspored!$C$5:$C$95,$A24,Raspored!$G$5:$G$95,"x")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24" t="n">
        <v>46032</v>
      </c>
      <c r="B7" s="25" t="inlineStr">
        <is>
          <t>subota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inlineStr">
        <is>
          <t>Pomaknuto zbog neradnog dana u tjednu</t>
        </is>
      </c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46050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46064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46070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46071</v>
      </c>
      <c r="B17" s="7" t="inlineStr">
        <is>
          <t>srijeda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46078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46083</v>
      </c>
      <c r="B19" s="7" t="inlineStr">
        <is>
          <t>ponedjeljak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46084</v>
      </c>
      <c r="B20" s="7" t="inlineStr">
        <is>
          <t>utorak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46085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46092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46098</v>
      </c>
      <c r="B23" s="7" t="inlineStr">
        <is>
          <t>utorak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46099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46106</v>
      </c>
      <c r="B25" s="7" t="inlineStr">
        <is>
          <t>srijeda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46111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46112</v>
      </c>
      <c r="B27" s="7" t="inlineStr">
        <is>
          <t>utorak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46113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46120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46126</v>
      </c>
      <c r="B30" s="7" t="inlineStr">
        <is>
          <t>utorak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46127</v>
      </c>
      <c r="B31" s="7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46134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46139</v>
      </c>
      <c r="B33" s="7" t="inlineStr">
        <is>
          <t>ponedjeljak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46140</v>
      </c>
      <c r="B34" s="7" t="inlineStr">
        <is>
          <t>utorak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46141</v>
      </c>
      <c r="B35" s="7" t="inlineStr">
        <is>
          <t>srijeda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46148</v>
      </c>
      <c r="B36" s="7" t="inlineStr">
        <is>
          <t>srijeda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46154</v>
      </c>
      <c r="B37" s="7" t="inlineStr">
        <is>
          <t>utorak</t>
        </is>
      </c>
      <c r="C37" s="7" t="inlineStr">
        <is>
          <t>svibanj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46155</v>
      </c>
      <c r="B38" s="7" t="inlineStr">
        <is>
          <t>srijeda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46162</v>
      </c>
      <c r="B39" s="7" t="inlineStr">
        <is>
          <t>srijeda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46167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46168</v>
      </c>
      <c r="B41" s="7" t="inlineStr">
        <is>
          <t>utorak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46169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46176</v>
      </c>
      <c r="B43" s="7" t="inlineStr">
        <is>
          <t>srijeda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46182</v>
      </c>
      <c r="B44" s="7" t="inlineStr">
        <is>
          <t>utorak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46183</v>
      </c>
      <c r="B45" s="7" t="inlineStr">
        <is>
          <t>srijeda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46190</v>
      </c>
      <c r="B46" s="7" t="inlineStr">
        <is>
          <t>srijeda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24" t="n">
        <v>46193</v>
      </c>
      <c r="B47" s="25" t="inlineStr">
        <is>
          <t>subota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inlineStr">
        <is>
          <t>Pomaknuto zbog neradnog dana u tjednu</t>
        </is>
      </c>
    </row>
    <row r="48">
      <c r="A48" s="6" t="n">
        <v>46196</v>
      </c>
      <c r="B48" s="7" t="inlineStr">
        <is>
          <t>utorak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46197</v>
      </c>
      <c r="B49" s="7" t="inlineStr">
        <is>
          <t>srijeda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46204</v>
      </c>
      <c r="B50" s="7" t="inlineStr">
        <is>
          <t>srijeda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46210</v>
      </c>
      <c r="B51" s="7" t="inlineStr">
        <is>
          <t>utorak</t>
        </is>
      </c>
      <c r="C51" s="7" t="inlineStr">
        <is>
          <t>srpanj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46211</v>
      </c>
      <c r="B52" s="7" t="inlineStr">
        <is>
          <t>srijeda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46218</v>
      </c>
      <c r="B53" s="7" t="inlineStr">
        <is>
          <t>srijeda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46223</v>
      </c>
      <c r="B54" s="7" t="inlineStr">
        <is>
          <t>ponedjeljak</t>
        </is>
      </c>
      <c r="C54" s="7" t="inlineStr">
        <is>
          <t>srpanj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46224</v>
      </c>
      <c r="B55" s="7" t="inlineStr">
        <is>
          <t>utorak</t>
        </is>
      </c>
      <c r="C55" s="7" t="inlineStr">
        <is>
          <t>srpanj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46225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46232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46238</v>
      </c>
      <c r="B58" s="7" t="inlineStr">
        <is>
          <t>utorak</t>
        </is>
      </c>
      <c r="C58" s="7" t="inlineStr">
        <is>
          <t>kolovoz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24" t="n">
        <v>46242</v>
      </c>
      <c r="B59" s="25" t="inlineStr">
        <is>
          <t>subota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7" t="n"/>
      <c r="H59" s="23" t="inlineStr">
        <is>
          <t>Pomaknuto zbog neradnog dana u tjednu</t>
        </is>
      </c>
    </row>
    <row r="60">
      <c r="A60" s="6" t="n">
        <v>46246</v>
      </c>
      <c r="B60" s="7" t="inlineStr">
        <is>
          <t>srijeda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46251</v>
      </c>
      <c r="B61" s="7" t="inlineStr">
        <is>
          <t>ponedjeljak</t>
        </is>
      </c>
      <c r="C61" s="7" t="inlineStr">
        <is>
          <t>kolovoz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46252</v>
      </c>
      <c r="B62" s="7" t="inlineStr">
        <is>
          <t>utorak</t>
        </is>
      </c>
      <c r="C62" s="7" t="inlineStr">
        <is>
          <t>kolovoz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46253</v>
      </c>
      <c r="B63" s="7" t="inlineStr">
        <is>
          <t>srijeda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46260</v>
      </c>
      <c r="B64" s="7" t="inlineStr">
        <is>
          <t>srijeda</t>
        </is>
      </c>
      <c r="C64" s="7" t="inlineStr">
        <is>
          <t>kolovoz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46266</v>
      </c>
      <c r="B65" s="7" t="inlineStr">
        <is>
          <t>utorak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46267</v>
      </c>
      <c r="B66" s="7" t="inlineStr">
        <is>
          <t>srijeda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46274</v>
      </c>
      <c r="B67" s="7" t="inlineStr">
        <is>
          <t>srijeda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46279</v>
      </c>
      <c r="B68" s="7" t="inlineStr">
        <is>
          <t>ponedjeljak</t>
        </is>
      </c>
      <c r="C68" s="7" t="inlineStr">
        <is>
          <t>rujan</t>
        </is>
      </c>
      <c r="D68" s="7" t="n"/>
      <c r="E68" s="7" t="n"/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46280</v>
      </c>
      <c r="B69" s="7" t="inlineStr">
        <is>
          <t>utorak</t>
        </is>
      </c>
      <c r="C69" s="7" t="inlineStr">
        <is>
          <t>rujan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46281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46288</v>
      </c>
      <c r="B71" s="7" t="inlineStr">
        <is>
          <t>srijeda</t>
        </is>
      </c>
      <c r="C71" s="7" t="inlineStr">
        <is>
          <t>rujan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46294</v>
      </c>
      <c r="B72" s="7" t="inlineStr">
        <is>
          <t>utorak</t>
        </is>
      </c>
      <c r="C72" s="7" t="inlineStr">
        <is>
          <t>rujan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46295</v>
      </c>
      <c r="B73" s="7" t="inlineStr">
        <is>
          <t>srijeda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46302</v>
      </c>
      <c r="B74" s="7" t="inlineStr">
        <is>
          <t>srijeda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46307</v>
      </c>
      <c r="B75" s="7" t="inlineStr">
        <is>
          <t>ponedjeljak</t>
        </is>
      </c>
      <c r="C75" s="7" t="inlineStr">
        <is>
          <t>listopad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46308</v>
      </c>
      <c r="B76" s="7" t="inlineStr">
        <is>
          <t>utorak</t>
        </is>
      </c>
      <c r="C76" s="7" t="inlineStr">
        <is>
          <t>listopad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46309</v>
      </c>
      <c r="B77" s="7" t="inlineStr">
        <is>
          <t>srijeda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46316</v>
      </c>
      <c r="B78" s="7" t="inlineStr">
        <is>
          <t>srijeda</t>
        </is>
      </c>
      <c r="C78" s="7" t="inlineStr">
        <is>
          <t>listopad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46322</v>
      </c>
      <c r="B79" s="7" t="inlineStr">
        <is>
          <t>utorak</t>
        </is>
      </c>
      <c r="C79" s="7" t="inlineStr">
        <is>
          <t>listopad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46323</v>
      </c>
      <c r="B80" s="7" t="inlineStr">
        <is>
          <t>srijeda</t>
        </is>
      </c>
      <c r="C80" s="7" t="inlineStr">
        <is>
          <t>listopad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46330</v>
      </c>
      <c r="B81" s="7" t="inlineStr">
        <is>
          <t>srijeda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46335</v>
      </c>
      <c r="B82" s="7" t="inlineStr">
        <is>
          <t>ponedjeljak</t>
        </is>
      </c>
      <c r="C82" s="7" t="inlineStr">
        <is>
          <t>studeni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46336</v>
      </c>
      <c r="B83" s="7" t="inlineStr">
        <is>
          <t>utorak</t>
        </is>
      </c>
      <c r="C83" s="7" t="inlineStr">
        <is>
          <t>studeni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46337</v>
      </c>
      <c r="B84" s="7" t="inlineStr">
        <is>
          <t>srijeda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24" t="n">
        <v>46347</v>
      </c>
      <c r="B85" s="25" t="inlineStr">
        <is>
          <t>subota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7" t="n"/>
      <c r="H85" s="23" t="inlineStr">
        <is>
          <t>Pomaknuto zbog neradnog dana u tjednu</t>
        </is>
      </c>
    </row>
    <row r="86">
      <c r="A86" s="6" t="n">
        <v>46350</v>
      </c>
      <c r="B86" s="7" t="inlineStr">
        <is>
          <t>utorak</t>
        </is>
      </c>
      <c r="C86" s="7" t="inlineStr">
        <is>
          <t>studeni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46351</v>
      </c>
      <c r="B87" s="7" t="inlineStr">
        <is>
          <t>srijeda</t>
        </is>
      </c>
      <c r="C87" s="7" t="inlineStr">
        <is>
          <t>studeni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46358</v>
      </c>
      <c r="B88" s="7" t="inlineStr">
        <is>
          <t>srijeda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46363</v>
      </c>
      <c r="B89" s="7" t="inlineStr">
        <is>
          <t>ponedjeljak</t>
        </is>
      </c>
      <c r="C89" s="7" t="inlineStr">
        <is>
          <t>prosinac</t>
        </is>
      </c>
      <c r="D89" s="7" t="n"/>
      <c r="E89" s="7" t="n"/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46364</v>
      </c>
      <c r="B90" s="7" t="inlineStr">
        <is>
          <t>utorak</t>
        </is>
      </c>
      <c r="C90" s="7" t="inlineStr">
        <is>
          <t>prosinac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46365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46372</v>
      </c>
      <c r="B92" s="7" t="inlineStr">
        <is>
          <t>srijeda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46378</v>
      </c>
      <c r="B93" s="7" t="inlineStr">
        <is>
          <t>utorak</t>
        </is>
      </c>
      <c r="C93" s="7" t="inlineStr">
        <is>
          <t>prosinac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46379</v>
      </c>
      <c r="B94" s="7" t="inlineStr">
        <is>
          <t>srijeda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46386</v>
      </c>
      <c r="B95" s="7" t="inlineStr">
        <is>
          <t>srijeda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n"/>
      <c r="G95" s="7" t="n"/>
      <c r="H95" s="23" t="n"/>
    </row>
  </sheetData>
  <autoFilter ref="A4:H95"/>
  <conditionalFormatting sqref="D5:D95">
    <cfRule type="expression" priority="1" dxfId="0">
      <formula>D5="x"</formula>
    </cfRule>
  </conditionalFormatting>
  <conditionalFormatting sqref="E5:E95">
    <cfRule type="expression" priority="2" dxfId="1">
      <formula>E5="x"</formula>
    </cfRule>
  </conditionalFormatting>
  <conditionalFormatting sqref="F5:F95">
    <cfRule type="expression" priority="3" dxfId="2">
      <formula>F5="x"</formula>
    </cfRule>
  </conditionalFormatting>
  <conditionalFormatting sqref="G5:G95">
    <cfRule type="expression" priority="4" dxfId="3">
      <formula>G5="x"</formula>
    </cfRule>
  </conditionalFormatting>
  <conditionalFormatting sqref="A5:H9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10" t="inlineStr">
        <is>
          <t>Plastika i metal (PET/MET)</t>
        </is>
      </c>
      <c r="D2" s="17" t="n"/>
    </row>
    <row r="3">
      <c r="A3" s="26" t="n">
        <v>46027</v>
      </c>
      <c r="B3" s="17" t="inlineStr">
        <is>
          <t>ponedjeljak</t>
        </is>
      </c>
      <c r="C3" s="11" t="inlineStr">
        <is>
          <t>Papir (PAP)</t>
        </is>
      </c>
      <c r="D3" s="17" t="n"/>
    </row>
    <row r="4">
      <c r="A4" s="26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46032</v>
      </c>
      <c r="B5" s="17" t="inlineStr">
        <is>
          <t>subota</t>
        </is>
      </c>
      <c r="C5" s="9" t="inlineStr">
        <is>
          <t>Biootpad</t>
        </is>
      </c>
      <c r="D5" s="17" t="inlineStr">
        <is>
          <t>Pomaknuto zbog neradnog dana u tjednu</t>
        </is>
      </c>
    </row>
    <row r="6">
      <c r="A6" s="26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46042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6" t="n">
        <v>46043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46050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46055</v>
      </c>
      <c r="B10" s="17" t="inlineStr">
        <is>
          <t>ponedjeljak</t>
        </is>
      </c>
      <c r="C10" s="10" t="inlineStr">
        <is>
          <t>Plastika i metal (PET/MET)</t>
        </is>
      </c>
      <c r="D10" s="17" t="n"/>
    </row>
    <row r="11">
      <c r="A11" s="26" t="n">
        <v>46055</v>
      </c>
      <c r="B11" s="17" t="inlineStr">
        <is>
          <t>ponedjeljak</t>
        </is>
      </c>
      <c r="C11" s="11" t="inlineStr">
        <is>
          <t>Papir (PAP)</t>
        </is>
      </c>
      <c r="D11" s="17" t="n"/>
    </row>
    <row r="12">
      <c r="A12" s="26" t="n">
        <v>46056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6" t="n">
        <v>46057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46064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46070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6" t="n">
        <v>46071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46078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46083</v>
      </c>
      <c r="B18" s="17" t="inlineStr">
        <is>
          <t>ponedjeljak</t>
        </is>
      </c>
      <c r="C18" s="10" t="inlineStr">
        <is>
          <t>Plastika i metal (PET/MET)</t>
        </is>
      </c>
      <c r="D18" s="17" t="n"/>
    </row>
    <row r="19">
      <c r="A19" s="26" t="n">
        <v>46083</v>
      </c>
      <c r="B19" s="17" t="inlineStr">
        <is>
          <t>ponedjeljak</t>
        </is>
      </c>
      <c r="C19" s="11" t="inlineStr">
        <is>
          <t>Papir (PAP)</t>
        </is>
      </c>
      <c r="D19" s="17" t="n"/>
    </row>
    <row r="20">
      <c r="A20" s="26" t="n">
        <v>46084</v>
      </c>
      <c r="B20" s="17" t="inlineStr">
        <is>
          <t>utorak</t>
        </is>
      </c>
      <c r="C20" s="9" t="inlineStr">
        <is>
          <t>Biootpad</t>
        </is>
      </c>
      <c r="D20" s="17" t="n"/>
    </row>
    <row r="21">
      <c r="A21" s="26" t="n">
        <v>46085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46092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46098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6" t="n">
        <v>46099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46106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46111</v>
      </c>
      <c r="B26" s="17" t="inlineStr">
        <is>
          <t>ponedjeljak</t>
        </is>
      </c>
      <c r="C26" s="10" t="inlineStr">
        <is>
          <t>Plastika i metal (PET/MET)</t>
        </is>
      </c>
      <c r="D26" s="17" t="n"/>
    </row>
    <row r="27">
      <c r="A27" s="26" t="n">
        <v>46111</v>
      </c>
      <c r="B27" s="17" t="inlineStr">
        <is>
          <t>ponedjeljak</t>
        </is>
      </c>
      <c r="C27" s="11" t="inlineStr">
        <is>
          <t>Papir (PAP)</t>
        </is>
      </c>
      <c r="D27" s="17" t="n"/>
    </row>
    <row r="28">
      <c r="A28" s="26" t="n">
        <v>46112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6" t="n">
        <v>46113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46120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46126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6" t="n">
        <v>46127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46134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46139</v>
      </c>
      <c r="B34" s="17" t="inlineStr">
        <is>
          <t>ponedjeljak</t>
        </is>
      </c>
      <c r="C34" s="10" t="inlineStr">
        <is>
          <t>Plastika i metal (PET/MET)</t>
        </is>
      </c>
      <c r="D34" s="17" t="n"/>
    </row>
    <row r="35">
      <c r="A35" s="26" t="n">
        <v>46139</v>
      </c>
      <c r="B35" s="17" t="inlineStr">
        <is>
          <t>ponedjeljak</t>
        </is>
      </c>
      <c r="C35" s="11" t="inlineStr">
        <is>
          <t>Papir (PAP)</t>
        </is>
      </c>
      <c r="D35" s="17" t="n"/>
    </row>
    <row r="36">
      <c r="A36" s="26" t="n">
        <v>46140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6" t="n">
        <v>46141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46148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46154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6" t="n">
        <v>46155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46162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46167</v>
      </c>
      <c r="B42" s="17" t="inlineStr">
        <is>
          <t>ponedjeljak</t>
        </is>
      </c>
      <c r="C42" s="10" t="inlineStr">
        <is>
          <t>Plastika i metal (PET/MET)</t>
        </is>
      </c>
      <c r="D42" s="17" t="n"/>
    </row>
    <row r="43">
      <c r="A43" s="26" t="n">
        <v>46167</v>
      </c>
      <c r="B43" s="17" t="inlineStr">
        <is>
          <t>ponedjeljak</t>
        </is>
      </c>
      <c r="C43" s="11" t="inlineStr">
        <is>
          <t>Papir (PAP)</t>
        </is>
      </c>
      <c r="D43" s="17" t="n"/>
    </row>
    <row r="44">
      <c r="A44" s="26" t="n">
        <v>46168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6" t="n">
        <v>46169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46176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6" t="n">
        <v>46182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6" t="n">
        <v>46183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46190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46193</v>
      </c>
      <c r="B50" s="17" t="inlineStr">
        <is>
          <t>subota</t>
        </is>
      </c>
      <c r="C50" s="10" t="inlineStr">
        <is>
          <t>Plastika i metal (PET/MET)</t>
        </is>
      </c>
      <c r="D50" s="17" t="inlineStr">
        <is>
          <t>Pomaknuto zbog neradnog dana u tjednu</t>
        </is>
      </c>
    </row>
    <row r="51">
      <c r="A51" s="26" t="n">
        <v>46193</v>
      </c>
      <c r="B51" s="17" t="inlineStr">
        <is>
          <t>subota</t>
        </is>
      </c>
      <c r="C51" s="11" t="inlineStr">
        <is>
          <t>Papir (PAP)</t>
        </is>
      </c>
      <c r="D51" s="17" t="inlineStr">
        <is>
          <t>Pomaknuto zbog neradnog dana u tjednu</t>
        </is>
      </c>
    </row>
    <row r="52">
      <c r="A52" s="26" t="n">
        <v>46196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6" t="n">
        <v>46197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46204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6" t="n">
        <v>46210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6" t="n">
        <v>46211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46218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46223</v>
      </c>
      <c r="B58" s="17" t="inlineStr">
        <is>
          <t>ponedjeljak</t>
        </is>
      </c>
      <c r="C58" s="10" t="inlineStr">
        <is>
          <t>Plastika i metal (PET/MET)</t>
        </is>
      </c>
      <c r="D58" s="17" t="n"/>
    </row>
    <row r="59">
      <c r="A59" s="26" t="n">
        <v>46223</v>
      </c>
      <c r="B59" s="17" t="inlineStr">
        <is>
          <t>ponedjeljak</t>
        </is>
      </c>
      <c r="C59" s="11" t="inlineStr">
        <is>
          <t>Papir (PAP)</t>
        </is>
      </c>
      <c r="D59" s="17" t="n"/>
    </row>
    <row r="60">
      <c r="A60" s="26" t="n">
        <v>46224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6" t="n">
        <v>46225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46232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6" t="n">
        <v>46238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6" t="n">
        <v>46242</v>
      </c>
      <c r="B64" s="17" t="inlineStr">
        <is>
          <t>subota</t>
        </is>
      </c>
      <c r="C64" s="5" t="inlineStr">
        <is>
          <t>Miješani komunalni otpad</t>
        </is>
      </c>
      <c r="D64" s="17" t="inlineStr">
        <is>
          <t>Pomaknuto zbog neradnog dana u tjednu</t>
        </is>
      </c>
    </row>
    <row r="65">
      <c r="A65" s="26" t="n">
        <v>46246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46251</v>
      </c>
      <c r="B66" s="17" t="inlineStr">
        <is>
          <t>ponedjeljak</t>
        </is>
      </c>
      <c r="C66" s="10" t="inlineStr">
        <is>
          <t>Plastika i metal (PET/MET)</t>
        </is>
      </c>
      <c r="D66" s="17" t="n"/>
    </row>
    <row r="67">
      <c r="A67" s="26" t="n">
        <v>46251</v>
      </c>
      <c r="B67" s="17" t="inlineStr">
        <is>
          <t>ponedjeljak</t>
        </is>
      </c>
      <c r="C67" s="11" t="inlineStr">
        <is>
          <t>Papir (PAP)</t>
        </is>
      </c>
      <c r="D67" s="17" t="n"/>
    </row>
    <row r="68">
      <c r="A68" s="26" t="n">
        <v>46252</v>
      </c>
      <c r="B68" s="17" t="inlineStr">
        <is>
          <t>utorak</t>
        </is>
      </c>
      <c r="C68" s="9" t="inlineStr">
        <is>
          <t>Biootpad</t>
        </is>
      </c>
      <c r="D68" s="17" t="n"/>
    </row>
    <row r="69">
      <c r="A69" s="26" t="n">
        <v>46253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6" t="n">
        <v>46260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6" t="n">
        <v>46266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6" t="n">
        <v>46267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46274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46279</v>
      </c>
      <c r="B74" s="17" t="inlineStr">
        <is>
          <t>ponedjeljak</t>
        </is>
      </c>
      <c r="C74" s="10" t="inlineStr">
        <is>
          <t>Plastika i metal (PET/MET)</t>
        </is>
      </c>
      <c r="D74" s="17" t="n"/>
    </row>
    <row r="75">
      <c r="A75" s="26" t="n">
        <v>46279</v>
      </c>
      <c r="B75" s="17" t="inlineStr">
        <is>
          <t>ponedjeljak</t>
        </is>
      </c>
      <c r="C75" s="11" t="inlineStr">
        <is>
          <t>Papir (PAP)</t>
        </is>
      </c>
      <c r="D75" s="17" t="n"/>
    </row>
    <row r="76">
      <c r="A76" s="26" t="n">
        <v>46280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6" t="n">
        <v>46281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6" t="n">
        <v>46288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6" t="n">
        <v>46294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6" t="n">
        <v>46295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6" t="n">
        <v>46302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46307</v>
      </c>
      <c r="B82" s="17" t="inlineStr">
        <is>
          <t>ponedjeljak</t>
        </is>
      </c>
      <c r="C82" s="10" t="inlineStr">
        <is>
          <t>Plastika i metal (PET/MET)</t>
        </is>
      </c>
      <c r="D82" s="17" t="n"/>
    </row>
    <row r="83">
      <c r="A83" s="26" t="n">
        <v>46307</v>
      </c>
      <c r="B83" s="17" t="inlineStr">
        <is>
          <t>ponedjeljak</t>
        </is>
      </c>
      <c r="C83" s="11" t="inlineStr">
        <is>
          <t>Papir (PAP)</t>
        </is>
      </c>
      <c r="D83" s="17" t="n"/>
    </row>
    <row r="84">
      <c r="A84" s="26" t="n">
        <v>46308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6" t="n">
        <v>46309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46316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6" t="n">
        <v>46322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6" t="n">
        <v>46323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6" t="n">
        <v>46330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46335</v>
      </c>
      <c r="B90" s="17" t="inlineStr">
        <is>
          <t>ponedjeljak</t>
        </is>
      </c>
      <c r="C90" s="10" t="inlineStr">
        <is>
          <t>Plastika i metal (PET/MET)</t>
        </is>
      </c>
      <c r="D90" s="17" t="n"/>
    </row>
    <row r="91">
      <c r="A91" s="26" t="n">
        <v>46335</v>
      </c>
      <c r="B91" s="17" t="inlineStr">
        <is>
          <t>ponedjeljak</t>
        </is>
      </c>
      <c r="C91" s="11" t="inlineStr">
        <is>
          <t>Papir (PAP)</t>
        </is>
      </c>
      <c r="D91" s="17" t="n"/>
    </row>
    <row r="92">
      <c r="A92" s="26" t="n">
        <v>46336</v>
      </c>
      <c r="B92" s="17" t="inlineStr">
        <is>
          <t>utorak</t>
        </is>
      </c>
      <c r="C92" s="9" t="inlineStr">
        <is>
          <t>Biootpad</t>
        </is>
      </c>
      <c r="D92" s="17" t="n"/>
    </row>
    <row r="93">
      <c r="A93" s="26" t="n">
        <v>46337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6" t="n">
        <v>46347</v>
      </c>
      <c r="B94" s="17" t="inlineStr">
        <is>
          <t>subota</t>
        </is>
      </c>
      <c r="C94" s="5" t="inlineStr">
        <is>
          <t>Miješani komunalni otpad</t>
        </is>
      </c>
      <c r="D94" s="17" t="inlineStr">
        <is>
          <t>Pomaknuto zbog neradnog dana u tjednu</t>
        </is>
      </c>
    </row>
    <row r="95">
      <c r="A95" s="26" t="n">
        <v>46350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6" t="n">
        <v>46351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6" t="n">
        <v>46358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46363</v>
      </c>
      <c r="B98" s="17" t="inlineStr">
        <is>
          <t>ponedjeljak</t>
        </is>
      </c>
      <c r="C98" s="10" t="inlineStr">
        <is>
          <t>Plastika i metal (PET/MET)</t>
        </is>
      </c>
      <c r="D98" s="17" t="n"/>
    </row>
    <row r="99">
      <c r="A99" s="26" t="n">
        <v>46363</v>
      </c>
      <c r="B99" s="17" t="inlineStr">
        <is>
          <t>ponedjeljak</t>
        </is>
      </c>
      <c r="C99" s="11" t="inlineStr">
        <is>
          <t>Papir (PAP)</t>
        </is>
      </c>
      <c r="D99" s="17" t="n"/>
    </row>
    <row r="100">
      <c r="A100" s="26" t="n">
        <v>46364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6" t="n">
        <v>46365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46372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6" t="n">
        <v>46378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6" t="n">
        <v>46379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6" t="n">
        <v>46386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Domaslovec</t>
        </is>
      </c>
    </row>
    <row r="6">
      <c r="A6" s="17" t="inlineStr">
        <is>
          <t>Farkaševec Samoborski</t>
        </is>
      </c>
    </row>
    <row r="7">
      <c r="A7" s="17" t="inlineStr">
        <is>
          <t>Hrastina Samoborska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2026-10-07T17:51:36Z</dcterms:created>
  <dcterms:modified xmlns:dcterms="http://purl.org/dc/terms/" xmlns:xsi="http://www.w3.org/2001/XMLSchema-instance" xsi:type="dcterms:W3CDTF">2026-10-07T17:51:36Z</dcterms:modified>
</cp:coreProperties>
</file>
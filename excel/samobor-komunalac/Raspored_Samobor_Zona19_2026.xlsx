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'Raspored'!$A$4:$H$83</definedName>
    <definedName name="_xlnm._FilterDatabase" localSheetId="2" hidden="1">'Po vrsti'!$A$1:$D$106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IFERROR(1/(1/_xlfn.MINIFS(Raspored!$A$5:$A$83,Raspored!$D$5:$D$83,"x",Raspored!$A$5:$A$83,"&gt;="&amp;$B$3)),"nema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COUNTIF(Raspored!$D$5:$D$83,"x")</f>
        <v/>
      </c>
    </row>
    <row r="7">
      <c r="A7" s="9" t="inlineStr">
        <is>
          <t>Biootpad</t>
        </is>
      </c>
      <c r="B7" s="6">
        <f>IFERROR(1/(1/_xlfn.MINIFS(Raspored!$A$5:$A$83,Raspored!$E$5:$E$83,"x",Raspored!$A$5:$A$83,"&gt;="&amp;$B$3)),"nema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COUNTIF(Raspored!$E$5:$E$83,"x")</f>
        <v/>
      </c>
    </row>
    <row r="8">
      <c r="A8" s="10" t="inlineStr">
        <is>
          <t>Plastika i metal (PET/MET)</t>
        </is>
      </c>
      <c r="B8" s="6">
        <f>IFERROR(1/(1/_xlfn.MINIFS(Raspored!$A$5:$A$83,Raspored!$F$5:$F$83,"x",Raspored!$A$5:$A$83,"&gt;="&amp;$B$3)),"nema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COUNTIF(Raspored!$F$5:$F$83,"x")</f>
        <v/>
      </c>
    </row>
    <row r="9">
      <c r="A9" s="11" t="inlineStr">
        <is>
          <t>Papir (PAP)</t>
        </is>
      </c>
      <c r="B9" s="6">
        <f>IFERROR(1/(1/_xlfn.MINIFS(Raspored!$A$5:$A$83,Raspored!$G$5:$G$83,"x",Raspored!$A$5:$A$83,"&gt;="&amp;$B$3)),"nema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 (PET/MET)</t>
        </is>
      </c>
      <c r="E12" s="16" t="inlineStr">
        <is>
          <t>Papir (PAP)</t>
        </is>
      </c>
    </row>
    <row r="13">
      <c r="A13" s="17" t="inlineStr">
        <is>
          <t>siječanj</t>
        </is>
      </c>
      <c r="B13" s="7">
        <f>COUNTIFS(Raspored!$C$5:$C$83,$A13,Raspored!$D$5:$D$83,"x")</f>
        <v/>
      </c>
      <c r="C13" s="7">
        <f>COUNTIFS(Raspored!$C$5:$C$83,$A13,Raspored!$E$5:$E$83,"x")</f>
        <v/>
      </c>
      <c r="D13" s="7">
        <f>COUNTIFS(Raspored!$C$5:$C$83,$A13,Raspored!$F$5:$F$83,"x")</f>
        <v/>
      </c>
      <c r="E13" s="7">
        <f>COUNTIFS(Raspored!$C$5:$C$83,$A13,Raspored!$G$5:$G$83,"x")</f>
        <v/>
      </c>
    </row>
    <row r="14">
      <c r="A14" s="17" t="inlineStr">
        <is>
          <t>veljača</t>
        </is>
      </c>
      <c r="B14" s="7">
        <f>COUNTIFS(Raspored!$C$5:$C$83,$A14,Raspored!$D$5:$D$83,"x")</f>
        <v/>
      </c>
      <c r="C14" s="7">
        <f>COUNTIFS(Raspored!$C$5:$C$83,$A14,Raspored!$E$5:$E$83,"x")</f>
        <v/>
      </c>
      <c r="D14" s="7">
        <f>COUNTIFS(Raspored!$C$5:$C$83,$A14,Raspored!$F$5:$F$83,"x")</f>
        <v/>
      </c>
      <c r="E14" s="7">
        <f>COUNTIFS(Raspored!$C$5:$C$83,$A14,Raspored!$G$5:$G$83,"x")</f>
        <v/>
      </c>
    </row>
    <row r="15">
      <c r="A15" s="17" t="inlineStr">
        <is>
          <t>ožujak</t>
        </is>
      </c>
      <c r="B15" s="7">
        <f>COUNTIFS(Raspored!$C$5:$C$83,$A15,Raspored!$D$5:$D$83,"x")</f>
        <v/>
      </c>
      <c r="C15" s="7">
        <f>COUNTIFS(Raspored!$C$5:$C$83,$A15,Raspored!$E$5:$E$83,"x")</f>
        <v/>
      </c>
      <c r="D15" s="7">
        <f>COUNTIFS(Raspored!$C$5:$C$83,$A15,Raspored!$F$5:$F$83,"x")</f>
        <v/>
      </c>
      <c r="E15" s="7">
        <f>COUNTIFS(Raspored!$C$5:$C$83,$A15,Raspored!$G$5:$G$83,"x")</f>
        <v/>
      </c>
    </row>
    <row r="16">
      <c r="A16" s="17" t="inlineStr">
        <is>
          <t>travanj</t>
        </is>
      </c>
      <c r="B16" s="7">
        <f>COUNTIFS(Raspored!$C$5:$C$83,$A16,Raspored!$D$5:$D$83,"x")</f>
        <v/>
      </c>
      <c r="C16" s="7">
        <f>COUNTIFS(Raspored!$C$5:$C$83,$A16,Raspored!$E$5:$E$83,"x")</f>
        <v/>
      </c>
      <c r="D16" s="7">
        <f>COUNTIFS(Raspored!$C$5:$C$83,$A16,Raspored!$F$5:$F$83,"x")</f>
        <v/>
      </c>
      <c r="E16" s="7">
        <f>COUNTIFS(Raspored!$C$5:$C$83,$A16,Raspored!$G$5:$G$83,"x")</f>
        <v/>
      </c>
    </row>
    <row r="17">
      <c r="A17" s="17" t="inlineStr">
        <is>
          <t>svibanj</t>
        </is>
      </c>
      <c r="B17" s="7">
        <f>COUNTIFS(Raspored!$C$5:$C$83,$A17,Raspored!$D$5:$D$83,"x")</f>
        <v/>
      </c>
      <c r="C17" s="7">
        <f>COUNTIFS(Raspored!$C$5:$C$83,$A17,Raspored!$E$5:$E$83,"x")</f>
        <v/>
      </c>
      <c r="D17" s="7">
        <f>COUNTIFS(Raspored!$C$5:$C$83,$A17,Raspored!$F$5:$F$83,"x")</f>
        <v/>
      </c>
      <c r="E17" s="7">
        <f>COUNTIFS(Raspored!$C$5:$C$83,$A17,Raspored!$G$5:$G$83,"x")</f>
        <v/>
      </c>
    </row>
    <row r="18">
      <c r="A18" s="17" t="inlineStr">
        <is>
          <t>lipanj</t>
        </is>
      </c>
      <c r="B18" s="7">
        <f>COUNTIFS(Raspored!$C$5:$C$83,$A18,Raspored!$D$5:$D$83,"x")</f>
        <v/>
      </c>
      <c r="C18" s="7">
        <f>COUNTIFS(Raspored!$C$5:$C$83,$A18,Raspored!$E$5:$E$83,"x")</f>
        <v/>
      </c>
      <c r="D18" s="7">
        <f>COUNTIFS(Raspored!$C$5:$C$83,$A18,Raspored!$F$5:$F$83,"x")</f>
        <v/>
      </c>
      <c r="E18" s="7">
        <f>COUNTIFS(Raspored!$C$5:$C$83,$A18,Raspored!$G$5:$G$83,"x")</f>
        <v/>
      </c>
    </row>
    <row r="19">
      <c r="A19" s="17" t="inlineStr">
        <is>
          <t>srpanj</t>
        </is>
      </c>
      <c r="B19" s="7">
        <f>COUNTIFS(Raspored!$C$5:$C$83,$A19,Raspored!$D$5:$D$83,"x")</f>
        <v/>
      </c>
      <c r="C19" s="7">
        <f>COUNTIFS(Raspored!$C$5:$C$83,$A19,Raspored!$E$5:$E$83,"x")</f>
        <v/>
      </c>
      <c r="D19" s="7">
        <f>COUNTIFS(Raspored!$C$5:$C$83,$A19,Raspored!$F$5:$F$83,"x")</f>
        <v/>
      </c>
      <c r="E19" s="7">
        <f>COUNTIFS(Raspored!$C$5:$C$83,$A19,Raspored!$G$5:$G$83,"x")</f>
        <v/>
      </c>
    </row>
    <row r="20">
      <c r="A20" s="17" t="inlineStr">
        <is>
          <t>kolovoz</t>
        </is>
      </c>
      <c r="B20" s="7">
        <f>COUNTIFS(Raspored!$C$5:$C$83,$A20,Raspored!$D$5:$D$83,"x")</f>
        <v/>
      </c>
      <c r="C20" s="7">
        <f>COUNTIFS(Raspored!$C$5:$C$83,$A20,Raspored!$E$5:$E$83,"x")</f>
        <v/>
      </c>
      <c r="D20" s="7">
        <f>COUNTIFS(Raspored!$C$5:$C$83,$A20,Raspored!$F$5:$F$83,"x")</f>
        <v/>
      </c>
      <c r="E20" s="7">
        <f>COUNTIFS(Raspored!$C$5:$C$83,$A20,Raspored!$G$5:$G$83,"x")</f>
        <v/>
      </c>
    </row>
    <row r="21">
      <c r="A21" s="17" t="inlineStr">
        <is>
          <t>rujan</t>
        </is>
      </c>
      <c r="B21" s="7">
        <f>COUNTIFS(Raspored!$C$5:$C$83,$A21,Raspored!$D$5:$D$83,"x")</f>
        <v/>
      </c>
      <c r="C21" s="7">
        <f>COUNTIFS(Raspored!$C$5:$C$83,$A21,Raspored!$E$5:$E$83,"x")</f>
        <v/>
      </c>
      <c r="D21" s="7">
        <f>COUNTIFS(Raspored!$C$5:$C$83,$A21,Raspored!$F$5:$F$83,"x")</f>
        <v/>
      </c>
      <c r="E21" s="7">
        <f>COUNTIFS(Raspored!$C$5:$C$83,$A21,Raspored!$G$5:$G$83,"x")</f>
        <v/>
      </c>
    </row>
    <row r="22">
      <c r="A22" s="17" t="inlineStr">
        <is>
          <t>listopad</t>
        </is>
      </c>
      <c r="B22" s="7">
        <f>COUNTIFS(Raspored!$C$5:$C$83,$A22,Raspored!$D$5:$D$83,"x")</f>
        <v/>
      </c>
      <c r="C22" s="7">
        <f>COUNTIFS(Raspored!$C$5:$C$83,$A22,Raspored!$E$5:$E$83,"x")</f>
        <v/>
      </c>
      <c r="D22" s="7">
        <f>COUNTIFS(Raspored!$C$5:$C$83,$A22,Raspored!$F$5:$F$83,"x")</f>
        <v/>
      </c>
      <c r="E22" s="7">
        <f>COUNTIFS(Raspored!$C$5:$C$83,$A22,Raspored!$G$5:$G$83,"x")</f>
        <v/>
      </c>
    </row>
    <row r="23">
      <c r="A23" s="17" t="inlineStr">
        <is>
          <t>studeni</t>
        </is>
      </c>
      <c r="B23" s="7">
        <f>COUNTIFS(Raspored!$C$5:$C$83,$A23,Raspored!$D$5:$D$83,"x")</f>
        <v/>
      </c>
      <c r="C23" s="7">
        <f>COUNTIFS(Raspored!$C$5:$C$83,$A23,Raspored!$E$5:$E$83,"x")</f>
        <v/>
      </c>
      <c r="D23" s="7">
        <f>COUNTIFS(Raspored!$C$5:$C$83,$A23,Raspored!$F$5:$F$83,"x")</f>
        <v/>
      </c>
      <c r="E23" s="7">
        <f>COUNTIFS(Raspored!$C$5:$C$83,$A23,Raspored!$G$5:$G$83,"x")</f>
        <v/>
      </c>
    </row>
    <row r="24">
      <c r="A24" s="17" t="inlineStr">
        <is>
          <t>prosinac</t>
        </is>
      </c>
      <c r="B24" s="7">
        <f>COUNTIFS(Raspored!$C$5:$C$83,$A24,Raspored!$D$5:$D$83,"x")</f>
        <v/>
      </c>
      <c r="C24" s="7">
        <f>COUNTIFS(Raspored!$C$5:$C$83,$A24,Raspored!$E$5:$E$83,"x")</f>
        <v/>
      </c>
      <c r="D24" s="7">
        <f>COUNTIFS(Raspored!$C$5:$C$83,$A24,Raspored!$F$5:$F$83,"x")</f>
        <v/>
      </c>
      <c r="E24" s="7">
        <f>COUNTIFS(Raspored!$C$5:$C$83,$A24,Raspored!$G$5:$G$83,"x")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Biootpad se odvozi samo u zonama i naseljima navedenima u rasporedu odvoza biootpada.</t>
        </is>
      </c>
    </row>
    <row r="30">
      <c r="A30" s="21" t="inlineStr">
        <is>
          <t>• Odvoz se obavlja od 6 do 21 sat; spremnike iznijeti do 6 sati na dan odvoza.</t>
        </is>
      </c>
    </row>
    <row r="31">
      <c r="A31" s="21" t="inlineStr">
        <is>
          <t>• Na blagdane se odvozi u zamjenskim terminima (uglavnom subotom), označeni su kao pomaknuti.</t>
        </is>
      </c>
    </row>
    <row r="32">
      <c r="A32" s="21" t="inlineStr">
        <is>
          <t>• Glomazni otpad: šest termina godišnje po naselju, samo uz zahtjev (glomazni@komunalac-samobor.hr) najkasnije tjedan dana prije; termini su u PDF obavijesti na stranici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19 (Samobor)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 (PET/MET)</t>
        </is>
      </c>
      <c r="G4" s="16" t="inlineStr">
        <is>
          <t>Papir (PAP)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24" t="n">
        <v>46025</v>
      </c>
      <c r="B6" s="25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inlineStr">
        <is>
          <t>Pomaknuto zbog neradnog dana u tjednu</t>
        </is>
      </c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46052</v>
      </c>
      <c r="B12" s="7" t="inlineStr">
        <is>
          <t>petak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46058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46065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46066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46072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46080</v>
      </c>
      <c r="B18" s="7" t="inlineStr">
        <is>
          <t>petak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46086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46093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46094</v>
      </c>
      <c r="B21" s="7" t="inlineStr">
        <is>
          <t>petak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46100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46108</v>
      </c>
      <c r="B24" s="7" t="inlineStr">
        <is>
          <t>petak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46114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46121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46122</v>
      </c>
      <c r="B27" s="7" t="inlineStr">
        <is>
          <t>petak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46128</v>
      </c>
      <c r="B28" s="7" t="inlineStr">
        <is>
          <t>četvrtak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46135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46136</v>
      </c>
      <c r="B30" s="7" t="inlineStr">
        <is>
          <t>petak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46142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46149</v>
      </c>
      <c r="B32" s="7" t="inlineStr">
        <is>
          <t>četvrtak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46150</v>
      </c>
      <c r="B33" s="7" t="inlineStr">
        <is>
          <t>petak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46156</v>
      </c>
      <c r="B34" s="7" t="inlineStr">
        <is>
          <t>četvrtak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46163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46164</v>
      </c>
      <c r="B36" s="7" t="inlineStr">
        <is>
          <t>petak</t>
        </is>
      </c>
      <c r="C36" s="7" t="inlineStr">
        <is>
          <t>svibanj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46170</v>
      </c>
      <c r="B37" s="7" t="inlineStr">
        <is>
          <t>četvrtak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46178</v>
      </c>
      <c r="B38" s="7" t="inlineStr">
        <is>
          <t>petak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inlineStr">
        <is>
          <t>x</t>
        </is>
      </c>
      <c r="G38" s="7" t="inlineStr">
        <is>
          <t>x</t>
        </is>
      </c>
      <c r="H38" s="23" t="n"/>
    </row>
    <row r="39">
      <c r="A39" s="24" t="n">
        <v>46179</v>
      </c>
      <c r="B39" s="25" t="inlineStr">
        <is>
          <t>subota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7" t="n"/>
      <c r="H39" s="23" t="inlineStr">
        <is>
          <t>Pomaknuto zbog neradnog dana u tjednu</t>
        </is>
      </c>
    </row>
    <row r="40">
      <c r="A40" s="6" t="n">
        <v>46184</v>
      </c>
      <c r="B40" s="7" t="inlineStr">
        <is>
          <t>četvrtak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46191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46192</v>
      </c>
      <c r="B42" s="7" t="inlineStr">
        <is>
          <t>petak</t>
        </is>
      </c>
      <c r="C42" s="7" t="inlineStr">
        <is>
          <t>lipanj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46198</v>
      </c>
      <c r="B43" s="7" t="inlineStr">
        <is>
          <t>četvrtak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46205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46206</v>
      </c>
      <c r="B45" s="7" t="inlineStr">
        <is>
          <t>petak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46212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46219</v>
      </c>
      <c r="B47" s="7" t="inlineStr">
        <is>
          <t>četvrtak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46220</v>
      </c>
      <c r="B48" s="7" t="inlineStr">
        <is>
          <t>petak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46226</v>
      </c>
      <c r="B49" s="7" t="inlineStr">
        <is>
          <t>četvrtak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46233</v>
      </c>
      <c r="B50" s="7" t="inlineStr">
        <is>
          <t>četvrtak</t>
        </is>
      </c>
      <c r="C50" s="7" t="inlineStr">
        <is>
          <t>srpanj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46234</v>
      </c>
      <c r="B51" s="7" t="inlineStr">
        <is>
          <t>petak</t>
        </is>
      </c>
      <c r="C51" s="7" t="inlineStr">
        <is>
          <t>srpanj</t>
        </is>
      </c>
      <c r="D51" s="7" t="n"/>
      <c r="E51" s="7" t="inlineStr">
        <is>
          <t>x</t>
        </is>
      </c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46240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46247</v>
      </c>
      <c r="B53" s="7" t="inlineStr">
        <is>
          <t>četvrtak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46248</v>
      </c>
      <c r="B54" s="7" t="inlineStr">
        <is>
          <t>petak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46254</v>
      </c>
      <c r="B55" s="7" t="inlineStr">
        <is>
          <t>četvrtak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46261</v>
      </c>
      <c r="B56" s="7" t="inlineStr">
        <is>
          <t>četvrtak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46262</v>
      </c>
      <c r="B57" s="7" t="inlineStr">
        <is>
          <t>petak</t>
        </is>
      </c>
      <c r="C57" s="7" t="inlineStr">
        <is>
          <t>kolovoz</t>
        </is>
      </c>
      <c r="D57" s="7" t="n"/>
      <c r="E57" s="7" t="inlineStr">
        <is>
          <t>x</t>
        </is>
      </c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46268</v>
      </c>
      <c r="B58" s="7" t="inlineStr">
        <is>
          <t>četvrtak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46275</v>
      </c>
      <c r="B59" s="7" t="inlineStr">
        <is>
          <t>četvrtak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46276</v>
      </c>
      <c r="B60" s="7" t="inlineStr">
        <is>
          <t>petak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46282</v>
      </c>
      <c r="B61" s="7" t="inlineStr">
        <is>
          <t>četvrtak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46289</v>
      </c>
      <c r="B62" s="7" t="inlineStr">
        <is>
          <t>četvrtak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46290</v>
      </c>
      <c r="B63" s="7" t="inlineStr">
        <is>
          <t>petak</t>
        </is>
      </c>
      <c r="C63" s="7" t="inlineStr">
        <is>
          <t>rujan</t>
        </is>
      </c>
      <c r="D63" s="7" t="n"/>
      <c r="E63" s="7" t="inlineStr">
        <is>
          <t>x</t>
        </is>
      </c>
      <c r="F63" s="7" t="inlineStr">
        <is>
          <t>x</t>
        </is>
      </c>
      <c r="G63" s="7" t="inlineStr">
        <is>
          <t>x</t>
        </is>
      </c>
      <c r="H63" s="23" t="n"/>
    </row>
    <row r="64">
      <c r="A64" s="6" t="n">
        <v>46296</v>
      </c>
      <c r="B64" s="7" t="inlineStr">
        <is>
          <t>četvrtak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46303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46304</v>
      </c>
      <c r="B66" s="7" t="inlineStr">
        <is>
          <t>petak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46310</v>
      </c>
      <c r="B67" s="7" t="inlineStr">
        <is>
          <t>četvrtak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46317</v>
      </c>
      <c r="B68" s="7" t="inlineStr">
        <is>
          <t>četvrtak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46318</v>
      </c>
      <c r="B69" s="7" t="inlineStr">
        <is>
          <t>petak</t>
        </is>
      </c>
      <c r="C69" s="7" t="inlineStr">
        <is>
          <t>listopad</t>
        </is>
      </c>
      <c r="D69" s="7" t="n"/>
      <c r="E69" s="7" t="inlineStr">
        <is>
          <t>x</t>
        </is>
      </c>
      <c r="F69" s="7" t="inlineStr">
        <is>
          <t>x</t>
        </is>
      </c>
      <c r="G69" s="7" t="inlineStr">
        <is>
          <t>x</t>
        </is>
      </c>
      <c r="H69" s="23" t="n"/>
    </row>
    <row r="70">
      <c r="A70" s="6" t="n">
        <v>46324</v>
      </c>
      <c r="B70" s="7" t="inlineStr">
        <is>
          <t>četvrtak</t>
        </is>
      </c>
      <c r="C70" s="7" t="inlineStr">
        <is>
          <t>listopad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46331</v>
      </c>
      <c r="B71" s="7" t="inlineStr">
        <is>
          <t>četvrtak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46332</v>
      </c>
      <c r="B72" s="7" t="inlineStr">
        <is>
          <t>petak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46338</v>
      </c>
      <c r="B73" s="7" t="inlineStr">
        <is>
          <t>četvrtak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46345</v>
      </c>
      <c r="B74" s="7" t="inlineStr">
        <is>
          <t>četvrtak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46346</v>
      </c>
      <c r="B75" s="7" t="inlineStr">
        <is>
          <t>petak</t>
        </is>
      </c>
      <c r="C75" s="7" t="inlineStr">
        <is>
          <t>studeni</t>
        </is>
      </c>
      <c r="D75" s="7" t="n"/>
      <c r="E75" s="7" t="inlineStr">
        <is>
          <t>x</t>
        </is>
      </c>
      <c r="F75" s="7" t="inlineStr">
        <is>
          <t>x</t>
        </is>
      </c>
      <c r="G75" s="7" t="inlineStr">
        <is>
          <t>x</t>
        </is>
      </c>
      <c r="H75" s="23" t="n"/>
    </row>
    <row r="76">
      <c r="A76" s="6" t="n">
        <v>46352</v>
      </c>
      <c r="B76" s="7" t="inlineStr">
        <is>
          <t>četvrtak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46359</v>
      </c>
      <c r="B77" s="7" t="inlineStr">
        <is>
          <t>četvrtak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46360</v>
      </c>
      <c r="B78" s="7" t="inlineStr">
        <is>
          <t>petak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46366</v>
      </c>
      <c r="B79" s="7" t="inlineStr">
        <is>
          <t>četvrtak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46373</v>
      </c>
      <c r="B80" s="7" t="inlineStr">
        <is>
          <t>četvrtak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46374</v>
      </c>
      <c r="B81" s="7" t="inlineStr">
        <is>
          <t>petak</t>
        </is>
      </c>
      <c r="C81" s="7" t="inlineStr">
        <is>
          <t>prosinac</t>
        </is>
      </c>
      <c r="D81" s="7" t="n"/>
      <c r="E81" s="7" t="inlineStr">
        <is>
          <t>x</t>
        </is>
      </c>
      <c r="F81" s="7" t="inlineStr">
        <is>
          <t>x</t>
        </is>
      </c>
      <c r="G81" s="7" t="inlineStr">
        <is>
          <t>x</t>
        </is>
      </c>
      <c r="H81" s="23" t="n"/>
    </row>
    <row r="82">
      <c r="A82" s="6" t="n">
        <v>46380</v>
      </c>
      <c r="B82" s="7" t="inlineStr">
        <is>
          <t>četvrtak</t>
        </is>
      </c>
      <c r="C82" s="7" t="inlineStr">
        <is>
          <t>prosinac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46387</v>
      </c>
      <c r="B83" s="7" t="inlineStr">
        <is>
          <t>četvrtak</t>
        </is>
      </c>
      <c r="C83" s="7" t="inlineStr">
        <is>
          <t>prosinac</t>
        </is>
      </c>
      <c r="D83" s="7" t="inlineStr">
        <is>
          <t>x</t>
        </is>
      </c>
      <c r="E83" s="7" t="n"/>
      <c r="F83" s="7" t="n"/>
      <c r="G83" s="7" t="n"/>
      <c r="H83" s="23" t="n"/>
    </row>
  </sheetData>
  <autoFilter ref="A4:H83"/>
  <conditionalFormatting sqref="D5:D83">
    <cfRule type="expression" priority="1" dxfId="0">
      <formula>D5="x"</formula>
    </cfRule>
  </conditionalFormatting>
  <conditionalFormatting sqref="E5:E83">
    <cfRule type="expression" priority="2" dxfId="1">
      <formula>E5="x"</formula>
    </cfRule>
  </conditionalFormatting>
  <conditionalFormatting sqref="F5:F83">
    <cfRule type="expression" priority="3" dxfId="2">
      <formula>F5="x"</formula>
    </cfRule>
  </conditionalFormatting>
  <conditionalFormatting sqref="G5:G83">
    <cfRule type="expression" priority="4" dxfId="3">
      <formula>G5="x"</formula>
    </cfRule>
  </conditionalFormatting>
  <conditionalFormatting sqref="A5:H8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6" t="n">
        <v>46025</v>
      </c>
      <c r="B3" s="17" t="inlineStr">
        <is>
          <t>subota</t>
        </is>
      </c>
      <c r="C3" s="5" t="inlineStr">
        <is>
          <t>Miješani komunalni otpad</t>
        </is>
      </c>
      <c r="D3" s="17" t="inlineStr">
        <is>
          <t>Pomaknuto zbog neradnog dana u tjednu</t>
        </is>
      </c>
    </row>
    <row r="4">
      <c r="A4" s="26" t="n">
        <v>46030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6" t="n">
        <v>46037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6" t="n">
        <v>46038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6" t="n">
        <v>46038</v>
      </c>
      <c r="B7" s="17" t="inlineStr">
        <is>
          <t>petak</t>
        </is>
      </c>
      <c r="C7" s="10" t="inlineStr">
        <is>
          <t>Plastika i metal (PET/MET)</t>
        </is>
      </c>
      <c r="D7" s="17" t="n"/>
    </row>
    <row r="8">
      <c r="A8" s="26" t="n">
        <v>46038</v>
      </c>
      <c r="B8" s="17" t="inlineStr">
        <is>
          <t>petak</t>
        </is>
      </c>
      <c r="C8" s="11" t="inlineStr">
        <is>
          <t>Papir (PAP)</t>
        </is>
      </c>
      <c r="D8" s="17" t="n"/>
    </row>
    <row r="9">
      <c r="A9" s="26" t="n">
        <v>46044</v>
      </c>
      <c r="B9" s="17" t="inlineStr">
        <is>
          <t>četvrtak</t>
        </is>
      </c>
      <c r="C9" s="5" t="inlineStr">
        <is>
          <t>Miješani komunalni otpad</t>
        </is>
      </c>
      <c r="D9" s="17" t="n"/>
    </row>
    <row r="10">
      <c r="A10" s="26" t="n">
        <v>46051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46052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6" t="n">
        <v>46058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6" t="n">
        <v>46065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6" t="n">
        <v>46066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6" t="n">
        <v>46066</v>
      </c>
      <c r="B15" s="17" t="inlineStr">
        <is>
          <t>petak</t>
        </is>
      </c>
      <c r="C15" s="10" t="inlineStr">
        <is>
          <t>Plastika i metal (PET/MET)</t>
        </is>
      </c>
      <c r="D15" s="17" t="n"/>
    </row>
    <row r="16">
      <c r="A16" s="26" t="n">
        <v>46066</v>
      </c>
      <c r="B16" s="17" t="inlineStr">
        <is>
          <t>petak</t>
        </is>
      </c>
      <c r="C16" s="11" t="inlineStr">
        <is>
          <t>Papir (PAP)</t>
        </is>
      </c>
      <c r="D16" s="17" t="n"/>
    </row>
    <row r="17">
      <c r="A17" s="26" t="n">
        <v>46072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6" t="n">
        <v>46079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6" t="n">
        <v>46080</v>
      </c>
      <c r="B19" s="17" t="inlineStr">
        <is>
          <t>petak</t>
        </is>
      </c>
      <c r="C19" s="9" t="inlineStr">
        <is>
          <t>Biootpad</t>
        </is>
      </c>
      <c r="D19" s="17" t="n"/>
    </row>
    <row r="20">
      <c r="A20" s="26" t="n">
        <v>46086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46093</v>
      </c>
      <c r="B21" s="17" t="inlineStr">
        <is>
          <t>četvrtak</t>
        </is>
      </c>
      <c r="C21" s="5" t="inlineStr">
        <is>
          <t>Miješani komunalni otpad</t>
        </is>
      </c>
      <c r="D21" s="17" t="n"/>
    </row>
    <row r="22">
      <c r="A22" s="26" t="n">
        <v>46094</v>
      </c>
      <c r="B22" s="17" t="inlineStr">
        <is>
          <t>petak</t>
        </is>
      </c>
      <c r="C22" s="9" t="inlineStr">
        <is>
          <t>Biootpad</t>
        </is>
      </c>
      <c r="D22" s="17" t="n"/>
    </row>
    <row r="23">
      <c r="A23" s="26" t="n">
        <v>46094</v>
      </c>
      <c r="B23" s="17" t="inlineStr">
        <is>
          <t>petak</t>
        </is>
      </c>
      <c r="C23" s="10" t="inlineStr">
        <is>
          <t>Plastika i metal (PET/MET)</t>
        </is>
      </c>
      <c r="D23" s="17" t="n"/>
    </row>
    <row r="24">
      <c r="A24" s="26" t="n">
        <v>46094</v>
      </c>
      <c r="B24" s="17" t="inlineStr">
        <is>
          <t>petak</t>
        </is>
      </c>
      <c r="C24" s="11" t="inlineStr">
        <is>
          <t>Papir (PAP)</t>
        </is>
      </c>
      <c r="D24" s="17" t="n"/>
    </row>
    <row r="25">
      <c r="A25" s="26" t="n">
        <v>46100</v>
      </c>
      <c r="B25" s="17" t="inlineStr">
        <is>
          <t>četvrtak</t>
        </is>
      </c>
      <c r="C25" s="5" t="inlineStr">
        <is>
          <t>Miješani komunalni otpad</t>
        </is>
      </c>
      <c r="D25" s="17" t="n"/>
    </row>
    <row r="26">
      <c r="A26" s="26" t="n">
        <v>46107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46108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6" t="n">
        <v>46114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6" t="n">
        <v>46121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6" t="n">
        <v>46122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6" t="n">
        <v>46122</v>
      </c>
      <c r="B31" s="17" t="inlineStr">
        <is>
          <t>petak</t>
        </is>
      </c>
      <c r="C31" s="10" t="inlineStr">
        <is>
          <t>Plastika i metal (PET/MET)</t>
        </is>
      </c>
      <c r="D31" s="17" t="n"/>
    </row>
    <row r="32">
      <c r="A32" s="26" t="n">
        <v>46122</v>
      </c>
      <c r="B32" s="17" t="inlineStr">
        <is>
          <t>petak</t>
        </is>
      </c>
      <c r="C32" s="11" t="inlineStr">
        <is>
          <t>Papir (PAP)</t>
        </is>
      </c>
      <c r="D32" s="17" t="n"/>
    </row>
    <row r="33">
      <c r="A33" s="26" t="n">
        <v>46128</v>
      </c>
      <c r="B33" s="17" t="inlineStr">
        <is>
          <t>četvrtak</t>
        </is>
      </c>
      <c r="C33" s="5" t="inlineStr">
        <is>
          <t>Miješani komunalni otpad</t>
        </is>
      </c>
      <c r="D33" s="17" t="n"/>
    </row>
    <row r="34">
      <c r="A34" s="26" t="n">
        <v>46135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46136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6" t="n">
        <v>46142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6" t="n">
        <v>46149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6" t="n">
        <v>46150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6" t="n">
        <v>46150</v>
      </c>
      <c r="B39" s="17" t="inlineStr">
        <is>
          <t>petak</t>
        </is>
      </c>
      <c r="C39" s="10" t="inlineStr">
        <is>
          <t>Plastika i metal (PET/MET)</t>
        </is>
      </c>
      <c r="D39" s="17" t="n"/>
    </row>
    <row r="40">
      <c r="A40" s="26" t="n">
        <v>46150</v>
      </c>
      <c r="B40" s="17" t="inlineStr">
        <is>
          <t>petak</t>
        </is>
      </c>
      <c r="C40" s="11" t="inlineStr">
        <is>
          <t>Papir (PAP)</t>
        </is>
      </c>
      <c r="D40" s="17" t="n"/>
    </row>
    <row r="41">
      <c r="A41" s="26" t="n">
        <v>46156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6" t="n">
        <v>46163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46164</v>
      </c>
      <c r="B43" s="17" t="inlineStr">
        <is>
          <t>petak</t>
        </is>
      </c>
      <c r="C43" s="9" t="inlineStr">
        <is>
          <t>Biootpad</t>
        </is>
      </c>
      <c r="D43" s="17" t="n"/>
    </row>
    <row r="44">
      <c r="A44" s="26" t="n">
        <v>46170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6" t="n">
        <v>46178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6" t="n">
        <v>46178</v>
      </c>
      <c r="B46" s="17" t="inlineStr">
        <is>
          <t>petak</t>
        </is>
      </c>
      <c r="C46" s="10" t="inlineStr">
        <is>
          <t>Plastika i metal (PET/MET)</t>
        </is>
      </c>
      <c r="D46" s="17" t="n"/>
    </row>
    <row r="47">
      <c r="A47" s="26" t="n">
        <v>46178</v>
      </c>
      <c r="B47" s="17" t="inlineStr">
        <is>
          <t>petak</t>
        </is>
      </c>
      <c r="C47" s="11" t="inlineStr">
        <is>
          <t>Papir (PAP)</t>
        </is>
      </c>
      <c r="D47" s="17" t="n"/>
    </row>
    <row r="48">
      <c r="A48" s="26" t="n">
        <v>46179</v>
      </c>
      <c r="B48" s="17" t="inlineStr">
        <is>
          <t>subota</t>
        </is>
      </c>
      <c r="C48" s="5" t="inlineStr">
        <is>
          <t>Miješani komunalni otpad</t>
        </is>
      </c>
      <c r="D48" s="17" t="inlineStr">
        <is>
          <t>Pomaknuto zbog neradnog dana u tjednu</t>
        </is>
      </c>
    </row>
    <row r="49">
      <c r="A49" s="26" t="n">
        <v>46184</v>
      </c>
      <c r="B49" s="17" t="inlineStr">
        <is>
          <t>četvrtak</t>
        </is>
      </c>
      <c r="C49" s="5" t="inlineStr">
        <is>
          <t>Miješani komunalni otpad</t>
        </is>
      </c>
      <c r="D49" s="17" t="n"/>
    </row>
    <row r="50">
      <c r="A50" s="26" t="n">
        <v>46191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6" t="n">
        <v>46192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6" t="n">
        <v>46198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6" t="n">
        <v>46205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6" t="n">
        <v>46206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6" t="n">
        <v>46206</v>
      </c>
      <c r="B55" s="17" t="inlineStr">
        <is>
          <t>petak</t>
        </is>
      </c>
      <c r="C55" s="10" t="inlineStr">
        <is>
          <t>Plastika i metal (PET/MET)</t>
        </is>
      </c>
      <c r="D55" s="17" t="n"/>
    </row>
    <row r="56">
      <c r="A56" s="26" t="n">
        <v>46206</v>
      </c>
      <c r="B56" s="17" t="inlineStr">
        <is>
          <t>petak</t>
        </is>
      </c>
      <c r="C56" s="11" t="inlineStr">
        <is>
          <t>Papir (PAP)</t>
        </is>
      </c>
      <c r="D56" s="17" t="n"/>
    </row>
    <row r="57">
      <c r="A57" s="26" t="n">
        <v>46212</v>
      </c>
      <c r="B57" s="17" t="inlineStr">
        <is>
          <t>četvrtak</t>
        </is>
      </c>
      <c r="C57" s="5" t="inlineStr">
        <is>
          <t>Miješani komunalni otpad</t>
        </is>
      </c>
      <c r="D57" s="17" t="n"/>
    </row>
    <row r="58">
      <c r="A58" s="26" t="n">
        <v>46219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46220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6" t="n">
        <v>46226</v>
      </c>
      <c r="B60" s="17" t="inlineStr">
        <is>
          <t>četvrtak</t>
        </is>
      </c>
      <c r="C60" s="5" t="inlineStr">
        <is>
          <t>Miješani komunalni otpad</t>
        </is>
      </c>
      <c r="D60" s="17" t="n"/>
    </row>
    <row r="61">
      <c r="A61" s="26" t="n">
        <v>46233</v>
      </c>
      <c r="B61" s="17" t="inlineStr">
        <is>
          <t>četvrtak</t>
        </is>
      </c>
      <c r="C61" s="5" t="inlineStr">
        <is>
          <t>Miješani komunalni otpad</t>
        </is>
      </c>
      <c r="D61" s="17" t="n"/>
    </row>
    <row r="62">
      <c r="A62" s="26" t="n">
        <v>46234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6" t="n">
        <v>46234</v>
      </c>
      <c r="B63" s="17" t="inlineStr">
        <is>
          <t>petak</t>
        </is>
      </c>
      <c r="C63" s="10" t="inlineStr">
        <is>
          <t>Plastika i metal (PET/MET)</t>
        </is>
      </c>
      <c r="D63" s="17" t="n"/>
    </row>
    <row r="64">
      <c r="A64" s="26" t="n">
        <v>46234</v>
      </c>
      <c r="B64" s="17" t="inlineStr">
        <is>
          <t>petak</t>
        </is>
      </c>
      <c r="C64" s="11" t="inlineStr">
        <is>
          <t>Papir (PAP)</t>
        </is>
      </c>
      <c r="D64" s="17" t="n"/>
    </row>
    <row r="65">
      <c r="A65" s="26" t="n">
        <v>46240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6" t="n">
        <v>46247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6" t="n">
        <v>46248</v>
      </c>
      <c r="B67" s="17" t="inlineStr">
        <is>
          <t>petak</t>
        </is>
      </c>
      <c r="C67" s="9" t="inlineStr">
        <is>
          <t>Biootpad</t>
        </is>
      </c>
      <c r="D67" s="17" t="n"/>
    </row>
    <row r="68">
      <c r="A68" s="26" t="n">
        <v>46254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6" t="n">
        <v>46261</v>
      </c>
      <c r="B69" s="17" t="inlineStr">
        <is>
          <t>četvrtak</t>
        </is>
      </c>
      <c r="C69" s="5" t="inlineStr">
        <is>
          <t>Miješani komunalni otpad</t>
        </is>
      </c>
      <c r="D69" s="17" t="n"/>
    </row>
    <row r="70">
      <c r="A70" s="26" t="n">
        <v>46262</v>
      </c>
      <c r="B70" s="17" t="inlineStr">
        <is>
          <t>petak</t>
        </is>
      </c>
      <c r="C70" s="9" t="inlineStr">
        <is>
          <t>Biootpad</t>
        </is>
      </c>
      <c r="D70" s="17" t="n"/>
    </row>
    <row r="71">
      <c r="A71" s="26" t="n">
        <v>46262</v>
      </c>
      <c r="B71" s="17" t="inlineStr">
        <is>
          <t>petak</t>
        </is>
      </c>
      <c r="C71" s="10" t="inlineStr">
        <is>
          <t>Plastika i metal (PET/MET)</t>
        </is>
      </c>
      <c r="D71" s="17" t="n"/>
    </row>
    <row r="72">
      <c r="A72" s="26" t="n">
        <v>46262</v>
      </c>
      <c r="B72" s="17" t="inlineStr">
        <is>
          <t>petak</t>
        </is>
      </c>
      <c r="C72" s="11" t="inlineStr">
        <is>
          <t>Papir (PAP)</t>
        </is>
      </c>
      <c r="D72" s="17" t="n"/>
    </row>
    <row r="73">
      <c r="A73" s="26" t="n">
        <v>46268</v>
      </c>
      <c r="B73" s="17" t="inlineStr">
        <is>
          <t>četvrtak</t>
        </is>
      </c>
      <c r="C73" s="5" t="inlineStr">
        <is>
          <t>Miješani komunalni otpad</t>
        </is>
      </c>
      <c r="D73" s="17" t="n"/>
    </row>
    <row r="74">
      <c r="A74" s="26" t="n">
        <v>46275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6" t="n">
        <v>46276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6" t="n">
        <v>46282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6" t="n">
        <v>46289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6" t="n">
        <v>46290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6" t="n">
        <v>46290</v>
      </c>
      <c r="B79" s="17" t="inlineStr">
        <is>
          <t>petak</t>
        </is>
      </c>
      <c r="C79" s="10" t="inlineStr">
        <is>
          <t>Plastika i metal (PET/MET)</t>
        </is>
      </c>
      <c r="D79" s="17" t="n"/>
    </row>
    <row r="80">
      <c r="A80" s="26" t="n">
        <v>46290</v>
      </c>
      <c r="B80" s="17" t="inlineStr">
        <is>
          <t>petak</t>
        </is>
      </c>
      <c r="C80" s="11" t="inlineStr">
        <is>
          <t>Papir (PAP)</t>
        </is>
      </c>
      <c r="D80" s="17" t="n"/>
    </row>
    <row r="81">
      <c r="A81" s="26" t="n">
        <v>46296</v>
      </c>
      <c r="B81" s="17" t="inlineStr">
        <is>
          <t>četvrtak</t>
        </is>
      </c>
      <c r="C81" s="5" t="inlineStr">
        <is>
          <t>Miješani komunalni otpad</t>
        </is>
      </c>
      <c r="D81" s="17" t="n"/>
    </row>
    <row r="82">
      <c r="A82" s="26" t="n">
        <v>46303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6" t="n">
        <v>46304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6" t="n">
        <v>46310</v>
      </c>
      <c r="B84" s="17" t="inlineStr">
        <is>
          <t>četvrtak</t>
        </is>
      </c>
      <c r="C84" s="5" t="inlineStr">
        <is>
          <t>Miješani komunalni otpad</t>
        </is>
      </c>
      <c r="D84" s="17" t="n"/>
    </row>
    <row r="85">
      <c r="A85" s="26" t="n">
        <v>46317</v>
      </c>
      <c r="B85" s="17" t="inlineStr">
        <is>
          <t>četvrtak</t>
        </is>
      </c>
      <c r="C85" s="5" t="inlineStr">
        <is>
          <t>Miješani komunalni otpad</t>
        </is>
      </c>
      <c r="D85" s="17" t="n"/>
    </row>
    <row r="86">
      <c r="A86" s="26" t="n">
        <v>46318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6" t="n">
        <v>46318</v>
      </c>
      <c r="B87" s="17" t="inlineStr">
        <is>
          <t>petak</t>
        </is>
      </c>
      <c r="C87" s="10" t="inlineStr">
        <is>
          <t>Plastika i metal (PET/MET)</t>
        </is>
      </c>
      <c r="D87" s="17" t="n"/>
    </row>
    <row r="88">
      <c r="A88" s="26" t="n">
        <v>46318</v>
      </c>
      <c r="B88" s="17" t="inlineStr">
        <is>
          <t>petak</t>
        </is>
      </c>
      <c r="C88" s="11" t="inlineStr">
        <is>
          <t>Papir (PAP)</t>
        </is>
      </c>
      <c r="D88" s="17" t="n"/>
    </row>
    <row r="89">
      <c r="A89" s="26" t="n">
        <v>46324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6" t="n">
        <v>46331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6" t="n">
        <v>46332</v>
      </c>
      <c r="B91" s="17" t="inlineStr">
        <is>
          <t>petak</t>
        </is>
      </c>
      <c r="C91" s="9" t="inlineStr">
        <is>
          <t>Biootpad</t>
        </is>
      </c>
      <c r="D91" s="17" t="n"/>
    </row>
    <row r="92">
      <c r="A92" s="26" t="n">
        <v>46338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6" t="n">
        <v>46345</v>
      </c>
      <c r="B93" s="17" t="inlineStr">
        <is>
          <t>četvrtak</t>
        </is>
      </c>
      <c r="C93" s="5" t="inlineStr">
        <is>
          <t>Miješani komunalni otpad</t>
        </is>
      </c>
      <c r="D93" s="17" t="n"/>
    </row>
    <row r="94">
      <c r="A94" s="26" t="n">
        <v>46346</v>
      </c>
      <c r="B94" s="17" t="inlineStr">
        <is>
          <t>petak</t>
        </is>
      </c>
      <c r="C94" s="9" t="inlineStr">
        <is>
          <t>Biootpad</t>
        </is>
      </c>
      <c r="D94" s="17" t="n"/>
    </row>
    <row r="95">
      <c r="A95" s="26" t="n">
        <v>46346</v>
      </c>
      <c r="B95" s="17" t="inlineStr">
        <is>
          <t>petak</t>
        </is>
      </c>
      <c r="C95" s="10" t="inlineStr">
        <is>
          <t>Plastika i metal (PET/MET)</t>
        </is>
      </c>
      <c r="D95" s="17" t="n"/>
    </row>
    <row r="96">
      <c r="A96" s="26" t="n">
        <v>46346</v>
      </c>
      <c r="B96" s="17" t="inlineStr">
        <is>
          <t>petak</t>
        </is>
      </c>
      <c r="C96" s="11" t="inlineStr">
        <is>
          <t>Papir (PAP)</t>
        </is>
      </c>
      <c r="D96" s="17" t="n"/>
    </row>
    <row r="97">
      <c r="A97" s="26" t="n">
        <v>46352</v>
      </c>
      <c r="B97" s="17" t="inlineStr">
        <is>
          <t>četvrtak</t>
        </is>
      </c>
      <c r="C97" s="5" t="inlineStr">
        <is>
          <t>Miješani komunalni otpad</t>
        </is>
      </c>
      <c r="D97" s="17" t="n"/>
    </row>
    <row r="98">
      <c r="A98" s="26" t="n">
        <v>46359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6" t="n">
        <v>46360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6" t="n">
        <v>46366</v>
      </c>
      <c r="B100" s="17" t="inlineStr">
        <is>
          <t>četvrtak</t>
        </is>
      </c>
      <c r="C100" s="5" t="inlineStr">
        <is>
          <t>Miješani komunalni otpad</t>
        </is>
      </c>
      <c r="D100" s="17" t="n"/>
    </row>
    <row r="101">
      <c r="A101" s="26" t="n">
        <v>46373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6" t="n">
        <v>46374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6" t="n">
        <v>46374</v>
      </c>
      <c r="B103" s="17" t="inlineStr">
        <is>
          <t>petak</t>
        </is>
      </c>
      <c r="C103" s="10" t="inlineStr">
        <is>
          <t>Plastika i metal (PET/MET)</t>
        </is>
      </c>
      <c r="D103" s="17" t="n"/>
    </row>
    <row r="104">
      <c r="A104" s="26" t="n">
        <v>46374</v>
      </c>
      <c r="B104" s="17" t="inlineStr">
        <is>
          <t>petak</t>
        </is>
      </c>
      <c r="C104" s="11" t="inlineStr">
        <is>
          <t>Papir (PAP)</t>
        </is>
      </c>
      <c r="D104" s="17" t="n"/>
    </row>
    <row r="105">
      <c r="A105" s="26" t="n">
        <v>46380</v>
      </c>
      <c r="B105" s="17" t="inlineStr">
        <is>
          <t>četvrtak</t>
        </is>
      </c>
      <c r="C105" s="5" t="inlineStr">
        <is>
          <t>Miješani komunalni otpad</t>
        </is>
      </c>
      <c r="D105" s="17" t="n"/>
    </row>
    <row r="106">
      <c r="A106" s="26" t="n">
        <v>46387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</sheetData>
  <autoFilter ref="A1:D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19 (Samobor): ulice i naselja</t>
        </is>
      </c>
    </row>
    <row r="4">
      <c r="A4" s="4" t="inlineStr">
        <is>
          <t>Ulica / naselje</t>
        </is>
      </c>
    </row>
    <row r="5">
      <c r="A5" s="17" t="inlineStr">
        <is>
          <t>Podvrh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2026-10-07T17:51:37Z</dcterms:created>
  <dcterms:modified xmlns:dcterms="http://purl.org/dc/terms/" xmlns:xsi="http://www.w3.org/2001/XMLSchema-instance" xsi:type="dcterms:W3CDTF">2026-10-07T17:51:37Z</dcterms:modified>
</cp:coreProperties>
</file>
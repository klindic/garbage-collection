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'Raspored'!$A$4:$H$95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IFERROR(1/(1/_xlfn.MINIFS(Raspored!$A$5:$A$95,Raspored!$D$5:$D$95,"x",Raspored!$A$5:$A$95,"&gt;="&amp;$B$3)),"nema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COUNTIF(Raspored!$D$5:$D$95,"x")</f>
        <v/>
      </c>
    </row>
    <row r="7">
      <c r="A7" s="9" t="inlineStr">
        <is>
          <t>Biootpad</t>
        </is>
      </c>
      <c r="B7" s="6">
        <f>IFERROR(1/(1/_xlfn.MINIFS(Raspored!$A$5:$A$95,Raspored!$E$5:$E$95,"x",Raspored!$A$5:$A$95,"&gt;="&amp;$B$3)),"nema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COUNTIF(Raspored!$E$5:$E$95,"x")</f>
        <v/>
      </c>
    </row>
    <row r="8">
      <c r="A8" s="10" t="inlineStr">
        <is>
          <t>Plastika i metal (PET/MET)</t>
        </is>
      </c>
      <c r="B8" s="6">
        <f>IFERROR(1/(1/_xlfn.MINIFS(Raspored!$A$5:$A$95,Raspored!$F$5:$F$95,"x",Raspored!$A$5:$A$95,"&gt;="&amp;$B$3)),"nema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COUNTIF(Raspored!$F$5:$F$95,"x")</f>
        <v/>
      </c>
    </row>
    <row r="9">
      <c r="A9" s="11" t="inlineStr">
        <is>
          <t>Papir (PAP)</t>
        </is>
      </c>
      <c r="B9" s="6">
        <f>IFERROR(1/(1/_xlfn.MINIFS(Raspored!$A$5:$A$95,Raspored!$G$5:$G$95,"x",Raspored!$A$5:$A$95,"&gt;="&amp;$B$3)),"nema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COUNTIFS(Raspored!$C$5:$C$95,$A13,Raspored!$D$5:$D$95,"x")</f>
        <v/>
      </c>
      <c r="C13" s="7">
        <f>COUNTIFS(Raspored!$C$5:$C$95,$A13,Raspored!$E$5:$E$95,"x")</f>
        <v/>
      </c>
      <c r="D13" s="7">
        <f>COUNTIFS(Raspored!$C$5:$C$95,$A13,Raspored!$F$5:$F$95,"x")</f>
        <v/>
      </c>
      <c r="E13" s="7">
        <f>COUNTIFS(Raspored!$C$5:$C$95,$A13,Raspored!$G$5:$G$95,"x")</f>
        <v/>
      </c>
    </row>
    <row r="14">
      <c r="A14" s="17" t="inlineStr">
        <is>
          <t>veljača</t>
        </is>
      </c>
      <c r="B14" s="7">
        <f>COUNTIFS(Raspored!$C$5:$C$95,$A14,Raspored!$D$5:$D$95,"x")</f>
        <v/>
      </c>
      <c r="C14" s="7">
        <f>COUNTIFS(Raspored!$C$5:$C$95,$A14,Raspored!$E$5:$E$95,"x")</f>
        <v/>
      </c>
      <c r="D14" s="7">
        <f>COUNTIFS(Raspored!$C$5:$C$95,$A14,Raspored!$F$5:$F$95,"x")</f>
        <v/>
      </c>
      <c r="E14" s="7">
        <f>COUNTIFS(Raspored!$C$5:$C$95,$A14,Raspored!$G$5:$G$95,"x")</f>
        <v/>
      </c>
    </row>
    <row r="15">
      <c r="A15" s="17" t="inlineStr">
        <is>
          <t>ožujak</t>
        </is>
      </c>
      <c r="B15" s="7">
        <f>COUNTIFS(Raspored!$C$5:$C$95,$A15,Raspored!$D$5:$D$95,"x")</f>
        <v/>
      </c>
      <c r="C15" s="7">
        <f>COUNTIFS(Raspored!$C$5:$C$95,$A15,Raspored!$E$5:$E$95,"x")</f>
        <v/>
      </c>
      <c r="D15" s="7">
        <f>COUNTIFS(Raspored!$C$5:$C$95,$A15,Raspored!$F$5:$F$95,"x")</f>
        <v/>
      </c>
      <c r="E15" s="7">
        <f>COUNTIFS(Raspored!$C$5:$C$95,$A15,Raspored!$G$5:$G$95,"x")</f>
        <v/>
      </c>
    </row>
    <row r="16">
      <c r="A16" s="17" t="inlineStr">
        <is>
          <t>travanj</t>
        </is>
      </c>
      <c r="B16" s="7">
        <f>COUNTIFS(Raspored!$C$5:$C$95,$A16,Raspored!$D$5:$D$95,"x")</f>
        <v/>
      </c>
      <c r="C16" s="7">
        <f>COUNTIFS(Raspored!$C$5:$C$95,$A16,Raspored!$E$5:$E$95,"x")</f>
        <v/>
      </c>
      <c r="D16" s="7">
        <f>COUNTIFS(Raspored!$C$5:$C$95,$A16,Raspored!$F$5:$F$95,"x")</f>
        <v/>
      </c>
      <c r="E16" s="7">
        <f>COUNTIFS(Raspored!$C$5:$C$95,$A16,Raspored!$G$5:$G$95,"x")</f>
        <v/>
      </c>
    </row>
    <row r="17">
      <c r="A17" s="17" t="inlineStr">
        <is>
          <t>svibanj</t>
        </is>
      </c>
      <c r="B17" s="7">
        <f>COUNTIFS(Raspored!$C$5:$C$95,$A17,Raspored!$D$5:$D$95,"x")</f>
        <v/>
      </c>
      <c r="C17" s="7">
        <f>COUNTIFS(Raspored!$C$5:$C$95,$A17,Raspored!$E$5:$E$95,"x")</f>
        <v/>
      </c>
      <c r="D17" s="7">
        <f>COUNTIFS(Raspored!$C$5:$C$95,$A17,Raspored!$F$5:$F$95,"x")</f>
        <v/>
      </c>
      <c r="E17" s="7">
        <f>COUNTIFS(Raspored!$C$5:$C$95,$A17,Raspored!$G$5:$G$95,"x")</f>
        <v/>
      </c>
    </row>
    <row r="18">
      <c r="A18" s="17" t="inlineStr">
        <is>
          <t>lipanj</t>
        </is>
      </c>
      <c r="B18" s="7">
        <f>COUNTIFS(Raspored!$C$5:$C$95,$A18,Raspored!$D$5:$D$95,"x")</f>
        <v/>
      </c>
      <c r="C18" s="7">
        <f>COUNTIFS(Raspored!$C$5:$C$95,$A18,Raspored!$E$5:$E$95,"x")</f>
        <v/>
      </c>
      <c r="D18" s="7">
        <f>COUNTIFS(Raspored!$C$5:$C$95,$A18,Raspored!$F$5:$F$95,"x")</f>
        <v/>
      </c>
      <c r="E18" s="7">
        <f>COUNTIFS(Raspored!$C$5:$C$95,$A18,Raspored!$G$5:$G$95,"x")</f>
        <v/>
      </c>
    </row>
    <row r="19">
      <c r="A19" s="17" t="inlineStr">
        <is>
          <t>srpanj</t>
        </is>
      </c>
      <c r="B19" s="7">
        <f>COUNTIFS(Raspored!$C$5:$C$95,$A19,Raspored!$D$5:$D$95,"x")</f>
        <v/>
      </c>
      <c r="C19" s="7">
        <f>COUNTIFS(Raspored!$C$5:$C$95,$A19,Raspored!$E$5:$E$95,"x")</f>
        <v/>
      </c>
      <c r="D19" s="7">
        <f>COUNTIFS(Raspored!$C$5:$C$95,$A19,Raspored!$F$5:$F$95,"x")</f>
        <v/>
      </c>
      <c r="E19" s="7">
        <f>COUNTIFS(Raspored!$C$5:$C$95,$A19,Raspored!$G$5:$G$95,"x")</f>
        <v/>
      </c>
    </row>
    <row r="20">
      <c r="A20" s="17" t="inlineStr">
        <is>
          <t>kolovoz</t>
        </is>
      </c>
      <c r="B20" s="7">
        <f>COUNTIFS(Raspored!$C$5:$C$95,$A20,Raspored!$D$5:$D$95,"x")</f>
        <v/>
      </c>
      <c r="C20" s="7">
        <f>COUNTIFS(Raspored!$C$5:$C$95,$A20,Raspored!$E$5:$E$95,"x")</f>
        <v/>
      </c>
      <c r="D20" s="7">
        <f>COUNTIFS(Raspored!$C$5:$C$95,$A20,Raspored!$F$5:$F$95,"x")</f>
        <v/>
      </c>
      <c r="E20" s="7">
        <f>COUNTIFS(Raspored!$C$5:$C$95,$A20,Raspored!$G$5:$G$95,"x")</f>
        <v/>
      </c>
    </row>
    <row r="21">
      <c r="A21" s="17" t="inlineStr">
        <is>
          <t>rujan</t>
        </is>
      </c>
      <c r="B21" s="7">
        <f>COUNTIFS(Raspored!$C$5:$C$95,$A21,Raspored!$D$5:$D$95,"x")</f>
        <v/>
      </c>
      <c r="C21" s="7">
        <f>COUNTIFS(Raspored!$C$5:$C$95,$A21,Raspored!$E$5:$E$95,"x")</f>
        <v/>
      </c>
      <c r="D21" s="7">
        <f>COUNTIFS(Raspored!$C$5:$C$95,$A21,Raspored!$F$5:$F$95,"x")</f>
        <v/>
      </c>
      <c r="E21" s="7">
        <f>COUNTIFS(Raspored!$C$5:$C$95,$A21,Raspored!$G$5:$G$95,"x")</f>
        <v/>
      </c>
    </row>
    <row r="22">
      <c r="A22" s="17" t="inlineStr">
        <is>
          <t>listopad</t>
        </is>
      </c>
      <c r="B22" s="7">
        <f>COUNTIFS(Raspored!$C$5:$C$95,$A22,Raspored!$D$5:$D$95,"x")</f>
        <v/>
      </c>
      <c r="C22" s="7">
        <f>COUNTIFS(Raspored!$C$5:$C$95,$A22,Raspored!$E$5:$E$95,"x")</f>
        <v/>
      </c>
      <c r="D22" s="7">
        <f>COUNTIFS(Raspored!$C$5:$C$95,$A22,Raspored!$F$5:$F$95,"x")</f>
        <v/>
      </c>
      <c r="E22" s="7">
        <f>COUNTIFS(Raspored!$C$5:$C$95,$A22,Raspored!$G$5:$G$95,"x")</f>
        <v/>
      </c>
    </row>
    <row r="23">
      <c r="A23" s="17" t="inlineStr">
        <is>
          <t>studeni</t>
        </is>
      </c>
      <c r="B23" s="7">
        <f>COUNTIFS(Raspored!$C$5:$C$95,$A23,Raspored!$D$5:$D$95,"x")</f>
        <v/>
      </c>
      <c r="C23" s="7">
        <f>COUNTIFS(Raspored!$C$5:$C$95,$A23,Raspored!$E$5:$E$95,"x")</f>
        <v/>
      </c>
      <c r="D23" s="7">
        <f>COUNTIFS(Raspored!$C$5:$C$95,$A23,Raspored!$F$5:$F$95,"x")</f>
        <v/>
      </c>
      <c r="E23" s="7">
        <f>COUNTIFS(Raspored!$C$5:$C$95,$A23,Raspored!$G$5:$G$95,"x")</f>
        <v/>
      </c>
    </row>
    <row r="24">
      <c r="A24" s="17" t="inlineStr">
        <is>
          <t>prosinac</t>
        </is>
      </c>
      <c r="B24" s="7">
        <f>COUNTIFS(Raspored!$C$5:$C$95,$A24,Raspored!$D$5:$D$95,"x")</f>
        <v/>
      </c>
      <c r="C24" s="7">
        <f>COUNTIFS(Raspored!$C$5:$C$95,$A24,Raspored!$E$5:$E$95,"x")</f>
        <v/>
      </c>
      <c r="D24" s="7">
        <f>COUNTIFS(Raspored!$C$5:$C$95,$A24,Raspored!$F$5:$F$95,"x")</f>
        <v/>
      </c>
      <c r="E24" s="7">
        <f>COUNTIFS(Raspored!$C$5:$C$95,$A24,Raspored!$G$5:$G$95,"x")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46080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46085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46105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46108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46113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46122</v>
      </c>
      <c r="B29" s="7" t="inlineStr">
        <is>
          <t>petak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46133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46136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46141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46150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46155</v>
      </c>
      <c r="B37" s="7" t="inlineStr">
        <is>
          <t>srijeda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46161</v>
      </c>
      <c r="B38" s="7" t="inlineStr">
        <is>
          <t>utorak</t>
        </is>
      </c>
      <c r="C38" s="7" t="inlineStr">
        <is>
          <t>svibanj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46164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46169</v>
      </c>
      <c r="B41" s="7" t="inlineStr">
        <is>
          <t>srijeda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46176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46178</v>
      </c>
      <c r="B43" s="7" t="inlineStr">
        <is>
          <t>petak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46183</v>
      </c>
      <c r="B44" s="7" t="inlineStr">
        <is>
          <t>srijeda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46189</v>
      </c>
      <c r="B45" s="7" t="inlineStr">
        <is>
          <t>utorak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46192</v>
      </c>
      <c r="B47" s="7" t="inlineStr">
        <is>
          <t>petak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46197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46206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46211</v>
      </c>
      <c r="B51" s="7" t="inlineStr">
        <is>
          <t>srijeda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46217</v>
      </c>
      <c r="B52" s="7" t="inlineStr">
        <is>
          <t>utorak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46218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46220</v>
      </c>
      <c r="B54" s="7" t="inlineStr">
        <is>
          <t>petak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46225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46232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46234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24" t="n">
        <v>46242</v>
      </c>
      <c r="B58" s="25" t="inlineStr">
        <is>
          <t>subota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23" t="inlineStr">
        <is>
          <t>Pomaknuto zbog neradnog dana u tjednu</t>
        </is>
      </c>
    </row>
    <row r="59">
      <c r="A59" s="6" t="n">
        <v>46245</v>
      </c>
      <c r="B59" s="7" t="inlineStr">
        <is>
          <t>utorak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46248</v>
      </c>
      <c r="B61" s="7" t="inlineStr">
        <is>
          <t>petak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46253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46260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46262</v>
      </c>
      <c r="B64" s="7" t="inlineStr">
        <is>
          <t>petak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46267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46273</v>
      </c>
      <c r="B66" s="7" t="inlineStr">
        <is>
          <t>utorak</t>
        </is>
      </c>
      <c r="C66" s="7" t="inlineStr">
        <is>
          <t>rujan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46274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46276</v>
      </c>
      <c r="B68" s="7" t="inlineStr">
        <is>
          <t>petak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46281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46288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46290</v>
      </c>
      <c r="B71" s="7" t="inlineStr">
        <is>
          <t>petak</t>
        </is>
      </c>
      <c r="C71" s="7" t="inlineStr">
        <is>
          <t>rujan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46295</v>
      </c>
      <c r="B72" s="7" t="inlineStr">
        <is>
          <t>srijeda</t>
        </is>
      </c>
      <c r="C72" s="7" t="inlineStr">
        <is>
          <t>rujan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46301</v>
      </c>
      <c r="B73" s="7" t="inlineStr">
        <is>
          <t>utorak</t>
        </is>
      </c>
      <c r="C73" s="7" t="inlineStr">
        <is>
          <t>listopad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46302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46304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46309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46316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46318</v>
      </c>
      <c r="B78" s="7" t="inlineStr">
        <is>
          <t>petak</t>
        </is>
      </c>
      <c r="C78" s="7" t="inlineStr">
        <is>
          <t>listopad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46323</v>
      </c>
      <c r="B79" s="7" t="inlineStr">
        <is>
          <t>srijeda</t>
        </is>
      </c>
      <c r="C79" s="7" t="inlineStr">
        <is>
          <t>listopad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46329</v>
      </c>
      <c r="B80" s="7" t="inlineStr">
        <is>
          <t>utorak</t>
        </is>
      </c>
      <c r="C80" s="7" t="inlineStr">
        <is>
          <t>studeni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46332</v>
      </c>
      <c r="B82" s="7" t="inlineStr">
        <is>
          <t>petak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46337</v>
      </c>
      <c r="B83" s="7" t="inlineStr">
        <is>
          <t>srijeda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46346</v>
      </c>
      <c r="B84" s="7" t="inlineStr">
        <is>
          <t>petak</t>
        </is>
      </c>
      <c r="C84" s="7" t="inlineStr">
        <is>
          <t>studeni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24" t="n">
        <v>46347</v>
      </c>
      <c r="B85" s="25" t="inlineStr">
        <is>
          <t>subota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7" t="n"/>
      <c r="H85" s="23" t="inlineStr">
        <is>
          <t>Pomaknuto zbog neradnog dana u tjednu</t>
        </is>
      </c>
    </row>
    <row r="86">
      <c r="A86" s="6" t="n">
        <v>46351</v>
      </c>
      <c r="B86" s="7" t="inlineStr">
        <is>
          <t>srijeda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46357</v>
      </c>
      <c r="B87" s="7" t="inlineStr">
        <is>
          <t>utorak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46372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46374</v>
      </c>
      <c r="B92" s="7" t="inlineStr">
        <is>
          <t>petak</t>
        </is>
      </c>
      <c r="C92" s="7" t="inlineStr">
        <is>
          <t>prosinac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46385</v>
      </c>
      <c r="B94" s="7" t="inlineStr">
        <is>
          <t>utorak</t>
        </is>
      </c>
      <c r="C94" s="7" t="inlineStr">
        <is>
          <t>prosinac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46386</v>
      </c>
      <c r="B95" s="7" t="inlineStr">
        <is>
          <t>srijeda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23" t="n"/>
    </row>
  </sheetData>
  <autoFilter ref="A4:H95"/>
  <conditionalFormatting sqref="D5:D95">
    <cfRule type="expression" priority="1" dxfId="0">
      <formula>D5="x"</formula>
    </cfRule>
  </conditionalFormatting>
  <conditionalFormatting sqref="E5:E95">
    <cfRule type="expression" priority="2" dxfId="1">
      <formula>E5="x"</formula>
    </cfRule>
  </conditionalFormatting>
  <conditionalFormatting sqref="F5:F95">
    <cfRule type="expression" priority="3" dxfId="2">
      <formula>F5="x"</formula>
    </cfRule>
  </conditionalFormatting>
  <conditionalFormatting sqref="G5:G95">
    <cfRule type="expression" priority="4" dxfId="3">
      <formula>G5="x"</formula>
    </cfRule>
  </conditionalFormatting>
  <conditionalFormatting sqref="A5:H9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46038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46049</v>
      </c>
      <c r="B7" s="17" t="inlineStr">
        <is>
          <t>utorak</t>
        </is>
      </c>
      <c r="C7" s="10" t="inlineStr">
        <is>
          <t>Plastika i metal (PET/MET)</t>
        </is>
      </c>
      <c r="D7" s="17" t="n"/>
    </row>
    <row r="8">
      <c r="A8" s="26" t="n">
        <v>46049</v>
      </c>
      <c r="B8" s="17" t="inlineStr">
        <is>
          <t>utorak</t>
        </is>
      </c>
      <c r="C8" s="11" t="inlineStr">
        <is>
          <t>Papir (PAP)</t>
        </is>
      </c>
      <c r="D8" s="17" t="n"/>
    </row>
    <row r="9">
      <c r="A9" s="26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46057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46064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46066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46071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46077</v>
      </c>
      <c r="B15" s="17" t="inlineStr">
        <is>
          <t>utorak</t>
        </is>
      </c>
      <c r="C15" s="10" t="inlineStr">
        <is>
          <t>Plastika i metal (PET/MET)</t>
        </is>
      </c>
      <c r="D15" s="17" t="n"/>
    </row>
    <row r="16">
      <c r="A16" s="26" t="n">
        <v>46077</v>
      </c>
      <c r="B16" s="17" t="inlineStr">
        <is>
          <t>utorak</t>
        </is>
      </c>
      <c r="C16" s="11" t="inlineStr">
        <is>
          <t>Papir (PAP)</t>
        </is>
      </c>
      <c r="D16" s="17" t="n"/>
    </row>
    <row r="17">
      <c r="A17" s="26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46080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46085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46092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46094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46099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46105</v>
      </c>
      <c r="B23" s="17" t="inlineStr">
        <is>
          <t>utorak</t>
        </is>
      </c>
      <c r="C23" s="10" t="inlineStr">
        <is>
          <t>Plastika i metal (PET/MET)</t>
        </is>
      </c>
      <c r="D23" s="17" t="n"/>
    </row>
    <row r="24">
      <c r="A24" s="26" t="n">
        <v>46105</v>
      </c>
      <c r="B24" s="17" t="inlineStr">
        <is>
          <t>utorak</t>
        </is>
      </c>
      <c r="C24" s="11" t="inlineStr">
        <is>
          <t>Papir (PAP)</t>
        </is>
      </c>
      <c r="D24" s="17" t="n"/>
    </row>
    <row r="25">
      <c r="A25" s="26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46108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46113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46120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46122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46127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46133</v>
      </c>
      <c r="B31" s="17" t="inlineStr">
        <is>
          <t>utorak</t>
        </is>
      </c>
      <c r="C31" s="10" t="inlineStr">
        <is>
          <t>Plastika i metal (PET/MET)</t>
        </is>
      </c>
      <c r="D31" s="17" t="n"/>
    </row>
    <row r="32">
      <c r="A32" s="26" t="n">
        <v>46133</v>
      </c>
      <c r="B32" s="17" t="inlineStr">
        <is>
          <t>utorak</t>
        </is>
      </c>
      <c r="C32" s="11" t="inlineStr">
        <is>
          <t>Papir (PAP)</t>
        </is>
      </c>
      <c r="D32" s="17" t="n"/>
    </row>
    <row r="33">
      <c r="A33" s="26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46136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46141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46148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46150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46155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46161</v>
      </c>
      <c r="B39" s="17" t="inlineStr">
        <is>
          <t>utorak</t>
        </is>
      </c>
      <c r="C39" s="10" t="inlineStr">
        <is>
          <t>Plastika i metal (PET/MET)</t>
        </is>
      </c>
      <c r="D39" s="17" t="n"/>
    </row>
    <row r="40">
      <c r="A40" s="26" t="n">
        <v>46161</v>
      </c>
      <c r="B40" s="17" t="inlineStr">
        <is>
          <t>utorak</t>
        </is>
      </c>
      <c r="C40" s="11" t="inlineStr">
        <is>
          <t>Papir (PAP)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46164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46169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46176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46178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46183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46189</v>
      </c>
      <c r="B47" s="17" t="inlineStr">
        <is>
          <t>utorak</t>
        </is>
      </c>
      <c r="C47" s="10" t="inlineStr">
        <is>
          <t>Plastika i metal (PET/MET)</t>
        </is>
      </c>
      <c r="D47" s="17" t="n"/>
    </row>
    <row r="48">
      <c r="A48" s="26" t="n">
        <v>46189</v>
      </c>
      <c r="B48" s="17" t="inlineStr">
        <is>
          <t>utorak</t>
        </is>
      </c>
      <c r="C48" s="11" t="inlineStr">
        <is>
          <t>Papir (PAP)</t>
        </is>
      </c>
      <c r="D48" s="17" t="n"/>
    </row>
    <row r="49">
      <c r="A49" s="26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46192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46197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46204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46206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46211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46217</v>
      </c>
      <c r="B55" s="17" t="inlineStr">
        <is>
          <t>utorak</t>
        </is>
      </c>
      <c r="C55" s="10" t="inlineStr">
        <is>
          <t>Plastika i metal (PET/MET)</t>
        </is>
      </c>
      <c r="D55" s="17" t="n"/>
    </row>
    <row r="56">
      <c r="A56" s="26" t="n">
        <v>46217</v>
      </c>
      <c r="B56" s="17" t="inlineStr">
        <is>
          <t>utorak</t>
        </is>
      </c>
      <c r="C56" s="11" t="inlineStr">
        <is>
          <t>Papir (PAP)</t>
        </is>
      </c>
      <c r="D56" s="17" t="n"/>
    </row>
    <row r="57">
      <c r="A57" s="26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46220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46225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46232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46234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46242</v>
      </c>
      <c r="B62" s="17" t="inlineStr">
        <is>
          <t>subota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46245</v>
      </c>
      <c r="B63" s="17" t="inlineStr">
        <is>
          <t>utorak</t>
        </is>
      </c>
      <c r="C63" s="10" t="inlineStr">
        <is>
          <t>Plastika i metal (PET/MET)</t>
        </is>
      </c>
      <c r="D63" s="17" t="n"/>
    </row>
    <row r="64">
      <c r="A64" s="26" t="n">
        <v>46245</v>
      </c>
      <c r="B64" s="17" t="inlineStr">
        <is>
          <t>utorak</t>
        </is>
      </c>
      <c r="C64" s="11" t="inlineStr">
        <is>
          <t>Papir (PAP)</t>
        </is>
      </c>
      <c r="D64" s="17" t="n"/>
    </row>
    <row r="65">
      <c r="A65" s="26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46248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46253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46260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46262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46267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46273</v>
      </c>
      <c r="B71" s="17" t="inlineStr">
        <is>
          <t>utorak</t>
        </is>
      </c>
      <c r="C71" s="10" t="inlineStr">
        <is>
          <t>Plastika i metal (PET/MET)</t>
        </is>
      </c>
      <c r="D71" s="17" t="n"/>
    </row>
    <row r="72">
      <c r="A72" s="26" t="n">
        <v>46273</v>
      </c>
      <c r="B72" s="17" t="inlineStr">
        <is>
          <t>utorak</t>
        </is>
      </c>
      <c r="C72" s="11" t="inlineStr">
        <is>
          <t>Papir (PAP)</t>
        </is>
      </c>
      <c r="D72" s="17" t="n"/>
    </row>
    <row r="73">
      <c r="A73" s="26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46276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46281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46288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46290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46295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46301</v>
      </c>
      <c r="B79" s="17" t="inlineStr">
        <is>
          <t>utorak</t>
        </is>
      </c>
      <c r="C79" s="10" t="inlineStr">
        <is>
          <t>Plastika i metal (PET/MET)</t>
        </is>
      </c>
      <c r="D79" s="17" t="n"/>
    </row>
    <row r="80">
      <c r="A80" s="26" t="n">
        <v>46301</v>
      </c>
      <c r="B80" s="17" t="inlineStr">
        <is>
          <t>utorak</t>
        </is>
      </c>
      <c r="C80" s="11" t="inlineStr">
        <is>
          <t>Papir (PAP)</t>
        </is>
      </c>
      <c r="D80" s="17" t="n"/>
    </row>
    <row r="81">
      <c r="A81" s="26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46309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46316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46318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46323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46329</v>
      </c>
      <c r="B87" s="17" t="inlineStr">
        <is>
          <t>utorak</t>
        </is>
      </c>
      <c r="C87" s="10" t="inlineStr">
        <is>
          <t>Plastika i metal (PET/MET)</t>
        </is>
      </c>
      <c r="D87" s="17" t="n"/>
    </row>
    <row r="88">
      <c r="A88" s="26" t="n">
        <v>46329</v>
      </c>
      <c r="B88" s="17" t="inlineStr">
        <is>
          <t>utorak</t>
        </is>
      </c>
      <c r="C88" s="11" t="inlineStr">
        <is>
          <t>Papir (PAP)</t>
        </is>
      </c>
      <c r="D88" s="17" t="n"/>
    </row>
    <row r="89">
      <c r="A89" s="26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46332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46337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46346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46347</v>
      </c>
      <c r="B93" s="17" t="inlineStr">
        <is>
          <t>subota</t>
        </is>
      </c>
      <c r="C93" s="5" t="inlineStr">
        <is>
          <t>Miješani komunalni otpad</t>
        </is>
      </c>
      <c r="D93" s="17" t="inlineStr">
        <is>
          <t>Pomaknuto zbog neradnog dana u tjednu</t>
        </is>
      </c>
    </row>
    <row r="94">
      <c r="A94" s="26" t="n">
        <v>46351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6" t="n">
        <v>46357</v>
      </c>
      <c r="B95" s="17" t="inlineStr">
        <is>
          <t>utorak</t>
        </is>
      </c>
      <c r="C95" s="10" t="inlineStr">
        <is>
          <t>Plastika i metal (PET/MET)</t>
        </is>
      </c>
      <c r="D95" s="17" t="n"/>
    </row>
    <row r="96">
      <c r="A96" s="26" t="n">
        <v>46357</v>
      </c>
      <c r="B96" s="17" t="inlineStr">
        <is>
          <t>utorak</t>
        </is>
      </c>
      <c r="C96" s="11" t="inlineStr">
        <is>
          <t>Papir (PAP)</t>
        </is>
      </c>
      <c r="D96" s="17" t="n"/>
    </row>
    <row r="97">
      <c r="A97" s="26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46360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46365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46372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6" t="n">
        <v>46374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46379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6" t="n">
        <v>46385</v>
      </c>
      <c r="B103" s="17" t="inlineStr">
        <is>
          <t>utorak</t>
        </is>
      </c>
      <c r="C103" s="10" t="inlineStr">
        <is>
          <t>Plastika i metal (PET/MET)</t>
        </is>
      </c>
      <c r="D103" s="17" t="n"/>
    </row>
    <row r="104">
      <c r="A104" s="26" t="n">
        <v>46385</v>
      </c>
      <c r="B104" s="17" t="inlineStr">
        <is>
          <t>utorak</t>
        </is>
      </c>
      <c r="C104" s="11" t="inlineStr">
        <is>
          <t>Papir (PAP)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Bobovica</t>
        </is>
      </c>
    </row>
    <row r="6">
      <c r="A6" s="17" t="inlineStr">
        <is>
          <t>Klokočevec Samoborski</t>
        </is>
      </c>
    </row>
    <row r="7">
      <c r="A7" s="17" t="inlineStr">
        <is>
          <t>Lug Samoborski</t>
        </is>
      </c>
    </row>
    <row r="8">
      <c r="A8" s="17" t="inlineStr">
        <is>
          <t>Samoborski Otok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
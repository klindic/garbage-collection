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'Raspored'!$A$4:$H$96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Plastika i metal (PET/MET)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(PAP)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COUNTIFS(Raspored!$C$5:$C$96,$A13,Raspored!$D$5:$D$96,"x")</f>
        <v/>
      </c>
      <c r="C13" s="7">
        <f>COUNTIFS(Raspored!$C$5:$C$96,$A13,Raspored!$E$5:$E$96,"x")</f>
        <v/>
      </c>
      <c r="D13" s="7">
        <f>COUNTIFS(Raspored!$C$5:$C$96,$A13,Raspored!$F$5:$F$96,"x")</f>
        <v/>
      </c>
      <c r="E13" s="7">
        <f>COUNTIFS(Raspored!$C$5:$C$96,$A13,Raspored!$G$5:$G$96,"x")</f>
        <v/>
      </c>
    </row>
    <row r="14">
      <c r="A14" s="17" t="inlineStr">
        <is>
          <t>veljača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</row>
    <row r="15">
      <c r="A15" s="17" t="inlineStr">
        <is>
          <t>ožujak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</row>
    <row r="16">
      <c r="A16" s="17" t="inlineStr">
        <is>
          <t>travanj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</row>
    <row r="17">
      <c r="A17" s="17" t="inlineStr">
        <is>
          <t>svibanj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</row>
    <row r="18">
      <c r="A18" s="17" t="inlineStr">
        <is>
          <t>lipanj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</row>
    <row r="19">
      <c r="A19" s="17" t="inlineStr">
        <is>
          <t>srpanj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</row>
    <row r="20">
      <c r="A20" s="17" t="inlineStr">
        <is>
          <t>kolovoz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</row>
    <row r="21">
      <c r="A21" s="17" t="inlineStr">
        <is>
          <t>rujan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</row>
    <row r="22">
      <c r="A22" s="17" t="inlineStr">
        <is>
          <t>listopad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</row>
    <row r="23">
      <c r="A23" s="17" t="inlineStr">
        <is>
          <t>studeni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</row>
    <row r="24">
      <c r="A24" s="17" t="inlineStr">
        <is>
          <t>prosinac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46071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46079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46085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46093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46097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46107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46113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46121</v>
      </c>
      <c r="B29" s="7" t="inlineStr">
        <is>
          <t>četvrtak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5" t="n"/>
    </row>
    <row r="31">
      <c r="A31" s="6" t="n">
        <v>46127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46135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46141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46148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46149</v>
      </c>
      <c r="B36" s="7" t="inlineStr">
        <is>
          <t>četvrtak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46153</v>
      </c>
      <c r="B37" s="7" t="inlineStr">
        <is>
          <t>ponedjeljak</t>
        </is>
      </c>
      <c r="C37" s="7" t="inlineStr">
        <is>
          <t>svibanj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46155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46162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46163</v>
      </c>
      <c r="B40" s="7" t="inlineStr">
        <is>
          <t>četvrtak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46169</v>
      </c>
      <c r="B41" s="7" t="inlineStr">
        <is>
          <t>srijeda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46176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23" t="n">
        <v>46179</v>
      </c>
      <c r="B43" s="24" t="inlineStr">
        <is>
          <t>subota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25" t="inlineStr">
        <is>
          <t>Pomaknuto zbog neradnog dana u tjednu</t>
        </is>
      </c>
    </row>
    <row r="44">
      <c r="A44" s="6" t="n">
        <v>46181</v>
      </c>
      <c r="B44" s="7" t="inlineStr">
        <is>
          <t>ponedjeljak</t>
        </is>
      </c>
      <c r="C44" s="7" t="inlineStr">
        <is>
          <t>lipanj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46183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46190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46191</v>
      </c>
      <c r="B47" s="7" t="inlineStr">
        <is>
          <t>četvrtak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46197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46204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46205</v>
      </c>
      <c r="B50" s="7" t="inlineStr">
        <is>
          <t>četvrtak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46209</v>
      </c>
      <c r="B51" s="7" t="inlineStr">
        <is>
          <t>ponedjeljak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46211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46218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46219</v>
      </c>
      <c r="B54" s="7" t="inlineStr">
        <is>
          <t>četvrtak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46225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46232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46233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46237</v>
      </c>
      <c r="B58" s="7" t="inlineStr">
        <is>
          <t>ponedjeljak</t>
        </is>
      </c>
      <c r="C58" s="7" t="inlineStr">
        <is>
          <t>kolovoz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5" t="n"/>
    </row>
    <row r="59">
      <c r="A59" s="23" t="n">
        <v>46242</v>
      </c>
      <c r="B59" s="24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25" t="inlineStr">
        <is>
          <t>Pomaknuto zbog neradnog dana u tjednu</t>
        </is>
      </c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46247</v>
      </c>
      <c r="B61" s="7" t="inlineStr">
        <is>
          <t>četvrtak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46253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46260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46261</v>
      </c>
      <c r="B64" s="7" t="inlineStr">
        <is>
          <t>četvrtak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46265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5" t="n"/>
    </row>
    <row r="66">
      <c r="A66" s="6" t="n">
        <v>46267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46274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46275</v>
      </c>
      <c r="B68" s="7" t="inlineStr">
        <is>
          <t>četvrtak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46281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46288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46289</v>
      </c>
      <c r="B71" s="7" t="inlineStr">
        <is>
          <t>četvrtak</t>
        </is>
      </c>
      <c r="C71" s="7" t="inlineStr">
        <is>
          <t>rujan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46293</v>
      </c>
      <c r="B72" s="7" t="inlineStr">
        <is>
          <t>ponedjeljak</t>
        </is>
      </c>
      <c r="C72" s="7" t="inlineStr">
        <is>
          <t>rujan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5" t="n"/>
    </row>
    <row r="73">
      <c r="A73" s="6" t="n">
        <v>46295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46302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46303</v>
      </c>
      <c r="B75" s="7" t="inlineStr">
        <is>
          <t>četvrtak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46309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46316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46317</v>
      </c>
      <c r="B78" s="7" t="inlineStr">
        <is>
          <t>četvrtak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46321</v>
      </c>
      <c r="B79" s="7" t="inlineStr">
        <is>
          <t>ponedjeljak</t>
        </is>
      </c>
      <c r="C79" s="7" t="inlineStr">
        <is>
          <t>listopad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5" t="n"/>
    </row>
    <row r="80">
      <c r="A80" s="6" t="n">
        <v>46323</v>
      </c>
      <c r="B80" s="7" t="inlineStr">
        <is>
          <t>srijeda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46331</v>
      </c>
      <c r="B82" s="7" t="inlineStr">
        <is>
          <t>četvrtak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46337</v>
      </c>
      <c r="B83" s="7" t="inlineStr">
        <is>
          <t>srijeda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46345</v>
      </c>
      <c r="B84" s="7" t="inlineStr">
        <is>
          <t>četvrtak</t>
        </is>
      </c>
      <c r="C84" s="7" t="inlineStr">
        <is>
          <t>studeni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23" t="n">
        <v>46347</v>
      </c>
      <c r="B85" s="24" t="inlineStr">
        <is>
          <t>subota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25" t="inlineStr">
        <is>
          <t>Pomaknuto zbog neradnog dana u tjednu</t>
        </is>
      </c>
    </row>
    <row r="86">
      <c r="A86" s="6" t="n">
        <v>46349</v>
      </c>
      <c r="B86" s="7" t="inlineStr">
        <is>
          <t>ponedjeljak</t>
        </is>
      </c>
      <c r="C86" s="7" t="inlineStr">
        <is>
          <t>studeni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5" t="n"/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46359</v>
      </c>
      <c r="B89" s="7" t="inlineStr">
        <is>
          <t>četvrtak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46372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46373</v>
      </c>
      <c r="B92" s="7" t="inlineStr">
        <is>
          <t>četvrtak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46377</v>
      </c>
      <c r="B93" s="7" t="inlineStr">
        <is>
          <t>ponedjeljak</t>
        </is>
      </c>
      <c r="C93" s="7" t="inlineStr">
        <is>
          <t>prosinac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46379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46386</v>
      </c>
      <c r="B95" s="7" t="inlineStr">
        <is>
          <t>srijeda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46387</v>
      </c>
      <c r="B96" s="7" t="inlineStr">
        <is>
          <t>četvrtak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25" t="n"/>
    </row>
  </sheetData>
  <autoFilter ref="A4:H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A5:H9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46041</v>
      </c>
      <c r="B6" s="17" t="inlineStr">
        <is>
          <t>ponedjeljak</t>
        </is>
      </c>
      <c r="C6" s="10" t="inlineStr">
        <is>
          <t>Plastika i metal (PET/MET)</t>
        </is>
      </c>
      <c r="D6" s="17" t="n"/>
    </row>
    <row r="7">
      <c r="A7" s="26" t="n">
        <v>46041</v>
      </c>
      <c r="B7" s="17" t="inlineStr">
        <is>
          <t>ponedjeljak</t>
        </is>
      </c>
      <c r="C7" s="11" t="inlineStr">
        <is>
          <t>Papir (PAP)</t>
        </is>
      </c>
      <c r="D7" s="17" t="n"/>
    </row>
    <row r="8">
      <c r="A8" s="26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46057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46064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46065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46069</v>
      </c>
      <c r="B14" s="17" t="inlineStr">
        <is>
          <t>ponedjeljak</t>
        </is>
      </c>
      <c r="C14" s="10" t="inlineStr">
        <is>
          <t>Plastika i metal (PET/MET)</t>
        </is>
      </c>
      <c r="D14" s="17" t="n"/>
    </row>
    <row r="15">
      <c r="A15" s="26" t="n">
        <v>46069</v>
      </c>
      <c r="B15" s="17" t="inlineStr">
        <is>
          <t>ponedjeljak</t>
        </is>
      </c>
      <c r="C15" s="11" t="inlineStr">
        <is>
          <t>Papir (PAP)</t>
        </is>
      </c>
      <c r="D15" s="17" t="n"/>
    </row>
    <row r="16">
      <c r="A16" s="26" t="n">
        <v>46071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46085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46092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46093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46097</v>
      </c>
      <c r="B22" s="17" t="inlineStr">
        <is>
          <t>ponedjeljak</t>
        </is>
      </c>
      <c r="C22" s="10" t="inlineStr">
        <is>
          <t>Plastika i metal (PET/MET)</t>
        </is>
      </c>
      <c r="D22" s="17" t="n"/>
    </row>
    <row r="23">
      <c r="A23" s="26" t="n">
        <v>46097</v>
      </c>
      <c r="B23" s="17" t="inlineStr">
        <is>
          <t>ponedjeljak</t>
        </is>
      </c>
      <c r="C23" s="11" t="inlineStr">
        <is>
          <t>Papir (PAP)</t>
        </is>
      </c>
      <c r="D23" s="17" t="n"/>
    </row>
    <row r="24">
      <c r="A24" s="26" t="n">
        <v>46099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46113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46120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46121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46125</v>
      </c>
      <c r="B30" s="17" t="inlineStr">
        <is>
          <t>ponedjeljak</t>
        </is>
      </c>
      <c r="C30" s="10" t="inlineStr">
        <is>
          <t>Plastika i metal (PET/MET)</t>
        </is>
      </c>
      <c r="D30" s="17" t="n"/>
    </row>
    <row r="31">
      <c r="A31" s="26" t="n">
        <v>46125</v>
      </c>
      <c r="B31" s="17" t="inlineStr">
        <is>
          <t>ponedjeljak</t>
        </is>
      </c>
      <c r="C31" s="11" t="inlineStr">
        <is>
          <t>Papir (PAP)</t>
        </is>
      </c>
      <c r="D31" s="17" t="n"/>
    </row>
    <row r="32">
      <c r="A32" s="26" t="n">
        <v>46127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46141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46148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46149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46153</v>
      </c>
      <c r="B38" s="17" t="inlineStr">
        <is>
          <t>ponedjeljak</t>
        </is>
      </c>
      <c r="C38" s="10" t="inlineStr">
        <is>
          <t>Plastika i metal (PET/MET)</t>
        </is>
      </c>
      <c r="D38" s="17" t="n"/>
    </row>
    <row r="39">
      <c r="A39" s="26" t="n">
        <v>46153</v>
      </c>
      <c r="B39" s="17" t="inlineStr">
        <is>
          <t>ponedjeljak</t>
        </is>
      </c>
      <c r="C39" s="11" t="inlineStr">
        <is>
          <t>Papir (PAP)</t>
        </is>
      </c>
      <c r="D39" s="17" t="n"/>
    </row>
    <row r="40">
      <c r="A40" s="26" t="n">
        <v>46155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46169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46176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46179</v>
      </c>
      <c r="B45" s="17" t="inlineStr">
        <is>
          <t>subota</t>
        </is>
      </c>
      <c r="C45" s="9" t="inlineStr">
        <is>
          <t>Biootpad</t>
        </is>
      </c>
      <c r="D45" s="17" t="inlineStr">
        <is>
          <t>Pomaknuto zbog neradnog dana u tjednu</t>
        </is>
      </c>
    </row>
    <row r="46">
      <c r="A46" s="26" t="n">
        <v>46181</v>
      </c>
      <c r="B46" s="17" t="inlineStr">
        <is>
          <t>ponedjeljak</t>
        </is>
      </c>
      <c r="C46" s="10" t="inlineStr">
        <is>
          <t>Plastika i metal (PET/MET)</t>
        </is>
      </c>
      <c r="D46" s="17" t="n"/>
    </row>
    <row r="47">
      <c r="A47" s="26" t="n">
        <v>46181</v>
      </c>
      <c r="B47" s="17" t="inlineStr">
        <is>
          <t>ponedjeljak</t>
        </is>
      </c>
      <c r="C47" s="11" t="inlineStr">
        <is>
          <t>Papir (PAP)</t>
        </is>
      </c>
      <c r="D47" s="17" t="n"/>
    </row>
    <row r="48">
      <c r="A48" s="26" t="n">
        <v>46183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46197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46204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46205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46209</v>
      </c>
      <c r="B54" s="17" t="inlineStr">
        <is>
          <t>ponedjeljak</t>
        </is>
      </c>
      <c r="C54" s="10" t="inlineStr">
        <is>
          <t>Plastika i metal (PET/MET)</t>
        </is>
      </c>
      <c r="D54" s="17" t="n"/>
    </row>
    <row r="55">
      <c r="A55" s="26" t="n">
        <v>46209</v>
      </c>
      <c r="B55" s="17" t="inlineStr">
        <is>
          <t>ponedjeljak</t>
        </is>
      </c>
      <c r="C55" s="11" t="inlineStr">
        <is>
          <t>Papir (PAP)</t>
        </is>
      </c>
      <c r="D55" s="17" t="n"/>
    </row>
    <row r="56">
      <c r="A56" s="26" t="n">
        <v>46211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46225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46232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46233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46237</v>
      </c>
      <c r="B62" s="17" t="inlineStr">
        <is>
          <t>ponedjeljak</t>
        </is>
      </c>
      <c r="C62" s="10" t="inlineStr">
        <is>
          <t>Plastika i metal (PET/MET)</t>
        </is>
      </c>
      <c r="D62" s="17" t="n"/>
    </row>
    <row r="63">
      <c r="A63" s="26" t="n">
        <v>46237</v>
      </c>
      <c r="B63" s="17" t="inlineStr">
        <is>
          <t>ponedjeljak</t>
        </is>
      </c>
      <c r="C63" s="11" t="inlineStr">
        <is>
          <t>Papir (PAP)</t>
        </is>
      </c>
      <c r="D63" s="17" t="n"/>
    </row>
    <row r="64">
      <c r="A64" s="26" t="n">
        <v>46242</v>
      </c>
      <c r="B64" s="17" t="inlineStr">
        <is>
          <t>subota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  <row r="65">
      <c r="A65" s="26" t="n">
        <v>46246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46253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46260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46261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46265</v>
      </c>
      <c r="B70" s="17" t="inlineStr">
        <is>
          <t>ponedjeljak</t>
        </is>
      </c>
      <c r="C70" s="10" t="inlineStr">
        <is>
          <t>Plastika i metal (PET/MET)</t>
        </is>
      </c>
      <c r="D70" s="17" t="n"/>
    </row>
    <row r="71">
      <c r="A71" s="26" t="n">
        <v>46265</v>
      </c>
      <c r="B71" s="17" t="inlineStr">
        <is>
          <t>ponedjeljak</t>
        </is>
      </c>
      <c r="C71" s="11" t="inlineStr">
        <is>
          <t>Papir (PAP)</t>
        </is>
      </c>
      <c r="D71" s="17" t="n"/>
    </row>
    <row r="72">
      <c r="A72" s="26" t="n">
        <v>46267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46274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46281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46288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46289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46293</v>
      </c>
      <c r="B78" s="17" t="inlineStr">
        <is>
          <t>ponedjeljak</t>
        </is>
      </c>
      <c r="C78" s="10" t="inlineStr">
        <is>
          <t>Plastika i metal (PET/MET)</t>
        </is>
      </c>
      <c r="D78" s="17" t="n"/>
    </row>
    <row r="79">
      <c r="A79" s="26" t="n">
        <v>46293</v>
      </c>
      <c r="B79" s="17" t="inlineStr">
        <is>
          <t>ponedjeljak</t>
        </is>
      </c>
      <c r="C79" s="11" t="inlineStr">
        <is>
          <t>Papir (PAP)</t>
        </is>
      </c>
      <c r="D79" s="17" t="n"/>
    </row>
    <row r="80">
      <c r="A80" s="26" t="n">
        <v>46295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46309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46316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6" t="n">
        <v>46317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46321</v>
      </c>
      <c r="B86" s="17" t="inlineStr">
        <is>
          <t>ponedjeljak</t>
        </is>
      </c>
      <c r="C86" s="10" t="inlineStr">
        <is>
          <t>Plastika i metal (PET/MET)</t>
        </is>
      </c>
      <c r="D86" s="17" t="n"/>
    </row>
    <row r="87">
      <c r="A87" s="26" t="n">
        <v>46321</v>
      </c>
      <c r="B87" s="17" t="inlineStr">
        <is>
          <t>ponedjeljak</t>
        </is>
      </c>
      <c r="C87" s="11" t="inlineStr">
        <is>
          <t>Papir (PAP)</t>
        </is>
      </c>
      <c r="D87" s="17" t="n"/>
    </row>
    <row r="88">
      <c r="A88" s="26" t="n">
        <v>46323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6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46337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46345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46347</v>
      </c>
      <c r="B93" s="17" t="inlineStr">
        <is>
          <t>subota</t>
        </is>
      </c>
      <c r="C93" s="5" t="inlineStr">
        <is>
          <t>Miješani komunalni otpad</t>
        </is>
      </c>
      <c r="D93" s="17" t="inlineStr">
        <is>
          <t>Pomaknuto zbog neradnog dana u tjednu</t>
        </is>
      </c>
    </row>
    <row r="94">
      <c r="A94" s="26" t="n">
        <v>46349</v>
      </c>
      <c r="B94" s="17" t="inlineStr">
        <is>
          <t>ponedjeljak</t>
        </is>
      </c>
      <c r="C94" s="10" t="inlineStr">
        <is>
          <t>Plastika i metal (PET/MET)</t>
        </is>
      </c>
      <c r="D94" s="17" t="n"/>
    </row>
    <row r="95">
      <c r="A95" s="26" t="n">
        <v>46349</v>
      </c>
      <c r="B95" s="17" t="inlineStr">
        <is>
          <t>ponedjeljak</t>
        </is>
      </c>
      <c r="C95" s="11" t="inlineStr">
        <is>
          <t>Papir (PAP)</t>
        </is>
      </c>
      <c r="D95" s="17" t="n"/>
    </row>
    <row r="96">
      <c r="A96" s="26" t="n">
        <v>46351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46358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46359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46365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46372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6" t="n">
        <v>46373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46377</v>
      </c>
      <c r="B102" s="17" t="inlineStr">
        <is>
          <t>ponedjeljak</t>
        </is>
      </c>
      <c r="C102" s="10" t="inlineStr">
        <is>
          <t>Plastika i metal (PET/MET)</t>
        </is>
      </c>
      <c r="D102" s="17" t="n"/>
    </row>
    <row r="103">
      <c r="A103" s="26" t="n">
        <v>46377</v>
      </c>
      <c r="B103" s="17" t="inlineStr">
        <is>
          <t>ponedjeljak</t>
        </is>
      </c>
      <c r="C103" s="11" t="inlineStr">
        <is>
          <t>Papir (PAP)</t>
        </is>
      </c>
      <c r="D103" s="17" t="n"/>
    </row>
    <row r="104">
      <c r="A104" s="26" t="n">
        <v>46379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6" t="n">
        <v>46386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9" t="inlineStr">
        <is>
          <t>Biootpad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Celine Samoborske</t>
        </is>
      </c>
    </row>
    <row r="6">
      <c r="A6" s="17" t="inlineStr">
        <is>
          <t>Gradna</t>
        </is>
      </c>
    </row>
    <row r="7">
      <c r="A7" s="17" t="inlineStr">
        <is>
          <t>Medsave</t>
        </is>
      </c>
    </row>
    <row r="8">
      <c r="A8" s="17" t="inlineStr">
        <is>
          <t>Savršćak</t>
        </is>
      </c>
    </row>
    <row r="9">
      <c r="A9" s="17" t="inlineStr">
        <is>
          <t>Vrbovec Samoborski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
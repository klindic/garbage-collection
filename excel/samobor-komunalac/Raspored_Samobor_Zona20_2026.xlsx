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'Raspored'!$A$4:$H$70</definedName>
    <definedName name="_xlnm._FilterDatabase" localSheetId="2" hidden="1">'Po vrsti'!$A$1:$D$107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IFERROR(1/(1/_xlfn.MINIFS(Raspored!$A$5:$A$70,Raspored!$D$5:$D$70,"x",Raspored!$A$5:$A$70,"&gt;="&amp;$B$3)),"nema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COUNTIF(Raspored!$D$5:$D$70,"x")</f>
        <v/>
      </c>
    </row>
    <row r="7">
      <c r="A7" s="9" t="inlineStr">
        <is>
          <t>Biootpad</t>
        </is>
      </c>
      <c r="B7" s="6">
        <f>IFERROR(1/(1/_xlfn.MINIFS(Raspored!$A$5:$A$70,Raspored!$E$5:$E$70,"x",Raspored!$A$5:$A$70,"&gt;="&amp;$B$3)),"nema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COUNTIF(Raspored!$E$5:$E$70,"x")</f>
        <v/>
      </c>
    </row>
    <row r="8">
      <c r="A8" s="10" t="inlineStr">
        <is>
          <t>Plastika i metal (PET/MET)</t>
        </is>
      </c>
      <c r="B8" s="6">
        <f>IFERROR(1/(1/_xlfn.MINIFS(Raspored!$A$5:$A$70,Raspored!$F$5:$F$70,"x",Raspored!$A$5:$A$70,"&gt;="&amp;$B$3)),"nema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COUNTIF(Raspored!$F$5:$F$70,"x")</f>
        <v/>
      </c>
    </row>
    <row r="9">
      <c r="A9" s="11" t="inlineStr">
        <is>
          <t>Papir (PAP)</t>
        </is>
      </c>
      <c r="B9" s="6">
        <f>IFERROR(1/(1/_xlfn.MINIFS(Raspored!$A$5:$A$70,Raspored!$G$5:$G$70,"x",Raspored!$A$5:$A$70,"&gt;="&amp;$B$3)),"nema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COUNTIFS(Raspored!$C$5:$C$70,$A13,Raspored!$D$5:$D$70,"x")</f>
        <v/>
      </c>
      <c r="C13" s="7">
        <f>COUNTIFS(Raspored!$C$5:$C$70,$A13,Raspored!$E$5:$E$70,"x")</f>
        <v/>
      </c>
      <c r="D13" s="7">
        <f>COUNTIFS(Raspored!$C$5:$C$70,$A13,Raspored!$F$5:$F$70,"x")</f>
        <v/>
      </c>
      <c r="E13" s="7">
        <f>COUNTIFS(Raspored!$C$5:$C$70,$A13,Raspored!$G$5:$G$70,"x")</f>
        <v/>
      </c>
    </row>
    <row r="14">
      <c r="A14" s="17" t="inlineStr">
        <is>
          <t>veljača</t>
        </is>
      </c>
      <c r="B14" s="7">
        <f>COUNTIFS(Raspored!$C$5:$C$70,$A14,Raspored!$D$5:$D$70,"x")</f>
        <v/>
      </c>
      <c r="C14" s="7">
        <f>COUNTIFS(Raspored!$C$5:$C$70,$A14,Raspored!$E$5:$E$70,"x")</f>
        <v/>
      </c>
      <c r="D14" s="7">
        <f>COUNTIFS(Raspored!$C$5:$C$70,$A14,Raspored!$F$5:$F$70,"x")</f>
        <v/>
      </c>
      <c r="E14" s="7">
        <f>COUNTIFS(Raspored!$C$5:$C$70,$A14,Raspored!$G$5:$G$70,"x")</f>
        <v/>
      </c>
    </row>
    <row r="15">
      <c r="A15" s="17" t="inlineStr">
        <is>
          <t>ožujak</t>
        </is>
      </c>
      <c r="B15" s="7">
        <f>COUNTIFS(Raspored!$C$5:$C$70,$A15,Raspored!$D$5:$D$70,"x")</f>
        <v/>
      </c>
      <c r="C15" s="7">
        <f>COUNTIFS(Raspored!$C$5:$C$70,$A15,Raspored!$E$5:$E$70,"x")</f>
        <v/>
      </c>
      <c r="D15" s="7">
        <f>COUNTIFS(Raspored!$C$5:$C$70,$A15,Raspored!$F$5:$F$70,"x")</f>
        <v/>
      </c>
      <c r="E15" s="7">
        <f>COUNTIFS(Raspored!$C$5:$C$70,$A15,Raspored!$G$5:$G$70,"x")</f>
        <v/>
      </c>
    </row>
    <row r="16">
      <c r="A16" s="17" t="inlineStr">
        <is>
          <t>travanj</t>
        </is>
      </c>
      <c r="B16" s="7">
        <f>COUNTIFS(Raspored!$C$5:$C$70,$A16,Raspored!$D$5:$D$70,"x")</f>
        <v/>
      </c>
      <c r="C16" s="7">
        <f>COUNTIFS(Raspored!$C$5:$C$70,$A16,Raspored!$E$5:$E$70,"x")</f>
        <v/>
      </c>
      <c r="D16" s="7">
        <f>COUNTIFS(Raspored!$C$5:$C$70,$A16,Raspored!$F$5:$F$70,"x")</f>
        <v/>
      </c>
      <c r="E16" s="7">
        <f>COUNTIFS(Raspored!$C$5:$C$70,$A16,Raspored!$G$5:$G$70,"x")</f>
        <v/>
      </c>
    </row>
    <row r="17">
      <c r="A17" s="17" t="inlineStr">
        <is>
          <t>svibanj</t>
        </is>
      </c>
      <c r="B17" s="7">
        <f>COUNTIFS(Raspored!$C$5:$C$70,$A17,Raspored!$D$5:$D$70,"x")</f>
        <v/>
      </c>
      <c r="C17" s="7">
        <f>COUNTIFS(Raspored!$C$5:$C$70,$A17,Raspored!$E$5:$E$70,"x")</f>
        <v/>
      </c>
      <c r="D17" s="7">
        <f>COUNTIFS(Raspored!$C$5:$C$70,$A17,Raspored!$F$5:$F$70,"x")</f>
        <v/>
      </c>
      <c r="E17" s="7">
        <f>COUNTIFS(Raspored!$C$5:$C$70,$A17,Raspored!$G$5:$G$70,"x")</f>
        <v/>
      </c>
    </row>
    <row r="18">
      <c r="A18" s="17" t="inlineStr">
        <is>
          <t>lipanj</t>
        </is>
      </c>
      <c r="B18" s="7">
        <f>COUNTIFS(Raspored!$C$5:$C$70,$A18,Raspored!$D$5:$D$70,"x")</f>
        <v/>
      </c>
      <c r="C18" s="7">
        <f>COUNTIFS(Raspored!$C$5:$C$70,$A18,Raspored!$E$5:$E$70,"x")</f>
        <v/>
      </c>
      <c r="D18" s="7">
        <f>COUNTIFS(Raspored!$C$5:$C$70,$A18,Raspored!$F$5:$F$70,"x")</f>
        <v/>
      </c>
      <c r="E18" s="7">
        <f>COUNTIFS(Raspored!$C$5:$C$70,$A18,Raspored!$G$5:$G$70,"x")</f>
        <v/>
      </c>
    </row>
    <row r="19">
      <c r="A19" s="17" t="inlineStr">
        <is>
          <t>srpanj</t>
        </is>
      </c>
      <c r="B19" s="7">
        <f>COUNTIFS(Raspored!$C$5:$C$70,$A19,Raspored!$D$5:$D$70,"x")</f>
        <v/>
      </c>
      <c r="C19" s="7">
        <f>COUNTIFS(Raspored!$C$5:$C$70,$A19,Raspored!$E$5:$E$70,"x")</f>
        <v/>
      </c>
      <c r="D19" s="7">
        <f>COUNTIFS(Raspored!$C$5:$C$70,$A19,Raspored!$F$5:$F$70,"x")</f>
        <v/>
      </c>
      <c r="E19" s="7">
        <f>COUNTIFS(Raspored!$C$5:$C$70,$A19,Raspored!$G$5:$G$70,"x")</f>
        <v/>
      </c>
    </row>
    <row r="20">
      <c r="A20" s="17" t="inlineStr">
        <is>
          <t>kolovoz</t>
        </is>
      </c>
      <c r="B20" s="7">
        <f>COUNTIFS(Raspored!$C$5:$C$70,$A20,Raspored!$D$5:$D$70,"x")</f>
        <v/>
      </c>
      <c r="C20" s="7">
        <f>COUNTIFS(Raspored!$C$5:$C$70,$A20,Raspored!$E$5:$E$70,"x")</f>
        <v/>
      </c>
      <c r="D20" s="7">
        <f>COUNTIFS(Raspored!$C$5:$C$70,$A20,Raspored!$F$5:$F$70,"x")</f>
        <v/>
      </c>
      <c r="E20" s="7">
        <f>COUNTIFS(Raspored!$C$5:$C$70,$A20,Raspored!$G$5:$G$70,"x")</f>
        <v/>
      </c>
    </row>
    <row r="21">
      <c r="A21" s="17" t="inlineStr">
        <is>
          <t>rujan</t>
        </is>
      </c>
      <c r="B21" s="7">
        <f>COUNTIFS(Raspored!$C$5:$C$70,$A21,Raspored!$D$5:$D$70,"x")</f>
        <v/>
      </c>
      <c r="C21" s="7">
        <f>COUNTIFS(Raspored!$C$5:$C$70,$A21,Raspored!$E$5:$E$70,"x")</f>
        <v/>
      </c>
      <c r="D21" s="7">
        <f>COUNTIFS(Raspored!$C$5:$C$70,$A21,Raspored!$F$5:$F$70,"x")</f>
        <v/>
      </c>
      <c r="E21" s="7">
        <f>COUNTIFS(Raspored!$C$5:$C$70,$A21,Raspored!$G$5:$G$70,"x")</f>
        <v/>
      </c>
    </row>
    <row r="22">
      <c r="A22" s="17" t="inlineStr">
        <is>
          <t>listopad</t>
        </is>
      </c>
      <c r="B22" s="7">
        <f>COUNTIFS(Raspored!$C$5:$C$70,$A22,Raspored!$D$5:$D$70,"x")</f>
        <v/>
      </c>
      <c r="C22" s="7">
        <f>COUNTIFS(Raspored!$C$5:$C$70,$A22,Raspored!$E$5:$E$70,"x")</f>
        <v/>
      </c>
      <c r="D22" s="7">
        <f>COUNTIFS(Raspored!$C$5:$C$70,$A22,Raspored!$F$5:$F$70,"x")</f>
        <v/>
      </c>
      <c r="E22" s="7">
        <f>COUNTIFS(Raspored!$C$5:$C$70,$A22,Raspored!$G$5:$G$70,"x")</f>
        <v/>
      </c>
    </row>
    <row r="23">
      <c r="A23" s="17" t="inlineStr">
        <is>
          <t>studeni</t>
        </is>
      </c>
      <c r="B23" s="7">
        <f>COUNTIFS(Raspored!$C$5:$C$70,$A23,Raspored!$D$5:$D$70,"x")</f>
        <v/>
      </c>
      <c r="C23" s="7">
        <f>COUNTIFS(Raspored!$C$5:$C$70,$A23,Raspored!$E$5:$E$70,"x")</f>
        <v/>
      </c>
      <c r="D23" s="7">
        <f>COUNTIFS(Raspored!$C$5:$C$70,$A23,Raspored!$F$5:$F$70,"x")</f>
        <v/>
      </c>
      <c r="E23" s="7">
        <f>COUNTIFS(Raspored!$C$5:$C$70,$A23,Raspored!$G$5:$G$70,"x")</f>
        <v/>
      </c>
    </row>
    <row r="24">
      <c r="A24" s="17" t="inlineStr">
        <is>
          <t>prosinac</t>
        </is>
      </c>
      <c r="B24" s="7">
        <f>COUNTIFS(Raspored!$C$5:$C$70,$A24,Raspored!$D$5:$D$70,"x")</f>
        <v/>
      </c>
      <c r="C24" s="7">
        <f>COUNTIFS(Raspored!$C$5:$C$70,$A24,Raspored!$E$5:$E$70,"x")</f>
        <v/>
      </c>
      <c r="D24" s="7">
        <f>COUNTIFS(Raspored!$C$5:$C$70,$A24,Raspored!$F$5:$F$70,"x")</f>
        <v/>
      </c>
      <c r="E24" s="7">
        <f>COUNTIFS(Raspored!$C$5:$C$70,$A24,Raspored!$G$5:$G$70,"x")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5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5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5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5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5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23" t="n">
        <v>46179</v>
      </c>
      <c r="B32" s="24" t="inlineStr">
        <is>
          <t>subota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inlineStr">
        <is>
          <t>Pomaknuto zbog neradnog dana u tjednu</t>
        </is>
      </c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5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5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5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5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46238</v>
      </c>
      <c r="B43" s="7" t="inlineStr">
        <is>
          <t>utorak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5" t="n"/>
    </row>
    <row r="44">
      <c r="A44" s="6" t="n">
        <v>46240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5" t="n"/>
    </row>
    <row r="48">
      <c r="A48" s="6" t="n">
        <v>46266</v>
      </c>
      <c r="B48" s="7" t="inlineStr">
        <is>
          <t>utorak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5" t="n"/>
    </row>
    <row r="49">
      <c r="A49" s="6" t="n">
        <v>46268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46275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46294</v>
      </c>
      <c r="B53" s="7" t="inlineStr">
        <is>
          <t>utorak</t>
        </is>
      </c>
      <c r="C53" s="7" t="inlineStr">
        <is>
          <t>rujan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5" t="n"/>
    </row>
    <row r="54">
      <c r="A54" s="6" t="n">
        <v>46296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46303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  <row r="58">
      <c r="A58" s="6" t="n">
        <v>46322</v>
      </c>
      <c r="B58" s="7" t="inlineStr">
        <is>
          <t>utorak</t>
        </is>
      </c>
      <c r="C58" s="7" t="inlineStr">
        <is>
          <t>listopad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5" t="n"/>
    </row>
    <row r="59">
      <c r="A59" s="6" t="n">
        <v>46324</v>
      </c>
      <c r="B59" s="7" t="inlineStr">
        <is>
          <t>četvrtak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46331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5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5" t="n"/>
    </row>
    <row r="63">
      <c r="A63" s="6" t="n">
        <v>46350</v>
      </c>
      <c r="B63" s="7" t="inlineStr">
        <is>
          <t>utorak</t>
        </is>
      </c>
      <c r="C63" s="7" t="inlineStr">
        <is>
          <t>studeni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5" t="n"/>
    </row>
    <row r="64">
      <c r="A64" s="6" t="n">
        <v>46352</v>
      </c>
      <c r="B64" s="7" t="inlineStr">
        <is>
          <t>četvrtak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46359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5" t="n"/>
    </row>
    <row r="66">
      <c r="A66" s="6" t="n">
        <v>46366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5" t="n"/>
    </row>
    <row r="68">
      <c r="A68" s="6" t="n">
        <v>46378</v>
      </c>
      <c r="B68" s="7" t="inlineStr">
        <is>
          <t>utorak</t>
        </is>
      </c>
      <c r="C68" s="7" t="inlineStr">
        <is>
          <t>prosinac</t>
        </is>
      </c>
      <c r="D68" s="7" t="n"/>
      <c r="E68" s="7" t="n"/>
      <c r="F68" s="7" t="inlineStr">
        <is>
          <t>x</t>
        </is>
      </c>
      <c r="G68" s="7" t="inlineStr">
        <is>
          <t>x</t>
        </is>
      </c>
      <c r="H68" s="25" t="n"/>
    </row>
    <row r="69">
      <c r="A69" s="6" t="n">
        <v>46380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46387</v>
      </c>
      <c r="B70" s="7" t="inlineStr">
        <is>
          <t>četvrtak</t>
        </is>
      </c>
      <c r="C70" s="7" t="inlineStr">
        <is>
          <t>prosinac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5" t="n"/>
    </row>
  </sheetData>
  <autoFilter ref="A4:H70"/>
  <conditionalFormatting sqref="D5:D70">
    <cfRule type="expression" priority="1" dxfId="0">
      <formula>D5="x"</formula>
    </cfRule>
  </conditionalFormatting>
  <conditionalFormatting sqref="E5:E70">
    <cfRule type="expression" priority="2" dxfId="1">
      <formula>E5="x"</formula>
    </cfRule>
  </conditionalFormatting>
  <conditionalFormatting sqref="F5:F70">
    <cfRule type="expression" priority="3" dxfId="2">
      <formula>F5="x"</formula>
    </cfRule>
  </conditionalFormatting>
  <conditionalFormatting sqref="G5:G70">
    <cfRule type="expression" priority="4" dxfId="3">
      <formula>G5="x"</formula>
    </cfRule>
  </conditionalFormatting>
  <conditionalFormatting sqref="A5:H7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46037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46037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6" t="n">
        <v>46042</v>
      </c>
      <c r="B7" s="17" t="inlineStr">
        <is>
          <t>utorak</t>
        </is>
      </c>
      <c r="C7" s="10" t="inlineStr">
        <is>
          <t>Plastika i metal (PET/MET)</t>
        </is>
      </c>
      <c r="D7" s="17" t="n"/>
    </row>
    <row r="8">
      <c r="A8" s="26" t="n">
        <v>46042</v>
      </c>
      <c r="B8" s="17" t="inlineStr">
        <is>
          <t>utorak</t>
        </is>
      </c>
      <c r="C8" s="11" t="inlineStr">
        <is>
          <t>Papir (PAP)</t>
        </is>
      </c>
      <c r="D8" s="17" t="n"/>
    </row>
    <row r="9">
      <c r="A9" s="26" t="n">
        <v>46044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46051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46051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46058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46065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46065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46070</v>
      </c>
      <c r="B15" s="17" t="inlineStr">
        <is>
          <t>utorak</t>
        </is>
      </c>
      <c r="C15" s="10" t="inlineStr">
        <is>
          <t>Plastika i metal (PET/MET)</t>
        </is>
      </c>
      <c r="D15" s="17" t="n"/>
    </row>
    <row r="16">
      <c r="A16" s="26" t="n">
        <v>46070</v>
      </c>
      <c r="B16" s="17" t="inlineStr">
        <is>
          <t>utorak</t>
        </is>
      </c>
      <c r="C16" s="11" t="inlineStr">
        <is>
          <t>Papir (PAP)</t>
        </is>
      </c>
      <c r="D16" s="17" t="n"/>
    </row>
    <row r="17">
      <c r="A17" s="26" t="n">
        <v>46072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46079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46079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46086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46093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46093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46098</v>
      </c>
      <c r="B23" s="17" t="inlineStr">
        <is>
          <t>utorak</t>
        </is>
      </c>
      <c r="C23" s="10" t="inlineStr">
        <is>
          <t>Plastika i metal (PET/MET)</t>
        </is>
      </c>
      <c r="D23" s="17" t="n"/>
    </row>
    <row r="24">
      <c r="A24" s="26" t="n">
        <v>46098</v>
      </c>
      <c r="B24" s="17" t="inlineStr">
        <is>
          <t>utorak</t>
        </is>
      </c>
      <c r="C24" s="11" t="inlineStr">
        <is>
          <t>Papir (PAP)</t>
        </is>
      </c>
      <c r="D24" s="17" t="n"/>
    </row>
    <row r="25">
      <c r="A25" s="26" t="n">
        <v>46100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46107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46107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46114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46121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46121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46126</v>
      </c>
      <c r="B31" s="17" t="inlineStr">
        <is>
          <t>utorak</t>
        </is>
      </c>
      <c r="C31" s="10" t="inlineStr">
        <is>
          <t>Plastika i metal (PET/MET)</t>
        </is>
      </c>
      <c r="D31" s="17" t="n"/>
    </row>
    <row r="32">
      <c r="A32" s="26" t="n">
        <v>46126</v>
      </c>
      <c r="B32" s="17" t="inlineStr">
        <is>
          <t>utorak</t>
        </is>
      </c>
      <c r="C32" s="11" t="inlineStr">
        <is>
          <t>Papir (PAP)</t>
        </is>
      </c>
      <c r="D32" s="17" t="n"/>
    </row>
    <row r="33">
      <c r="A33" s="26" t="n">
        <v>46128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46135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46135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46142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46149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46149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46154</v>
      </c>
      <c r="B39" s="17" t="inlineStr">
        <is>
          <t>utorak</t>
        </is>
      </c>
      <c r="C39" s="10" t="inlineStr">
        <is>
          <t>Plastika i metal (PET/MET)</t>
        </is>
      </c>
      <c r="D39" s="17" t="n"/>
    </row>
    <row r="40">
      <c r="A40" s="26" t="n">
        <v>46154</v>
      </c>
      <c r="B40" s="17" t="inlineStr">
        <is>
          <t>utorak</t>
        </is>
      </c>
      <c r="C40" s="11" t="inlineStr">
        <is>
          <t>Papir (PAP)</t>
        </is>
      </c>
      <c r="D40" s="17" t="n"/>
    </row>
    <row r="41">
      <c r="A41" s="26" t="n">
        <v>46156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46163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46163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46170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46179</v>
      </c>
      <c r="B45" s="17" t="inlineStr">
        <is>
          <t>subota</t>
        </is>
      </c>
      <c r="C45" s="5" t="inlineStr">
        <is>
          <t>Miješani komunalni otpad</t>
        </is>
      </c>
      <c r="D45" s="17" t="inlineStr">
        <is>
          <t>Pomaknuto zbog neradnog dana u tjednu</t>
        </is>
      </c>
    </row>
    <row r="46">
      <c r="A46" s="26" t="n">
        <v>46179</v>
      </c>
      <c r="B46" s="17" t="inlineStr">
        <is>
          <t>subota</t>
        </is>
      </c>
      <c r="C46" s="9" t="inlineStr">
        <is>
          <t>Biootpad</t>
        </is>
      </c>
      <c r="D46" s="17" t="inlineStr">
        <is>
          <t>Pomaknuto zbog neradnog dana u tjednu</t>
        </is>
      </c>
    </row>
    <row r="47">
      <c r="A47" s="26" t="n">
        <v>46182</v>
      </c>
      <c r="B47" s="17" t="inlineStr">
        <is>
          <t>utorak</t>
        </is>
      </c>
      <c r="C47" s="10" t="inlineStr">
        <is>
          <t>Plastika i metal (PET/MET)</t>
        </is>
      </c>
      <c r="D47" s="17" t="n"/>
    </row>
    <row r="48">
      <c r="A48" s="26" t="n">
        <v>46182</v>
      </c>
      <c r="B48" s="17" t="inlineStr">
        <is>
          <t>utorak</t>
        </is>
      </c>
      <c r="C48" s="11" t="inlineStr">
        <is>
          <t>Papir (PAP)</t>
        </is>
      </c>
      <c r="D48" s="17" t="n"/>
    </row>
    <row r="49">
      <c r="A49" s="26" t="n">
        <v>46184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46191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46191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46198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46205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46205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46210</v>
      </c>
      <c r="B55" s="17" t="inlineStr">
        <is>
          <t>utorak</t>
        </is>
      </c>
      <c r="C55" s="10" t="inlineStr">
        <is>
          <t>Plastika i metal (PET/MET)</t>
        </is>
      </c>
      <c r="D55" s="17" t="n"/>
    </row>
    <row r="56">
      <c r="A56" s="26" t="n">
        <v>46210</v>
      </c>
      <c r="B56" s="17" t="inlineStr">
        <is>
          <t>utorak</t>
        </is>
      </c>
      <c r="C56" s="11" t="inlineStr">
        <is>
          <t>Papir (PAP)</t>
        </is>
      </c>
      <c r="D56" s="17" t="n"/>
    </row>
    <row r="57">
      <c r="A57" s="26" t="n">
        <v>46212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6" t="n">
        <v>46219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46219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46226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46233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46233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46238</v>
      </c>
      <c r="B63" s="17" t="inlineStr">
        <is>
          <t>utorak</t>
        </is>
      </c>
      <c r="C63" s="10" t="inlineStr">
        <is>
          <t>Plastika i metal (PET/MET)</t>
        </is>
      </c>
      <c r="D63" s="17" t="n"/>
    </row>
    <row r="64">
      <c r="A64" s="26" t="n">
        <v>46238</v>
      </c>
      <c r="B64" s="17" t="inlineStr">
        <is>
          <t>utorak</t>
        </is>
      </c>
      <c r="C64" s="11" t="inlineStr">
        <is>
          <t>Papir (PAP)</t>
        </is>
      </c>
      <c r="D64" s="17" t="n"/>
    </row>
    <row r="65">
      <c r="A65" s="26" t="n">
        <v>46240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46247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46247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46254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46261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6" t="n">
        <v>46261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46266</v>
      </c>
      <c r="B71" s="17" t="inlineStr">
        <is>
          <t>utorak</t>
        </is>
      </c>
      <c r="C71" s="10" t="inlineStr">
        <is>
          <t>Plastika i metal (PET/MET)</t>
        </is>
      </c>
      <c r="D71" s="17" t="n"/>
    </row>
    <row r="72">
      <c r="A72" s="26" t="n">
        <v>46266</v>
      </c>
      <c r="B72" s="17" t="inlineStr">
        <is>
          <t>utorak</t>
        </is>
      </c>
      <c r="C72" s="11" t="inlineStr">
        <is>
          <t>Papir (PAP)</t>
        </is>
      </c>
      <c r="D72" s="17" t="n"/>
    </row>
    <row r="73">
      <c r="A73" s="26" t="n">
        <v>46268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6" t="n">
        <v>46275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46275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46282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46289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6" t="n">
        <v>46289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46294</v>
      </c>
      <c r="B79" s="17" t="inlineStr">
        <is>
          <t>utorak</t>
        </is>
      </c>
      <c r="C79" s="10" t="inlineStr">
        <is>
          <t>Plastika i metal (PET/MET)</t>
        </is>
      </c>
      <c r="D79" s="17" t="n"/>
    </row>
    <row r="80">
      <c r="A80" s="26" t="n">
        <v>46294</v>
      </c>
      <c r="B80" s="17" t="inlineStr">
        <is>
          <t>utorak</t>
        </is>
      </c>
      <c r="C80" s="11" t="inlineStr">
        <is>
          <t>Papir (PAP)</t>
        </is>
      </c>
      <c r="D80" s="17" t="n"/>
    </row>
    <row r="81">
      <c r="A81" s="26" t="n">
        <v>46296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6" t="n">
        <v>46303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46303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46310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46317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6" t="n">
        <v>46317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46322</v>
      </c>
      <c r="B87" s="17" t="inlineStr">
        <is>
          <t>utorak</t>
        </is>
      </c>
      <c r="C87" s="10" t="inlineStr">
        <is>
          <t>Plastika i metal (PET/MET)</t>
        </is>
      </c>
      <c r="D87" s="17" t="n"/>
    </row>
    <row r="88">
      <c r="A88" s="26" t="n">
        <v>46322</v>
      </c>
      <c r="B88" s="17" t="inlineStr">
        <is>
          <t>utorak</t>
        </is>
      </c>
      <c r="C88" s="11" t="inlineStr">
        <is>
          <t>Papir (PAP)</t>
        </is>
      </c>
      <c r="D88" s="17" t="n"/>
    </row>
    <row r="89">
      <c r="A89" s="26" t="n">
        <v>46324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6" t="n">
        <v>46331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46331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46338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46345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6" t="n">
        <v>46345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46350</v>
      </c>
      <c r="B95" s="17" t="inlineStr">
        <is>
          <t>utorak</t>
        </is>
      </c>
      <c r="C95" s="10" t="inlineStr">
        <is>
          <t>Plastika i metal (PET/MET)</t>
        </is>
      </c>
      <c r="D95" s="17" t="n"/>
    </row>
    <row r="96">
      <c r="A96" s="26" t="n">
        <v>46350</v>
      </c>
      <c r="B96" s="17" t="inlineStr">
        <is>
          <t>utorak</t>
        </is>
      </c>
      <c r="C96" s="11" t="inlineStr">
        <is>
          <t>Papir (PAP)</t>
        </is>
      </c>
      <c r="D96" s="17" t="n"/>
    </row>
    <row r="97">
      <c r="A97" s="26" t="n">
        <v>46352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6" t="n">
        <v>46359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46359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46366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46373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6" t="n">
        <v>46373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46378</v>
      </c>
      <c r="B103" s="17" t="inlineStr">
        <is>
          <t>utorak</t>
        </is>
      </c>
      <c r="C103" s="10" t="inlineStr">
        <is>
          <t>Plastika i metal (PET/MET)</t>
        </is>
      </c>
      <c r="D103" s="17" t="n"/>
    </row>
    <row r="104">
      <c r="A104" s="26" t="n">
        <v>46378</v>
      </c>
      <c r="B104" s="17" t="inlineStr">
        <is>
          <t>utorak</t>
        </is>
      </c>
      <c r="C104" s="11" t="inlineStr">
        <is>
          <t>Papir (PAP)</t>
        </is>
      </c>
      <c r="D104" s="17" t="n"/>
    </row>
    <row r="105">
      <c r="A105" s="26" t="n">
        <v>46380</v>
      </c>
      <c r="B105" s="17" t="inlineStr">
        <is>
          <t>četvrtak</t>
        </is>
      </c>
      <c r="C105" s="5" t="inlineStr">
        <is>
          <t>Miješani komunalni otpad</t>
        </is>
      </c>
      <c r="D105" s="17" t="n"/>
    </row>
    <row r="106">
      <c r="A106" s="26" t="n">
        <v>46387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46387</v>
      </c>
      <c r="B107" s="17" t="inlineStr">
        <is>
          <t>četvrtak</t>
        </is>
      </c>
      <c r="C107" s="9" t="inlineStr">
        <is>
          <t>Biootpad</t>
        </is>
      </c>
      <c r="D107" s="17" t="n"/>
    </row>
  </sheetData>
  <autoFilter ref="A1:D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Molvice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2026-10-07T17:51:37Z</dcterms:created>
  <dcterms:modified xmlns:dcterms="http://purl.org/dc/terms/" xmlns:xsi="http://www.w3.org/2001/XMLSchema-instance" xsi:type="dcterms:W3CDTF">2026-10-07T17:51:37Z</dcterms:modified>
</cp:coreProperties>
</file>
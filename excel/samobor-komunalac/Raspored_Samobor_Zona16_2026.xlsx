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'Raspored'!$A$4:$G$70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Plastika i metal (PET/MET)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Papir (PAP)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COUNTIFS(Raspored!$C$5:$C$70,$A12,Raspored!$D$5:$D$70,"x")</f>
        <v/>
      </c>
      <c r="C12" s="7">
        <f>COUNTIFS(Raspored!$C$5:$C$70,$A12,Raspored!$E$5:$E$70,"x")</f>
        <v/>
      </c>
      <c r="D12" s="7">
        <f>COUNTIFS(Raspored!$C$5:$C$70,$A12,Raspored!$F$5:$F$70,"x")</f>
        <v/>
      </c>
    </row>
    <row r="13">
      <c r="A13" s="15" t="inlineStr">
        <is>
          <t>veljača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</row>
    <row r="14">
      <c r="A14" s="15" t="inlineStr">
        <is>
          <t>ožujak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</row>
    <row r="15">
      <c r="A15" s="15" t="inlineStr">
        <is>
          <t>travanj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</row>
    <row r="16">
      <c r="A16" s="15" t="inlineStr">
        <is>
          <t>svibanj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</row>
    <row r="17">
      <c r="A17" s="15" t="inlineStr">
        <is>
          <t>lipanj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</row>
    <row r="18">
      <c r="A18" s="15" t="inlineStr">
        <is>
          <t>srpanj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</row>
    <row r="19">
      <c r="A19" s="15" t="inlineStr">
        <is>
          <t>kolovoz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</row>
    <row r="20">
      <c r="A20" s="15" t="inlineStr">
        <is>
          <t>rujan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</row>
    <row r="21">
      <c r="A21" s="15" t="inlineStr">
        <is>
          <t>listopad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</row>
    <row r="22">
      <c r="A22" s="15" t="inlineStr">
        <is>
          <t>studeni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</row>
    <row r="23">
      <c r="A23" s="15" t="inlineStr">
        <is>
          <t>prosinac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46179</v>
      </c>
      <c r="B32" s="22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46294</v>
      </c>
      <c r="B53" s="7" t="inlineStr">
        <is>
          <t>utorak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46296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46322</v>
      </c>
      <c r="B58" s="7" t="inlineStr">
        <is>
          <t>utorak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inlineStr">
        <is>
          <t>x</t>
        </is>
      </c>
      <c r="G58" s="23" t="n"/>
    </row>
    <row r="59">
      <c r="A59" s="6" t="n">
        <v>46324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46350</v>
      </c>
      <c r="B63" s="7" t="inlineStr">
        <is>
          <t>utorak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inlineStr">
        <is>
          <t>x</t>
        </is>
      </c>
      <c r="G63" s="23" t="n"/>
    </row>
    <row r="64">
      <c r="A64" s="6" t="n">
        <v>46352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46378</v>
      </c>
      <c r="B68" s="7" t="inlineStr">
        <is>
          <t>utorak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23" t="n"/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23" t="n"/>
    </row>
  </sheetData>
  <autoFilter ref="A4:G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A5:G7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Plastika i metal (PET/MET)</t>
        </is>
      </c>
      <c r="D5" s="15" t="n"/>
    </row>
    <row r="6">
      <c r="A6" s="24" t="n">
        <v>46042</v>
      </c>
      <c r="B6" s="15" t="inlineStr">
        <is>
          <t>utorak</t>
        </is>
      </c>
      <c r="C6" s="10" t="inlineStr">
        <is>
          <t>Papir (PAP)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Plastika i metal (PET/MET)</t>
        </is>
      </c>
      <c r="D11" s="15" t="n"/>
    </row>
    <row r="12">
      <c r="A12" s="24" t="n">
        <v>46070</v>
      </c>
      <c r="B12" s="15" t="inlineStr">
        <is>
          <t>utorak</t>
        </is>
      </c>
      <c r="C12" s="10" t="inlineStr">
        <is>
          <t>Papir (PAP)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9" t="inlineStr">
        <is>
          <t>Plastika i metal (PET/MET)</t>
        </is>
      </c>
      <c r="D17" s="15" t="n"/>
    </row>
    <row r="18">
      <c r="A18" s="24" t="n">
        <v>46098</v>
      </c>
      <c r="B18" s="15" t="inlineStr">
        <is>
          <t>utorak</t>
        </is>
      </c>
      <c r="C18" s="10" t="inlineStr">
        <is>
          <t>Papir (PAP)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9" t="inlineStr">
        <is>
          <t>Plastika i metal (PET/MET)</t>
        </is>
      </c>
      <c r="D23" s="15" t="n"/>
    </row>
    <row r="24">
      <c r="A24" s="24" t="n">
        <v>46126</v>
      </c>
      <c r="B24" s="15" t="inlineStr">
        <is>
          <t>utorak</t>
        </is>
      </c>
      <c r="C24" s="10" t="inlineStr">
        <is>
          <t>Papir (PAP)</t>
        </is>
      </c>
      <c r="D24" s="15" t="n"/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46154</v>
      </c>
      <c r="B29" s="15" t="inlineStr">
        <is>
          <t>utorak</t>
        </is>
      </c>
      <c r="C29" s="9" t="inlineStr">
        <is>
          <t>Plastika i metal (PET/MET)</t>
        </is>
      </c>
      <c r="D29" s="15" t="n"/>
    </row>
    <row r="30">
      <c r="A30" s="24" t="n">
        <v>46154</v>
      </c>
      <c r="B30" s="15" t="inlineStr">
        <is>
          <t>utorak</t>
        </is>
      </c>
      <c r="C30" s="10" t="inlineStr">
        <is>
          <t>Papir (PAP)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46179</v>
      </c>
      <c r="B34" s="15" t="inlineStr">
        <is>
          <t>subota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46182</v>
      </c>
      <c r="B35" s="15" t="inlineStr">
        <is>
          <t>utorak</t>
        </is>
      </c>
      <c r="C35" s="9" t="inlineStr">
        <is>
          <t>Plastika i metal (PET/MET)</t>
        </is>
      </c>
      <c r="D35" s="15" t="n"/>
    </row>
    <row r="36">
      <c r="A36" s="24" t="n">
        <v>46182</v>
      </c>
      <c r="B36" s="15" t="inlineStr">
        <is>
          <t>utorak</t>
        </is>
      </c>
      <c r="C36" s="10" t="inlineStr">
        <is>
          <t>Papir (PAP)</t>
        </is>
      </c>
      <c r="D36" s="15" t="n"/>
    </row>
    <row r="37">
      <c r="A37" s="24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9" t="inlineStr">
        <is>
          <t>Plastika i metal (PET/MET)</t>
        </is>
      </c>
      <c r="D41" s="15" t="n"/>
    </row>
    <row r="42">
      <c r="A42" s="24" t="n">
        <v>46210</v>
      </c>
      <c r="B42" s="15" t="inlineStr">
        <is>
          <t>utorak</t>
        </is>
      </c>
      <c r="C42" s="10" t="inlineStr">
        <is>
          <t>Papir (PAP)</t>
        </is>
      </c>
      <c r="D42" s="15" t="n"/>
    </row>
    <row r="43">
      <c r="A43" s="24" t="n">
        <v>46212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46238</v>
      </c>
      <c r="B47" s="15" t="inlineStr">
        <is>
          <t>utorak</t>
        </is>
      </c>
      <c r="C47" s="9" t="inlineStr">
        <is>
          <t>Plastika i metal (PET/MET)</t>
        </is>
      </c>
      <c r="D47" s="15" t="n"/>
    </row>
    <row r="48">
      <c r="A48" s="24" t="n">
        <v>46238</v>
      </c>
      <c r="B48" s="15" t="inlineStr">
        <is>
          <t>utorak</t>
        </is>
      </c>
      <c r="C48" s="10" t="inlineStr">
        <is>
          <t>Papir (PAP)</t>
        </is>
      </c>
      <c r="D48" s="15" t="n"/>
    </row>
    <row r="49">
      <c r="A49" s="24" t="n">
        <v>46240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Plastika i metal (PET/MET)</t>
        </is>
      </c>
      <c r="D53" s="15" t="n"/>
    </row>
    <row r="54">
      <c r="A54" s="24" t="n">
        <v>46266</v>
      </c>
      <c r="B54" s="15" t="inlineStr">
        <is>
          <t>utorak</t>
        </is>
      </c>
      <c r="C54" s="10" t="inlineStr">
        <is>
          <t>Papir (PAP)</t>
        </is>
      </c>
      <c r="D54" s="15" t="n"/>
    </row>
    <row r="55">
      <c r="A55" s="24" t="n">
        <v>46268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46294</v>
      </c>
      <c r="B59" s="15" t="inlineStr">
        <is>
          <t>utorak</t>
        </is>
      </c>
      <c r="C59" s="9" t="inlineStr">
        <is>
          <t>Plastika i metal (PET/MET)</t>
        </is>
      </c>
      <c r="D59" s="15" t="n"/>
    </row>
    <row r="60">
      <c r="A60" s="24" t="n">
        <v>46294</v>
      </c>
      <c r="B60" s="15" t="inlineStr">
        <is>
          <t>utorak</t>
        </is>
      </c>
      <c r="C60" s="10" t="inlineStr">
        <is>
          <t>Papir (PAP)</t>
        </is>
      </c>
      <c r="D60" s="15" t="n"/>
    </row>
    <row r="61">
      <c r="A61" s="24" t="n">
        <v>46296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46322</v>
      </c>
      <c r="B65" s="15" t="inlineStr">
        <is>
          <t>utorak</t>
        </is>
      </c>
      <c r="C65" s="9" t="inlineStr">
        <is>
          <t>Plastika i metal (PET/MET)</t>
        </is>
      </c>
      <c r="D65" s="15" t="n"/>
    </row>
    <row r="66">
      <c r="A66" s="24" t="n">
        <v>46322</v>
      </c>
      <c r="B66" s="15" t="inlineStr">
        <is>
          <t>utorak</t>
        </is>
      </c>
      <c r="C66" s="10" t="inlineStr">
        <is>
          <t>Papir (PAP)</t>
        </is>
      </c>
      <c r="D66" s="15" t="n"/>
    </row>
    <row r="67">
      <c r="A67" s="24" t="n">
        <v>46324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46350</v>
      </c>
      <c r="B71" s="15" t="inlineStr">
        <is>
          <t>utorak</t>
        </is>
      </c>
      <c r="C71" s="9" t="inlineStr">
        <is>
          <t>Plastika i metal (PET/MET)</t>
        </is>
      </c>
      <c r="D71" s="15" t="n"/>
    </row>
    <row r="72">
      <c r="A72" s="24" t="n">
        <v>46350</v>
      </c>
      <c r="B72" s="15" t="inlineStr">
        <is>
          <t>utorak</t>
        </is>
      </c>
      <c r="C72" s="10" t="inlineStr">
        <is>
          <t>Papir (PAP)</t>
        </is>
      </c>
      <c r="D72" s="15" t="n"/>
    </row>
    <row r="73">
      <c r="A73" s="24" t="n">
        <v>46352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46366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46378</v>
      </c>
      <c r="B77" s="15" t="inlineStr">
        <is>
          <t>utorak</t>
        </is>
      </c>
      <c r="C77" s="9" t="inlineStr">
        <is>
          <t>Plastika i metal (PET/MET)</t>
        </is>
      </c>
      <c r="D77" s="15" t="n"/>
    </row>
    <row r="78">
      <c r="A78" s="24" t="n">
        <v>46378</v>
      </c>
      <c r="B78" s="15" t="inlineStr">
        <is>
          <t>utorak</t>
        </is>
      </c>
      <c r="C78" s="10" t="inlineStr">
        <is>
          <t>Papir (PAP)</t>
        </is>
      </c>
      <c r="D78" s="15" t="n"/>
    </row>
    <row r="79">
      <c r="A79" s="24" t="n">
        <v>46380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Breganica</t>
        </is>
      </c>
    </row>
    <row r="6">
      <c r="A6" s="15" t="inlineStr">
        <is>
          <t>Draganje Selo</t>
        </is>
      </c>
    </row>
    <row r="7">
      <c r="A7" s="15" t="inlineStr">
        <is>
          <t>Grdanjci</t>
        </is>
      </c>
    </row>
    <row r="8">
      <c r="A8" s="15" t="inlineStr">
        <is>
          <t>Slani Dol</t>
        </is>
      </c>
    </row>
    <row r="9">
      <c r="A9" s="15" t="inlineStr">
        <is>
          <t>Vratnik Samoborski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
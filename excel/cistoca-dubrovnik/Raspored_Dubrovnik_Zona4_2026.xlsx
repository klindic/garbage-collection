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'Raspored'!$A$4:$E$58</definedName>
    <definedName name="_xlnm._FilterDatabase" localSheetId="2" hidden="1">'Po vrsti'!$A$1:$D$55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IFERROR(1/(1/_xlfn.MINIFS(Raspored!$A$5:$A$58,Raspored!$D$5:$D$58,"x",Raspored!$A$5:$A$58,"&gt;="&amp;$B$3)),"nema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COUNTIFS(Raspored!$C$5:$C$58,$A10,Raspored!$D$5:$D$58,"x")</f>
        <v/>
      </c>
    </row>
    <row r="11">
      <c r="A11" s="11" t="inlineStr">
        <is>
          <t>veljača</t>
        </is>
      </c>
      <c r="B11" s="7">
        <f>COUNTIFS(Raspored!$C$5:$C$58,$A11,Raspored!$D$5:$D$58,"x")</f>
        <v/>
      </c>
    </row>
    <row r="12">
      <c r="A12" s="11" t="inlineStr">
        <is>
          <t>ožujak</t>
        </is>
      </c>
      <c r="B12" s="7">
        <f>COUNTIFS(Raspored!$C$5:$C$58,$A12,Raspored!$D$5:$D$58,"x")</f>
        <v/>
      </c>
    </row>
    <row r="13">
      <c r="A13" s="11" t="inlineStr">
        <is>
          <t>travanj</t>
        </is>
      </c>
      <c r="B13" s="7">
        <f>COUNTIFS(Raspored!$C$5:$C$58,$A13,Raspored!$D$5:$D$58,"x")</f>
        <v/>
      </c>
    </row>
    <row r="14">
      <c r="A14" s="11" t="inlineStr">
        <is>
          <t>svibanj</t>
        </is>
      </c>
      <c r="B14" s="7">
        <f>COUNTIFS(Raspored!$C$5:$C$58,$A14,Raspored!$D$5:$D$58,"x")</f>
        <v/>
      </c>
    </row>
    <row r="15">
      <c r="A15" s="11" t="inlineStr">
        <is>
          <t>lipanj</t>
        </is>
      </c>
      <c r="B15" s="7">
        <f>COUNTIFS(Raspored!$C$5:$C$58,$A15,Raspored!$D$5:$D$58,"x")</f>
        <v/>
      </c>
    </row>
    <row r="16">
      <c r="A16" s="11" t="inlineStr">
        <is>
          <t>srpanj</t>
        </is>
      </c>
      <c r="B16" s="7">
        <f>COUNTIFS(Raspored!$C$5:$C$58,$A16,Raspored!$D$5:$D$58,"x")</f>
        <v/>
      </c>
    </row>
    <row r="17">
      <c r="A17" s="11" t="inlineStr">
        <is>
          <t>kolovoz</t>
        </is>
      </c>
      <c r="B17" s="7">
        <f>COUNTIFS(Raspored!$C$5:$C$58,$A17,Raspored!$D$5:$D$58,"x")</f>
        <v/>
      </c>
    </row>
    <row r="18">
      <c r="A18" s="11" t="inlineStr">
        <is>
          <t>rujan</t>
        </is>
      </c>
      <c r="B18" s="7">
        <f>COUNTIFS(Raspored!$C$5:$C$58,$A18,Raspored!$D$5:$D$58,"x")</f>
        <v/>
      </c>
    </row>
    <row r="19">
      <c r="A19" s="11" t="inlineStr">
        <is>
          <t>listopad</t>
        </is>
      </c>
      <c r="B19" s="7">
        <f>COUNTIFS(Raspored!$C$5:$C$58,$A19,Raspored!$D$5:$D$58,"x")</f>
        <v/>
      </c>
    </row>
    <row r="20">
      <c r="A20" s="11" t="inlineStr">
        <is>
          <t>studeni</t>
        </is>
      </c>
      <c r="B20" s="7">
        <f>COUNTIFS(Raspored!$C$5:$C$58,$A20,Raspored!$D$5:$D$58,"x")</f>
        <v/>
      </c>
    </row>
    <row r="21">
      <c r="A21" s="11" t="inlineStr">
        <is>
          <t>prosinac</t>
        </is>
      </c>
      <c r="B21" s="7">
        <f>COUNTIFS(Raspored!$C$5:$C$58,$A21,Raspored!$D$5:$D$58,"x")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81, 82, 83, 87, 88, 89, 92. Odvozi na blagdane (01.01., 01.05.)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4 (Dubrovnik)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46143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46157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17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17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46227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17" t="n"/>
    </row>
    <row r="37">
      <c r="A37" s="6" t="n">
        <v>46241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46248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46255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17" t="n"/>
    </row>
    <row r="41">
      <c r="A41" s="6" t="n">
        <v>46269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46276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46283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46290</v>
      </c>
      <c r="B44" s="7" t="inlineStr">
        <is>
          <t>petak</t>
        </is>
      </c>
      <c r="C44" s="7" t="inlineStr">
        <is>
          <t>rujan</t>
        </is>
      </c>
      <c r="D44" s="7" t="inlineStr">
        <is>
          <t>x</t>
        </is>
      </c>
      <c r="E44" s="17" t="n"/>
    </row>
    <row r="45">
      <c r="A45" s="6" t="n">
        <v>46297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46304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46311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46318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46325</v>
      </c>
      <c r="B49" s="7" t="inlineStr">
        <is>
          <t>petak</t>
        </is>
      </c>
      <c r="C49" s="7" t="inlineStr">
        <is>
          <t>listopad</t>
        </is>
      </c>
      <c r="D49" s="7" t="inlineStr">
        <is>
          <t>x</t>
        </is>
      </c>
      <c r="E49" s="17" t="n"/>
    </row>
    <row r="50">
      <c r="A50" s="6" t="n">
        <v>46331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46338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46345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46352</v>
      </c>
      <c r="B53" s="7" t="inlineStr">
        <is>
          <t>četvrtak</t>
        </is>
      </c>
      <c r="C53" s="7" t="inlineStr">
        <is>
          <t>studeni</t>
        </is>
      </c>
      <c r="D53" s="7" t="inlineStr">
        <is>
          <t>x</t>
        </is>
      </c>
      <c r="E53" s="17" t="n"/>
    </row>
    <row r="54">
      <c r="A54" s="6" t="n">
        <v>46359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46366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46373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17" t="n"/>
    </row>
    <row r="57">
      <c r="A57" s="6" t="n">
        <v>46380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17" t="n"/>
    </row>
    <row r="58">
      <c r="A58" s="6" t="n">
        <v>46387</v>
      </c>
      <c r="B58" s="7" t="inlineStr">
        <is>
          <t>četvrtak</t>
        </is>
      </c>
      <c r="C58" s="7" t="inlineStr">
        <is>
          <t>prosinac</t>
        </is>
      </c>
      <c r="D58" s="7" t="inlineStr">
        <is>
          <t>x</t>
        </is>
      </c>
      <c r="E58" s="17" t="n"/>
    </row>
  </sheetData>
  <autoFilter ref="A4:E58"/>
  <conditionalFormatting sqref="D5:D58">
    <cfRule type="expression" priority="1" dxfId="0">
      <formula>D5="x"</formula>
    </cfRule>
  </conditionalFormatting>
  <conditionalFormatting sqref="A5:E5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46143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46150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46157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46164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46171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46178</v>
      </c>
      <c r="B25" s="11" t="inlineStr">
        <is>
          <t>petak</t>
        </is>
      </c>
      <c r="C25" s="5" t="inlineStr">
        <is>
          <t>Miješani komunalni otpad</t>
        </is>
      </c>
      <c r="D25" s="11" t="n"/>
    </row>
    <row r="26">
      <c r="A26" s="18" t="n">
        <v>46185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46192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46199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46206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46213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46220</v>
      </c>
      <c r="B31" s="11" t="inlineStr">
        <is>
          <t>petak</t>
        </is>
      </c>
      <c r="C31" s="5" t="inlineStr">
        <is>
          <t>Miješani komunalni otpad</t>
        </is>
      </c>
      <c r="D31" s="11" t="n"/>
    </row>
    <row r="32">
      <c r="A32" s="18" t="n">
        <v>46227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46234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46241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46248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46255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46262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46269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46276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46283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46290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46297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46304</v>
      </c>
      <c r="B43" s="11" t="inlineStr">
        <is>
          <t>petak</t>
        </is>
      </c>
      <c r="C43" s="5" t="inlineStr">
        <is>
          <t>Miješani komunalni otpad</t>
        </is>
      </c>
      <c r="D43" s="11" t="n"/>
    </row>
    <row r="44">
      <c r="A44" s="18" t="n">
        <v>46311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46318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46325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46331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46338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46345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46352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46359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46366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46373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46380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  <row r="55">
      <c r="A55" s="18" t="n">
        <v>46387</v>
      </c>
      <c r="B55" s="11" t="inlineStr">
        <is>
          <t>četvrtak</t>
        </is>
      </c>
      <c r="C55" s="5" t="inlineStr">
        <is>
          <t>Miješani komunalni otpad</t>
        </is>
      </c>
      <c r="D55" s="11" t="n"/>
    </row>
  </sheetData>
  <autoFilter ref="A1:D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(Dubrovnik): ulice i naselja</t>
        </is>
      </c>
    </row>
    <row r="4">
      <c r="A4" s="4" t="inlineStr">
        <is>
          <t>Ulica / naselje</t>
        </is>
      </c>
    </row>
    <row r="5">
      <c r="A5" s="11" t="inlineStr">
        <is>
          <t>Dubravica</t>
        </is>
      </c>
    </row>
    <row r="6">
      <c r="A6" s="11" t="inlineStr">
        <is>
          <t>Gromača</t>
        </is>
      </c>
    </row>
    <row r="7">
      <c r="A7" s="11" t="inlineStr">
        <is>
          <t>Kliševo</t>
        </is>
      </c>
    </row>
    <row r="8">
      <c r="A8" s="11" t="inlineStr">
        <is>
          <t>Ljubač</t>
        </is>
      </c>
    </row>
    <row r="9">
      <c r="A9" s="11" t="inlineStr">
        <is>
          <t>Mravinjac</t>
        </is>
      </c>
    </row>
    <row r="10">
      <c r="A10" s="11" t="inlineStr">
        <is>
          <t>Mrčevo</t>
        </is>
      </c>
    </row>
    <row r="11">
      <c r="A11" s="11" t="inlineStr">
        <is>
          <t>Riđica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2026-10-08T06:22:34Z</dcterms:created>
  <dcterms:modified xmlns:dcterms="http://purl.org/dc/terms/" xmlns:xsi="http://www.w3.org/2001/XMLSchema-instance" xsi:type="dcterms:W3CDTF">2026-10-08T06:22:34Z</dcterms:modified>
</cp:coreProperties>
</file>
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'Raspored'!$A$4:$E$134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COUNTIFS(Raspored!$C$5:$C$134,$A10,Raspored!$D$5:$D$134,"x")</f>
        <v/>
      </c>
    </row>
    <row r="11">
      <c r="A11" s="11" t="inlineStr">
        <is>
          <t>veljača</t>
        </is>
      </c>
      <c r="B11" s="7">
        <f>COUNTIFS(Raspored!$C$5:$C$134,$A11,Raspored!$D$5:$D$134,"x")</f>
        <v/>
      </c>
    </row>
    <row r="12">
      <c r="A12" s="11" t="inlineStr">
        <is>
          <t>ožujak</t>
        </is>
      </c>
      <c r="B12" s="7">
        <f>COUNTIFS(Raspored!$C$5:$C$134,$A12,Raspored!$D$5:$D$134,"x")</f>
        <v/>
      </c>
    </row>
    <row r="13">
      <c r="A13" s="11" t="inlineStr">
        <is>
          <t>travanj</t>
        </is>
      </c>
      <c r="B13" s="7">
        <f>COUNTIFS(Raspored!$C$5:$C$134,$A13,Raspored!$D$5:$D$134,"x")</f>
        <v/>
      </c>
    </row>
    <row r="14">
      <c r="A14" s="11" t="inlineStr">
        <is>
          <t>svibanj</t>
        </is>
      </c>
      <c r="B14" s="7">
        <f>COUNTIFS(Raspored!$C$5:$C$134,$A14,Raspored!$D$5:$D$134,"x")</f>
        <v/>
      </c>
    </row>
    <row r="15">
      <c r="A15" s="11" t="inlineStr">
        <is>
          <t>lipanj</t>
        </is>
      </c>
      <c r="B15" s="7">
        <f>COUNTIFS(Raspored!$C$5:$C$134,$A15,Raspored!$D$5:$D$134,"x")</f>
        <v/>
      </c>
    </row>
    <row r="16">
      <c r="A16" s="11" t="inlineStr">
        <is>
          <t>srpanj</t>
        </is>
      </c>
      <c r="B16" s="7">
        <f>COUNTIFS(Raspored!$C$5:$C$134,$A16,Raspored!$D$5:$D$134,"x")</f>
        <v/>
      </c>
    </row>
    <row r="17">
      <c r="A17" s="11" t="inlineStr">
        <is>
          <t>kolovoz</t>
        </is>
      </c>
      <c r="B17" s="7">
        <f>COUNTIFS(Raspored!$C$5:$C$134,$A17,Raspored!$D$5:$D$134,"x")</f>
        <v/>
      </c>
    </row>
    <row r="18">
      <c r="A18" s="11" t="inlineStr">
        <is>
          <t>rujan</t>
        </is>
      </c>
      <c r="B18" s="7">
        <f>COUNTIFS(Raspored!$C$5:$C$134,$A18,Raspored!$D$5:$D$134,"x")</f>
        <v/>
      </c>
    </row>
    <row r="19">
      <c r="A19" s="11" t="inlineStr">
        <is>
          <t>listopad</t>
        </is>
      </c>
      <c r="B19" s="7">
        <f>COUNTIFS(Raspored!$C$5:$C$134,$A19,Raspored!$D$5:$D$134,"x")</f>
        <v/>
      </c>
    </row>
    <row r="20">
      <c r="A20" s="11" t="inlineStr">
        <is>
          <t>studeni</t>
        </is>
      </c>
      <c r="B20" s="7">
        <f>COUNTIFS(Raspored!$C$5:$C$134,$A20,Raspored!$D$5:$D$134,"x")</f>
        <v/>
      </c>
    </row>
    <row r="21">
      <c r="A21" s="11" t="inlineStr">
        <is>
          <t>prosinac</t>
        </is>
      </c>
      <c r="B21" s="7">
        <f>COUNTIFS(Raspored!$C$5:$C$134,$A21,Raspored!$D$5:$D$134,"x")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84. Odvozi na blagdane (06.01., 01.05., 04.06.,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46154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46156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46157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46161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46163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46164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17" t="n"/>
    </row>
    <row r="49">
      <c r="A49" s="6" t="n">
        <v>46168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17" t="n"/>
    </row>
    <row r="50">
      <c r="A50" s="6" t="n">
        <v>46170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17" t="n"/>
    </row>
    <row r="51">
      <c r="A51" s="6" t="n">
        <v>46171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17" t="n"/>
    </row>
    <row r="52">
      <c r="A52" s="6" t="n">
        <v>46175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46177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46184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17" t="n"/>
    </row>
    <row r="60">
      <c r="A60" s="6" t="n">
        <v>46192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17" t="n"/>
    </row>
    <row r="61">
      <c r="A61" s="6" t="n">
        <v>46196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17" t="n"/>
    </row>
    <row r="62">
      <c r="A62" s="6" t="n">
        <v>46198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17" t="n"/>
    </row>
    <row r="63">
      <c r="A63" s="6" t="n">
        <v>46199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17" t="n"/>
    </row>
    <row r="64">
      <c r="A64" s="6" t="n">
        <v>46203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17" t="n"/>
    </row>
    <row r="65">
      <c r="A65" s="6" t="n">
        <v>46205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46206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46210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46212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46213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46217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46219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46220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46224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46226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46227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46231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46233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46234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46238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46240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46241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17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17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17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17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46276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17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17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17" t="n"/>
    </row>
    <row r="99">
      <c r="A99" s="6" t="n">
        <v>46283</v>
      </c>
      <c r="B99" s="7" t="inlineStr">
        <is>
          <t>petak</t>
        </is>
      </c>
      <c r="C99" s="7" t="inlineStr">
        <is>
          <t>rujan</t>
        </is>
      </c>
      <c r="D99" s="7" t="inlineStr">
        <is>
          <t>x</t>
        </is>
      </c>
      <c r="E99" s="17" t="n"/>
    </row>
    <row r="100">
      <c r="A100" s="6" t="n">
        <v>46287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17" t="n"/>
    </row>
    <row r="101">
      <c r="A101" s="6" t="n">
        <v>46289</v>
      </c>
      <c r="B101" s="7" t="inlineStr">
        <is>
          <t>četvrtak</t>
        </is>
      </c>
      <c r="C101" s="7" t="inlineStr">
        <is>
          <t>rujan</t>
        </is>
      </c>
      <c r="D101" s="7" t="inlineStr">
        <is>
          <t>x</t>
        </is>
      </c>
      <c r="E101" s="17" t="n"/>
    </row>
    <row r="102">
      <c r="A102" s="6" t="n">
        <v>46290</v>
      </c>
      <c r="B102" s="7" t="inlineStr">
        <is>
          <t>petak</t>
        </is>
      </c>
      <c r="C102" s="7" t="inlineStr">
        <is>
          <t>rujan</t>
        </is>
      </c>
      <c r="D102" s="7" t="inlineStr">
        <is>
          <t>x</t>
        </is>
      </c>
      <c r="E102" s="17" t="n"/>
    </row>
    <row r="103">
      <c r="A103" s="6" t="n">
        <v>46294</v>
      </c>
      <c r="B103" s="7" t="inlineStr">
        <is>
          <t>utorak</t>
        </is>
      </c>
      <c r="C103" s="7" t="inlineStr">
        <is>
          <t>rujan</t>
        </is>
      </c>
      <c r="D103" s="7" t="inlineStr">
        <is>
          <t>x</t>
        </is>
      </c>
      <c r="E103" s="17" t="n"/>
    </row>
    <row r="104">
      <c r="A104" s="6" t="n">
        <v>46296</v>
      </c>
      <c r="B104" s="7" t="inlineStr">
        <is>
          <t>četvrtak</t>
        </is>
      </c>
      <c r="C104" s="7" t="inlineStr">
        <is>
          <t>listopad</t>
        </is>
      </c>
      <c r="D104" s="7" t="inlineStr">
        <is>
          <t>x</t>
        </is>
      </c>
      <c r="E104" s="17" t="n"/>
    </row>
    <row r="105">
      <c r="A105" s="6" t="n">
        <v>46297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17" t="n"/>
    </row>
    <row r="106">
      <c r="A106" s="6" t="n">
        <v>46301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17" t="n"/>
    </row>
    <row r="107">
      <c r="A107" s="6" t="n">
        <v>46303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17" t="n"/>
    </row>
    <row r="108">
      <c r="A108" s="6" t="n">
        <v>46304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17" t="n"/>
    </row>
    <row r="109">
      <c r="A109" s="6" t="n">
        <v>46308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17" t="n"/>
    </row>
    <row r="110">
      <c r="A110" s="6" t="n">
        <v>46310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17" t="n"/>
    </row>
    <row r="111">
      <c r="A111" s="6" t="n">
        <v>46311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17" t="n"/>
    </row>
    <row r="112">
      <c r="A112" s="6" t="n">
        <v>46315</v>
      </c>
      <c r="B112" s="7" t="inlineStr">
        <is>
          <t>utorak</t>
        </is>
      </c>
      <c r="C112" s="7" t="inlineStr">
        <is>
          <t>listopad</t>
        </is>
      </c>
      <c r="D112" s="7" t="inlineStr">
        <is>
          <t>x</t>
        </is>
      </c>
      <c r="E112" s="17" t="n"/>
    </row>
    <row r="113">
      <c r="A113" s="6" t="n">
        <v>46317</v>
      </c>
      <c r="B113" s="7" t="inlineStr">
        <is>
          <t>četvrtak</t>
        </is>
      </c>
      <c r="C113" s="7" t="inlineStr">
        <is>
          <t>listopad</t>
        </is>
      </c>
      <c r="D113" s="7" t="inlineStr">
        <is>
          <t>x</t>
        </is>
      </c>
      <c r="E113" s="17" t="n"/>
    </row>
    <row r="114">
      <c r="A114" s="6" t="n">
        <v>46318</v>
      </c>
      <c r="B114" s="7" t="inlineStr">
        <is>
          <t>petak</t>
        </is>
      </c>
      <c r="C114" s="7" t="inlineStr">
        <is>
          <t>listopad</t>
        </is>
      </c>
      <c r="D114" s="7" t="inlineStr">
        <is>
          <t>x</t>
        </is>
      </c>
      <c r="E114" s="17" t="n"/>
    </row>
    <row r="115">
      <c r="A115" s="6" t="n">
        <v>46322</v>
      </c>
      <c r="B115" s="7" t="inlineStr">
        <is>
          <t>utorak</t>
        </is>
      </c>
      <c r="C115" s="7" t="inlineStr">
        <is>
          <t>listopad</t>
        </is>
      </c>
      <c r="D115" s="7" t="inlineStr">
        <is>
          <t>x</t>
        </is>
      </c>
      <c r="E115" s="17" t="n"/>
    </row>
    <row r="116">
      <c r="A116" s="6" t="n">
        <v>46324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17" t="n"/>
    </row>
    <row r="117">
      <c r="A117" s="6" t="n">
        <v>46325</v>
      </c>
      <c r="B117" s="7" t="inlineStr">
        <is>
          <t>petak</t>
        </is>
      </c>
      <c r="C117" s="7" t="inlineStr">
        <is>
          <t>listopad</t>
        </is>
      </c>
      <c r="D117" s="7" t="inlineStr">
        <is>
          <t>x</t>
        </is>
      </c>
      <c r="E117" s="17" t="n"/>
    </row>
    <row r="118">
      <c r="A118" s="6" t="n">
        <v>46329</v>
      </c>
      <c r="B118" s="7" t="inlineStr">
        <is>
          <t>utorak</t>
        </is>
      </c>
      <c r="C118" s="7" t="inlineStr">
        <is>
          <t>studeni</t>
        </is>
      </c>
      <c r="D118" s="7" t="inlineStr">
        <is>
          <t>x</t>
        </is>
      </c>
      <c r="E118" s="17" t="n"/>
    </row>
    <row r="119">
      <c r="A119" s="6" t="n">
        <v>46332</v>
      </c>
      <c r="B119" s="7" t="inlineStr">
        <is>
          <t>petak</t>
        </is>
      </c>
      <c r="C119" s="7" t="inlineStr">
        <is>
          <t>studeni</t>
        </is>
      </c>
      <c r="D119" s="7" t="inlineStr">
        <is>
          <t>x</t>
        </is>
      </c>
      <c r="E119" s="17" t="n"/>
    </row>
    <row r="120">
      <c r="A120" s="6" t="n">
        <v>46336</v>
      </c>
      <c r="B120" s="7" t="inlineStr">
        <is>
          <t>utorak</t>
        </is>
      </c>
      <c r="C120" s="7" t="inlineStr">
        <is>
          <t>studeni</t>
        </is>
      </c>
      <c r="D120" s="7" t="inlineStr">
        <is>
          <t>x</t>
        </is>
      </c>
      <c r="E120" s="17" t="n"/>
    </row>
    <row r="121">
      <c r="A121" s="6" t="n">
        <v>46339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17" t="n"/>
    </row>
    <row r="122">
      <c r="A122" s="6" t="n">
        <v>46343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17" t="n"/>
    </row>
    <row r="123">
      <c r="A123" s="6" t="n">
        <v>46346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17" t="n"/>
    </row>
    <row r="124">
      <c r="A124" s="6" t="n">
        <v>46350</v>
      </c>
      <c r="B124" s="7" t="inlineStr">
        <is>
          <t>utorak</t>
        </is>
      </c>
      <c r="C124" s="7" t="inlineStr">
        <is>
          <t>studeni</t>
        </is>
      </c>
      <c r="D124" s="7" t="inlineStr">
        <is>
          <t>x</t>
        </is>
      </c>
      <c r="E124" s="17" t="n"/>
    </row>
    <row r="125">
      <c r="A125" s="6" t="n">
        <v>46353</v>
      </c>
      <c r="B125" s="7" t="inlineStr">
        <is>
          <t>petak</t>
        </is>
      </c>
      <c r="C125" s="7" t="inlineStr">
        <is>
          <t>studeni</t>
        </is>
      </c>
      <c r="D125" s="7" t="inlineStr">
        <is>
          <t>x</t>
        </is>
      </c>
      <c r="E125" s="17" t="n"/>
    </row>
    <row r="126">
      <c r="A126" s="6" t="n">
        <v>46357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17" t="n"/>
    </row>
    <row r="127">
      <c r="A127" s="6" t="n">
        <v>46360</v>
      </c>
      <c r="B127" s="7" t="inlineStr">
        <is>
          <t>petak</t>
        </is>
      </c>
      <c r="C127" s="7" t="inlineStr">
        <is>
          <t>prosinac</t>
        </is>
      </c>
      <c r="D127" s="7" t="inlineStr">
        <is>
          <t>x</t>
        </is>
      </c>
      <c r="E127" s="17" t="n"/>
    </row>
    <row r="128">
      <c r="A128" s="6" t="n">
        <v>46364</v>
      </c>
      <c r="B128" s="7" t="inlineStr">
        <is>
          <t>utorak</t>
        </is>
      </c>
      <c r="C128" s="7" t="inlineStr">
        <is>
          <t>prosinac</t>
        </is>
      </c>
      <c r="D128" s="7" t="inlineStr">
        <is>
          <t>x</t>
        </is>
      </c>
      <c r="E128" s="17" t="n"/>
    </row>
    <row r="129">
      <c r="A129" s="6" t="n">
        <v>46367</v>
      </c>
      <c r="B129" s="7" t="inlineStr">
        <is>
          <t>petak</t>
        </is>
      </c>
      <c r="C129" s="7" t="inlineStr">
        <is>
          <t>prosinac</t>
        </is>
      </c>
      <c r="D129" s="7" t="inlineStr">
        <is>
          <t>x</t>
        </is>
      </c>
      <c r="E129" s="17" t="n"/>
    </row>
    <row r="130">
      <c r="A130" s="6" t="n">
        <v>46371</v>
      </c>
      <c r="B130" s="7" t="inlineStr">
        <is>
          <t>utorak</t>
        </is>
      </c>
      <c r="C130" s="7" t="inlineStr">
        <is>
          <t>prosinac</t>
        </is>
      </c>
      <c r="D130" s="7" t="inlineStr">
        <is>
          <t>x</t>
        </is>
      </c>
      <c r="E130" s="17" t="n"/>
    </row>
    <row r="131">
      <c r="A131" s="6" t="n">
        <v>46374</v>
      </c>
      <c r="B131" s="7" t="inlineStr">
        <is>
          <t>petak</t>
        </is>
      </c>
      <c r="C131" s="7" t="inlineStr">
        <is>
          <t>prosinac</t>
        </is>
      </c>
      <c r="D131" s="7" t="inlineStr">
        <is>
          <t>x</t>
        </is>
      </c>
      <c r="E131" s="17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17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17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17" t="n"/>
    </row>
  </sheetData>
  <autoFilter ref="A4:E134"/>
  <conditionalFormatting sqref="D5:D134">
    <cfRule type="expression" priority="1" dxfId="0">
      <formula>D5="x"</formula>
    </cfRule>
  </conditionalFormatting>
  <conditionalFormatting sqref="A5:E134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46150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46154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46156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46157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46161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46163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46164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46168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46170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46171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46175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46177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46178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46182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46184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46185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46189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46191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46192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46196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46198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46199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46203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46205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46206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46210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46212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46213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46217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46219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46220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46224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46226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46227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46231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46233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46234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46238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46240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46241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46245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46247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46248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46252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46254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46255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46259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46261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46262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46266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46268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46269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46273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46275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46276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46280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46282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46283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46287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46289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46290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46294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46296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46297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46301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46303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46304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46308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46310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46311</v>
      </c>
      <c r="B108" s="11" t="inlineStr">
        <is>
          <t>petak</t>
        </is>
      </c>
      <c r="C108" s="5" t="inlineStr">
        <is>
          <t>Miješani komunalni otpad</t>
        </is>
      </c>
      <c r="D108" s="11" t="n"/>
    </row>
    <row r="109">
      <c r="A109" s="18" t="n">
        <v>46315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46317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46318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46322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46324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46325</v>
      </c>
      <c r="B114" s="11" t="inlineStr">
        <is>
          <t>petak</t>
        </is>
      </c>
      <c r="C114" s="5" t="inlineStr">
        <is>
          <t>Miješani komunalni otpad</t>
        </is>
      </c>
      <c r="D114" s="11" t="n"/>
    </row>
    <row r="115">
      <c r="A115" s="18" t="n">
        <v>46329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46332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46336</v>
      </c>
      <c r="B117" s="11" t="inlineStr">
        <is>
          <t>utorak</t>
        </is>
      </c>
      <c r="C117" s="5" t="inlineStr">
        <is>
          <t>Miješani komunalni otpad</t>
        </is>
      </c>
      <c r="D117" s="11" t="n"/>
    </row>
    <row r="118">
      <c r="A118" s="18" t="n">
        <v>46339</v>
      </c>
      <c r="B118" s="11" t="inlineStr">
        <is>
          <t>petak</t>
        </is>
      </c>
      <c r="C118" s="5" t="inlineStr">
        <is>
          <t>Miješani komunalni otpad</t>
        </is>
      </c>
      <c r="D118" s="11" t="n"/>
    </row>
    <row r="119">
      <c r="A119" s="18" t="n">
        <v>46343</v>
      </c>
      <c r="B119" s="11" t="inlineStr">
        <is>
          <t>utorak</t>
        </is>
      </c>
      <c r="C119" s="5" t="inlineStr">
        <is>
          <t>Miješani komunalni otpad</t>
        </is>
      </c>
      <c r="D119" s="11" t="n"/>
    </row>
    <row r="120">
      <c r="A120" s="18" t="n">
        <v>46346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46350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46353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46357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46360</v>
      </c>
      <c r="B124" s="11" t="inlineStr">
        <is>
          <t>petak</t>
        </is>
      </c>
      <c r="C124" s="5" t="inlineStr">
        <is>
          <t>Miješani komunalni otpad</t>
        </is>
      </c>
      <c r="D124" s="11" t="n"/>
    </row>
    <row r="125">
      <c r="A125" s="18" t="n">
        <v>46364</v>
      </c>
      <c r="B125" s="11" t="inlineStr">
        <is>
          <t>utorak</t>
        </is>
      </c>
      <c r="C125" s="5" t="inlineStr">
        <is>
          <t>Miješani komunalni otpad</t>
        </is>
      </c>
      <c r="D125" s="11" t="n"/>
    </row>
    <row r="126">
      <c r="A126" s="18" t="n">
        <v>46367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46371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46374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46378</v>
      </c>
      <c r="B129" s="11" t="inlineStr">
        <is>
          <t>utorak</t>
        </is>
      </c>
      <c r="C129" s="5" t="inlineStr">
        <is>
          <t>Miješani komunalni otpad</t>
        </is>
      </c>
      <c r="D129" s="11" t="n"/>
    </row>
    <row r="130">
      <c r="A130" s="18" t="n">
        <v>46381</v>
      </c>
      <c r="B130" s="11" t="inlineStr">
        <is>
          <t>petak</t>
        </is>
      </c>
      <c r="C130" s="5" t="inlineStr">
        <is>
          <t>Miješani komunalni otpad</t>
        </is>
      </c>
      <c r="D130" s="11" t="n"/>
    </row>
    <row r="131">
      <c r="A131" s="18" t="n">
        <v>46385</v>
      </c>
      <c r="B131" s="11" t="inlineStr">
        <is>
          <t>utorak</t>
        </is>
      </c>
      <c r="C131" s="5" t="inlineStr">
        <is>
          <t>Miješani komunalni otpad</t>
        </is>
      </c>
      <c r="D131" s="11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Knežica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
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'Raspored'!$A$4:$F$16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i metal</t>
        </is>
      </c>
      <c r="B6" s="6">
        <f>IFERROR(1/(1/_xlfn.MINIFS(Raspored!$A$5:$A$16,Raspored!$D$5:$D$16,"x",Raspored!$A$5:$A$16,"&gt;="&amp;$B$3)),"nema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COUNTIF(Raspored!$D$5:$D$16,"x")</f>
        <v/>
      </c>
    </row>
    <row r="7">
      <c r="A7" s="9" t="inlineStr">
        <is>
          <t>Papir i karton</t>
        </is>
      </c>
      <c r="B7" s="6">
        <f>IFERROR(1/(1/_xlfn.MINIFS(Raspored!$A$5:$A$16,Raspored!$E$5:$E$16,"x",Raspored!$A$5:$A$16,"&gt;="&amp;$B$3)),"nema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 i metal</t>
        </is>
      </c>
      <c r="C10" s="12" t="inlineStr">
        <is>
          <t>Papir i karton</t>
        </is>
      </c>
    </row>
    <row r="11">
      <c r="A11" s="13" t="inlineStr">
        <is>
          <t>siječanj</t>
        </is>
      </c>
      <c r="B11" s="7">
        <f>COUNTIFS(Raspored!$C$5:$C$16,$A11,Raspored!$D$5:$D$16,"x")</f>
        <v/>
      </c>
      <c r="C11" s="7">
        <f>COUNTIFS(Raspored!$C$5:$C$16,$A11,Raspored!$E$5:$E$16,"x")</f>
        <v/>
      </c>
    </row>
    <row r="12">
      <c r="A12" s="13" t="inlineStr">
        <is>
          <t>veljača</t>
        </is>
      </c>
      <c r="B12" s="7">
        <f>COUNTIFS(Raspored!$C$5:$C$16,$A12,Raspored!$D$5:$D$16,"x")</f>
        <v/>
      </c>
      <c r="C12" s="7">
        <f>COUNTIFS(Raspored!$C$5:$C$16,$A12,Raspored!$E$5:$E$16,"x")</f>
        <v/>
      </c>
    </row>
    <row r="13">
      <c r="A13" s="13" t="inlineStr">
        <is>
          <t>ožujak</t>
        </is>
      </c>
      <c r="B13" s="7">
        <f>COUNTIFS(Raspored!$C$5:$C$16,$A13,Raspored!$D$5:$D$16,"x")</f>
        <v/>
      </c>
      <c r="C13" s="7">
        <f>COUNTIFS(Raspored!$C$5:$C$16,$A13,Raspored!$E$5:$E$16,"x")</f>
        <v/>
      </c>
    </row>
    <row r="14">
      <c r="A14" s="13" t="inlineStr">
        <is>
          <t>travanj</t>
        </is>
      </c>
      <c r="B14" s="7">
        <f>COUNTIFS(Raspored!$C$5:$C$16,$A14,Raspored!$D$5:$D$16,"x")</f>
        <v/>
      </c>
      <c r="C14" s="7">
        <f>COUNTIFS(Raspored!$C$5:$C$16,$A14,Raspored!$E$5:$E$16,"x")</f>
        <v/>
      </c>
    </row>
    <row r="15">
      <c r="A15" s="13" t="inlineStr">
        <is>
          <t>svibanj</t>
        </is>
      </c>
      <c r="B15" s="7">
        <f>COUNTIFS(Raspored!$C$5:$C$16,$A15,Raspored!$D$5:$D$16,"x")</f>
        <v/>
      </c>
      <c r="C15" s="7">
        <f>COUNTIFS(Raspored!$C$5:$C$16,$A15,Raspored!$E$5:$E$16,"x")</f>
        <v/>
      </c>
    </row>
    <row r="16">
      <c r="A16" s="13" t="inlineStr">
        <is>
          <t>lipanj</t>
        </is>
      </c>
      <c r="B16" s="7">
        <f>COUNTIFS(Raspored!$C$5:$C$16,$A16,Raspored!$D$5:$D$16,"x")</f>
        <v/>
      </c>
      <c r="C16" s="7">
        <f>COUNTIFS(Raspored!$C$5:$C$16,$A16,Raspored!$E$5:$E$16,"x")</f>
        <v/>
      </c>
    </row>
    <row r="17">
      <c r="A17" s="13" t="inlineStr">
        <is>
          <t>srpanj</t>
        </is>
      </c>
      <c r="B17" s="7">
        <f>COUNTIFS(Raspored!$C$5:$C$16,$A17,Raspored!$D$5:$D$16,"x")</f>
        <v/>
      </c>
      <c r="C17" s="7">
        <f>COUNTIFS(Raspored!$C$5:$C$16,$A17,Raspored!$E$5:$E$16,"x")</f>
        <v/>
      </c>
    </row>
    <row r="18">
      <c r="A18" s="13" t="inlineStr">
        <is>
          <t>kolovoz</t>
        </is>
      </c>
      <c r="B18" s="7">
        <f>COUNTIFS(Raspored!$C$5:$C$16,$A18,Raspored!$D$5:$D$16,"x")</f>
        <v/>
      </c>
      <c r="C18" s="7">
        <f>COUNTIFS(Raspored!$C$5:$C$16,$A18,Raspored!$E$5:$E$16,"x")</f>
        <v/>
      </c>
    </row>
    <row r="19">
      <c r="A19" s="13" t="inlineStr">
        <is>
          <t>rujan</t>
        </is>
      </c>
      <c r="B19" s="7">
        <f>COUNTIFS(Raspored!$C$5:$C$16,$A19,Raspored!$D$5:$D$16,"x")</f>
        <v/>
      </c>
      <c r="C19" s="7">
        <f>COUNTIFS(Raspored!$C$5:$C$16,$A19,Raspored!$E$5:$E$16,"x")</f>
        <v/>
      </c>
    </row>
    <row r="20">
      <c r="A20" s="13" t="inlineStr">
        <is>
          <t>listopad</t>
        </is>
      </c>
      <c r="B20" s="7">
        <f>COUNTIFS(Raspored!$C$5:$C$16,$A20,Raspored!$D$5:$D$16,"x")</f>
        <v/>
      </c>
      <c r="C20" s="7">
        <f>COUNTIFS(Raspored!$C$5:$C$16,$A20,Raspored!$E$5:$E$16,"x")</f>
        <v/>
      </c>
    </row>
    <row r="21">
      <c r="A21" s="13" t="inlineStr">
        <is>
          <t>studeni</t>
        </is>
      </c>
      <c r="B21" s="7">
        <f>COUNTIFS(Raspored!$C$5:$C$16,$A21,Raspored!$D$5:$D$16,"x")</f>
        <v/>
      </c>
      <c r="C21" s="7">
        <f>COUNTIFS(Raspored!$C$5:$C$16,$A21,Raspored!$E$5:$E$16,"x")</f>
        <v/>
      </c>
    </row>
    <row r="22">
      <c r="A22" s="13" t="inlineStr">
        <is>
          <t>prosinac</t>
        </is>
      </c>
      <c r="B22" s="7">
        <f>COUNTIFS(Raspored!$C$5:$C$16,$A22,Raspored!$D$5:$D$16,"x")</f>
        <v/>
      </c>
      <c r="C22" s="7">
        <f>COUNTIFS(Raspored!$C$5:$C$16,$A22,Raspored!$E$5:$E$16,"x")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Samo papir i plastika; miješani otpad odvozi se prema popisu ulica po danima (zone 'Miješani otpad').</t>
        </is>
      </c>
    </row>
    <row r="27">
      <c r="A27" s="17" t="inlineStr">
        <is>
          <t>• Vinkovci: miješani komunalni otpad odvozi se jednom tjedno na dan naveden za ulicu (zone po danima); zgrade i dijelovi ulica s više odvoza tjedno navedeni su u više zona. Nevkoš ne objavljuje pomake tog odvoza zbog blagdana, pa su datumi izračunati bez pomaka.</t>
        </is>
      </c>
    </row>
    <row r="28">
      <c r="A28" s="17" t="inlineStr">
        <is>
          <t>• Vinkovci: papir i plastika odvoze se jednom mjesečno po blokovima grada (zasebne zone); Nevkoš ne objavljuje koje ulice pripadaju kojem bloku. Ako odvoz padne na blagdan, obavlja se sljedeći radni dan ili u subotu.</t>
        </is>
      </c>
    </row>
    <row r="29">
      <c r="A29" s="17" t="inlineStr">
        <is>
          <t>• Općine: datumi su iz godišnjih kalendara na nevkos.hr; pomaci zbog blagdana već su upisani.</t>
        </is>
      </c>
    </row>
    <row r="30">
      <c r="A30" s="17" t="inlineStr">
        <is>
          <t>• Posudu (s vrećicom) treba iznijeti na dan odvoza najkasnije do 7:00, uz prometnicu.</t>
        </is>
      </c>
    </row>
    <row r="31">
      <c r="A31" s="17" t="inlineStr">
        <is>
          <t>• Općina Jarmina (također Nevkoš) nije uključena: na nevkos.hr za nju je objavljen samo cjenik, bez rasporeda.</t>
        </is>
      </c>
    </row>
    <row r="32">
      <c r="A32" s="17" t="inlineStr">
        <is>
          <t>• Kontakt: 032/306-130, info@nevkos.hr (pon-pet 7-15 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11 (Vinkovci)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 i metal</t>
        </is>
      </c>
      <c r="E4" s="12" t="inlineStr">
        <is>
          <t>Papir i karton</t>
        </is>
      </c>
      <c r="F4" s="4" t="inlineStr">
        <is>
          <t>Napomena</t>
        </is>
      </c>
    </row>
    <row r="5">
      <c r="A5" s="6" t="n">
        <v>46036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46064</v>
      </c>
      <c r="B6" s="7" t="inlineStr">
        <is>
          <t>srijeda</t>
        </is>
      </c>
      <c r="C6" s="7" t="inlineStr">
        <is>
          <t>veljača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46092</v>
      </c>
      <c r="B7" s="7" t="inlineStr">
        <is>
          <t>srijeda</t>
        </is>
      </c>
      <c r="C7" s="7" t="inlineStr">
        <is>
          <t>ožujak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46120</v>
      </c>
      <c r="B8" s="7" t="inlineStr">
        <is>
          <t>srijeda</t>
        </is>
      </c>
      <c r="C8" s="7" t="inlineStr">
        <is>
          <t>travanj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46155</v>
      </c>
      <c r="B9" s="7" t="inlineStr">
        <is>
          <t>srijeda</t>
        </is>
      </c>
      <c r="C9" s="7" t="inlineStr">
        <is>
          <t>svibanj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46183</v>
      </c>
      <c r="B10" s="7" t="inlineStr">
        <is>
          <t>srijeda</t>
        </is>
      </c>
      <c r="C10" s="7" t="inlineStr">
        <is>
          <t>lipanj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46211</v>
      </c>
      <c r="B11" s="7" t="inlineStr">
        <is>
          <t>srijeda</t>
        </is>
      </c>
      <c r="C11" s="7" t="inlineStr">
        <is>
          <t>srpanj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46246</v>
      </c>
      <c r="B12" s="7" t="inlineStr">
        <is>
          <t>srijeda</t>
        </is>
      </c>
      <c r="C12" s="7" t="inlineStr">
        <is>
          <t>kolovoz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46274</v>
      </c>
      <c r="B13" s="7" t="inlineStr">
        <is>
          <t>srijeda</t>
        </is>
      </c>
      <c r="C13" s="7" t="inlineStr">
        <is>
          <t>rujan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46309</v>
      </c>
      <c r="B14" s="7" t="inlineStr">
        <is>
          <t>srijeda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46337</v>
      </c>
      <c r="B15" s="7" t="inlineStr">
        <is>
          <t>srijeda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46365</v>
      </c>
      <c r="B16" s="7" t="inlineStr">
        <is>
          <t>srijeda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19" t="n"/>
    </row>
  </sheetData>
  <autoFilter ref="A4:F16"/>
  <conditionalFormatting sqref="D5:D16">
    <cfRule type="expression" priority="1" dxfId="0">
      <formula>D5="x"</formula>
    </cfRule>
  </conditionalFormatting>
  <conditionalFormatting sqref="E5:E16">
    <cfRule type="expression" priority="2" dxfId="1">
      <formula>E5="x"</formula>
    </cfRule>
  </conditionalFormatting>
  <conditionalFormatting sqref="A5:F1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46036</v>
      </c>
      <c r="B2" s="13" t="inlineStr">
        <is>
          <t>srijeda</t>
        </is>
      </c>
      <c r="C2" s="5" t="inlineStr">
        <is>
          <t>Plastika i metal</t>
        </is>
      </c>
      <c r="D2" s="13" t="n"/>
    </row>
    <row r="3">
      <c r="A3" s="20" t="n">
        <v>46036</v>
      </c>
      <c r="B3" s="13" t="inlineStr">
        <is>
          <t>srijeda</t>
        </is>
      </c>
      <c r="C3" s="9" t="inlineStr">
        <is>
          <t>Papir i karton</t>
        </is>
      </c>
      <c r="D3" s="13" t="n"/>
    </row>
    <row r="4">
      <c r="A4" s="20" t="n">
        <v>46064</v>
      </c>
      <c r="B4" s="13" t="inlineStr">
        <is>
          <t>srijeda</t>
        </is>
      </c>
      <c r="C4" s="5" t="inlineStr">
        <is>
          <t>Plastika i metal</t>
        </is>
      </c>
      <c r="D4" s="13" t="n"/>
    </row>
    <row r="5">
      <c r="A5" s="20" t="n">
        <v>46064</v>
      </c>
      <c r="B5" s="13" t="inlineStr">
        <is>
          <t>srijeda</t>
        </is>
      </c>
      <c r="C5" s="9" t="inlineStr">
        <is>
          <t>Papir i karton</t>
        </is>
      </c>
      <c r="D5" s="13" t="n"/>
    </row>
    <row r="6">
      <c r="A6" s="20" t="n">
        <v>46092</v>
      </c>
      <c r="B6" s="13" t="inlineStr">
        <is>
          <t>srijeda</t>
        </is>
      </c>
      <c r="C6" s="5" t="inlineStr">
        <is>
          <t>Plastika i metal</t>
        </is>
      </c>
      <c r="D6" s="13" t="n"/>
    </row>
    <row r="7">
      <c r="A7" s="20" t="n">
        <v>46092</v>
      </c>
      <c r="B7" s="13" t="inlineStr">
        <is>
          <t>srijeda</t>
        </is>
      </c>
      <c r="C7" s="9" t="inlineStr">
        <is>
          <t>Papir i karton</t>
        </is>
      </c>
      <c r="D7" s="13" t="n"/>
    </row>
    <row r="8">
      <c r="A8" s="20" t="n">
        <v>46120</v>
      </c>
      <c r="B8" s="13" t="inlineStr">
        <is>
          <t>srijeda</t>
        </is>
      </c>
      <c r="C8" s="5" t="inlineStr">
        <is>
          <t>Plastika i metal</t>
        </is>
      </c>
      <c r="D8" s="13" t="n"/>
    </row>
    <row r="9">
      <c r="A9" s="20" t="n">
        <v>46120</v>
      </c>
      <c r="B9" s="13" t="inlineStr">
        <is>
          <t>srijeda</t>
        </is>
      </c>
      <c r="C9" s="9" t="inlineStr">
        <is>
          <t>Papir i karton</t>
        </is>
      </c>
      <c r="D9" s="13" t="n"/>
    </row>
    <row r="10">
      <c r="A10" s="20" t="n">
        <v>46155</v>
      </c>
      <c r="B10" s="13" t="inlineStr">
        <is>
          <t>srijeda</t>
        </is>
      </c>
      <c r="C10" s="5" t="inlineStr">
        <is>
          <t>Plastika i metal</t>
        </is>
      </c>
      <c r="D10" s="13" t="n"/>
    </row>
    <row r="11">
      <c r="A11" s="20" t="n">
        <v>46155</v>
      </c>
      <c r="B11" s="13" t="inlineStr">
        <is>
          <t>srijeda</t>
        </is>
      </c>
      <c r="C11" s="9" t="inlineStr">
        <is>
          <t>Papir i karton</t>
        </is>
      </c>
      <c r="D11" s="13" t="n"/>
    </row>
    <row r="12">
      <c r="A12" s="20" t="n">
        <v>46183</v>
      </c>
      <c r="B12" s="13" t="inlineStr">
        <is>
          <t>srijeda</t>
        </is>
      </c>
      <c r="C12" s="5" t="inlineStr">
        <is>
          <t>Plastika i metal</t>
        </is>
      </c>
      <c r="D12" s="13" t="n"/>
    </row>
    <row r="13">
      <c r="A13" s="20" t="n">
        <v>46183</v>
      </c>
      <c r="B13" s="13" t="inlineStr">
        <is>
          <t>srijeda</t>
        </is>
      </c>
      <c r="C13" s="9" t="inlineStr">
        <is>
          <t>Papir i karton</t>
        </is>
      </c>
      <c r="D13" s="13" t="n"/>
    </row>
    <row r="14">
      <c r="A14" s="20" t="n">
        <v>46211</v>
      </c>
      <c r="B14" s="13" t="inlineStr">
        <is>
          <t>srijeda</t>
        </is>
      </c>
      <c r="C14" s="5" t="inlineStr">
        <is>
          <t>Plastika i metal</t>
        </is>
      </c>
      <c r="D14" s="13" t="n"/>
    </row>
    <row r="15">
      <c r="A15" s="20" t="n">
        <v>46211</v>
      </c>
      <c r="B15" s="13" t="inlineStr">
        <is>
          <t>srijeda</t>
        </is>
      </c>
      <c r="C15" s="9" t="inlineStr">
        <is>
          <t>Papir i karton</t>
        </is>
      </c>
      <c r="D15" s="13" t="n"/>
    </row>
    <row r="16">
      <c r="A16" s="20" t="n">
        <v>46246</v>
      </c>
      <c r="B16" s="13" t="inlineStr">
        <is>
          <t>srijeda</t>
        </is>
      </c>
      <c r="C16" s="5" t="inlineStr">
        <is>
          <t>Plastika i metal</t>
        </is>
      </c>
      <c r="D16" s="13" t="n"/>
    </row>
    <row r="17">
      <c r="A17" s="20" t="n">
        <v>46246</v>
      </c>
      <c r="B17" s="13" t="inlineStr">
        <is>
          <t>srijeda</t>
        </is>
      </c>
      <c r="C17" s="9" t="inlineStr">
        <is>
          <t>Papir i karton</t>
        </is>
      </c>
      <c r="D17" s="13" t="n"/>
    </row>
    <row r="18">
      <c r="A18" s="20" t="n">
        <v>46274</v>
      </c>
      <c r="B18" s="13" t="inlineStr">
        <is>
          <t>srijeda</t>
        </is>
      </c>
      <c r="C18" s="5" t="inlineStr">
        <is>
          <t>Plastika i metal</t>
        </is>
      </c>
      <c r="D18" s="13" t="n"/>
    </row>
    <row r="19">
      <c r="A19" s="20" t="n">
        <v>46274</v>
      </c>
      <c r="B19" s="13" t="inlineStr">
        <is>
          <t>srijeda</t>
        </is>
      </c>
      <c r="C19" s="9" t="inlineStr">
        <is>
          <t>Papir i karton</t>
        </is>
      </c>
      <c r="D19" s="13" t="n"/>
    </row>
    <row r="20">
      <c r="A20" s="20" t="n">
        <v>46309</v>
      </c>
      <c r="B20" s="13" t="inlineStr">
        <is>
          <t>srijeda</t>
        </is>
      </c>
      <c r="C20" s="5" t="inlineStr">
        <is>
          <t>Plastika i metal</t>
        </is>
      </c>
      <c r="D20" s="13" t="n"/>
    </row>
    <row r="21">
      <c r="A21" s="20" t="n">
        <v>46309</v>
      </c>
      <c r="B21" s="13" t="inlineStr">
        <is>
          <t>srijeda</t>
        </is>
      </c>
      <c r="C21" s="9" t="inlineStr">
        <is>
          <t>Papir i karton</t>
        </is>
      </c>
      <c r="D21" s="13" t="n"/>
    </row>
    <row r="22">
      <c r="A22" s="20" t="n">
        <v>46337</v>
      </c>
      <c r="B22" s="13" t="inlineStr">
        <is>
          <t>srijeda</t>
        </is>
      </c>
      <c r="C22" s="5" t="inlineStr">
        <is>
          <t>Plastika i metal</t>
        </is>
      </c>
      <c r="D22" s="13" t="n"/>
    </row>
    <row r="23">
      <c r="A23" s="20" t="n">
        <v>46337</v>
      </c>
      <c r="B23" s="13" t="inlineStr">
        <is>
          <t>srijeda</t>
        </is>
      </c>
      <c r="C23" s="9" t="inlineStr">
        <is>
          <t>Papir i karton</t>
        </is>
      </c>
      <c r="D23" s="13" t="n"/>
    </row>
    <row r="24">
      <c r="A24" s="20" t="n">
        <v>46365</v>
      </c>
      <c r="B24" s="13" t="inlineStr">
        <is>
          <t>srijeda</t>
        </is>
      </c>
      <c r="C24" s="5" t="inlineStr">
        <is>
          <t>Plastika i metal</t>
        </is>
      </c>
      <c r="D24" s="13" t="n"/>
    </row>
    <row r="25">
      <c r="A25" s="20" t="n">
        <v>46365</v>
      </c>
      <c r="B25" s="13" t="inlineStr">
        <is>
          <t>srijeda</t>
        </is>
      </c>
      <c r="C25" s="9" t="inlineStr">
        <is>
          <t>Papir i karton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(Vinkovci): ulice i naselja</t>
        </is>
      </c>
    </row>
    <row r="4">
      <c r="A4" s="4" t="inlineStr">
        <is>
          <t>Ulica / naselje</t>
        </is>
      </c>
    </row>
    <row r="5">
      <c r="A5" s="13" t="inlineStr">
        <is>
          <t>Novo Selo – desna strana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2026-10-08T06:01:17Z</dcterms:created>
  <dcterms:modified xmlns:dcterms="http://purl.org/dc/terms/" xmlns:xsi="http://www.w3.org/2001/XMLSchema-instance" xsi:type="dcterms:W3CDTF">2026-10-08T06:01:17Z</dcterms:modified>
</cp:coreProperties>
</file>
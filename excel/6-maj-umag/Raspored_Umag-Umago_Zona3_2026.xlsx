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'Raspored'!$A$4:$H$57</definedName>
    <definedName name="_xlnm._FilterDatabase" localSheetId="2" hidden="1">'Po vrsti'!$A$1:$D$84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IFERROR(1/(1/_xlfn.MINIFS(Raspored!$A$5:$A$57,Raspored!$D$5:$D$57,"x",Raspored!$A$5:$A$57,"&gt;="&amp;$B$3)),"nema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COUNTIF(Raspored!$D$5:$D$57,"x")</f>
        <v/>
      </c>
    </row>
    <row r="7">
      <c r="A7" s="9" t="inlineStr">
        <is>
          <t>Plastika i metal</t>
        </is>
      </c>
      <c r="B7" s="6">
        <f>IFERROR(1/(1/_xlfn.MINIFS(Raspored!$A$5:$A$57,Raspored!$E$5:$E$57,"x",Raspored!$A$5:$A$57,"&gt;="&amp;$B$3)),"nema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COUNTIF(Raspored!$E$5:$E$57,"x")</f>
        <v/>
      </c>
    </row>
    <row r="8">
      <c r="A8" s="10" t="inlineStr">
        <is>
          <t>Papir i karton</t>
        </is>
      </c>
      <c r="B8" s="6">
        <f>IFERROR(1/(1/_xlfn.MINIFS(Raspored!$A$5:$A$57,Raspored!$F$5:$F$57,"x",Raspored!$A$5:$A$57,"&gt;="&amp;$B$3)),"nema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COUNTIF(Raspored!$F$5:$F$57,"x")</f>
        <v/>
      </c>
    </row>
    <row r="9">
      <c r="A9" s="11" t="inlineStr">
        <is>
          <t>Staklo</t>
        </is>
      </c>
      <c r="B9" s="6">
        <f>IFERROR(1/(1/_xlfn.MINIFS(Raspored!$A$5:$A$57,Raspored!$G$5:$G$57,"x",Raspored!$A$5:$A$57,"&gt;="&amp;$B$3)),"nema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COUNTIFS(Raspored!$C$5:$C$57,$A13,Raspored!$D$5:$D$57,"x")</f>
        <v/>
      </c>
      <c r="C13" s="7">
        <f>COUNTIFS(Raspored!$C$5:$C$57,$A13,Raspored!$E$5:$E$57,"x")</f>
        <v/>
      </c>
      <c r="D13" s="7">
        <f>COUNTIFS(Raspored!$C$5:$C$57,$A13,Raspored!$F$5:$F$57,"x")</f>
        <v/>
      </c>
      <c r="E13" s="7">
        <f>COUNTIFS(Raspored!$C$5:$C$57,$A13,Raspored!$G$5:$G$57,"x")</f>
        <v/>
      </c>
    </row>
    <row r="14">
      <c r="A14" s="17" t="inlineStr">
        <is>
          <t>veljača</t>
        </is>
      </c>
      <c r="B14" s="7">
        <f>COUNTIFS(Raspored!$C$5:$C$57,$A14,Raspored!$D$5:$D$57,"x")</f>
        <v/>
      </c>
      <c r="C14" s="7">
        <f>COUNTIFS(Raspored!$C$5:$C$57,$A14,Raspored!$E$5:$E$57,"x")</f>
        <v/>
      </c>
      <c r="D14" s="7">
        <f>COUNTIFS(Raspored!$C$5:$C$57,$A14,Raspored!$F$5:$F$57,"x")</f>
        <v/>
      </c>
      <c r="E14" s="7">
        <f>COUNTIFS(Raspored!$C$5:$C$57,$A14,Raspored!$G$5:$G$57,"x")</f>
        <v/>
      </c>
    </row>
    <row r="15">
      <c r="A15" s="17" t="inlineStr">
        <is>
          <t>ožujak</t>
        </is>
      </c>
      <c r="B15" s="7">
        <f>COUNTIFS(Raspored!$C$5:$C$57,$A15,Raspored!$D$5:$D$57,"x")</f>
        <v/>
      </c>
      <c r="C15" s="7">
        <f>COUNTIFS(Raspored!$C$5:$C$57,$A15,Raspored!$E$5:$E$57,"x")</f>
        <v/>
      </c>
      <c r="D15" s="7">
        <f>COUNTIFS(Raspored!$C$5:$C$57,$A15,Raspored!$F$5:$F$57,"x")</f>
        <v/>
      </c>
      <c r="E15" s="7">
        <f>COUNTIFS(Raspored!$C$5:$C$57,$A15,Raspored!$G$5:$G$57,"x")</f>
        <v/>
      </c>
    </row>
    <row r="16">
      <c r="A16" s="17" t="inlineStr">
        <is>
          <t>travanj</t>
        </is>
      </c>
      <c r="B16" s="7">
        <f>COUNTIFS(Raspored!$C$5:$C$57,$A16,Raspored!$D$5:$D$57,"x")</f>
        <v/>
      </c>
      <c r="C16" s="7">
        <f>COUNTIFS(Raspored!$C$5:$C$57,$A16,Raspored!$E$5:$E$57,"x")</f>
        <v/>
      </c>
      <c r="D16" s="7">
        <f>COUNTIFS(Raspored!$C$5:$C$57,$A16,Raspored!$F$5:$F$57,"x")</f>
        <v/>
      </c>
      <c r="E16" s="7">
        <f>COUNTIFS(Raspored!$C$5:$C$57,$A16,Raspored!$G$5:$G$57,"x")</f>
        <v/>
      </c>
    </row>
    <row r="17">
      <c r="A17" s="17" t="inlineStr">
        <is>
          <t>svibanj</t>
        </is>
      </c>
      <c r="B17" s="7">
        <f>COUNTIFS(Raspored!$C$5:$C$57,$A17,Raspored!$D$5:$D$57,"x")</f>
        <v/>
      </c>
      <c r="C17" s="7">
        <f>COUNTIFS(Raspored!$C$5:$C$57,$A17,Raspored!$E$5:$E$57,"x")</f>
        <v/>
      </c>
      <c r="D17" s="7">
        <f>COUNTIFS(Raspored!$C$5:$C$57,$A17,Raspored!$F$5:$F$57,"x")</f>
        <v/>
      </c>
      <c r="E17" s="7">
        <f>COUNTIFS(Raspored!$C$5:$C$57,$A17,Raspored!$G$5:$G$57,"x")</f>
        <v/>
      </c>
    </row>
    <row r="18">
      <c r="A18" s="17" t="inlineStr">
        <is>
          <t>lipanj</t>
        </is>
      </c>
      <c r="B18" s="7">
        <f>COUNTIFS(Raspored!$C$5:$C$57,$A18,Raspored!$D$5:$D$57,"x")</f>
        <v/>
      </c>
      <c r="C18" s="7">
        <f>COUNTIFS(Raspored!$C$5:$C$57,$A18,Raspored!$E$5:$E$57,"x")</f>
        <v/>
      </c>
      <c r="D18" s="7">
        <f>COUNTIFS(Raspored!$C$5:$C$57,$A18,Raspored!$F$5:$F$57,"x")</f>
        <v/>
      </c>
      <c r="E18" s="7">
        <f>COUNTIFS(Raspored!$C$5:$C$57,$A18,Raspored!$G$5:$G$57,"x")</f>
        <v/>
      </c>
    </row>
    <row r="19">
      <c r="A19" s="17" t="inlineStr">
        <is>
          <t>srpanj</t>
        </is>
      </c>
      <c r="B19" s="7">
        <f>COUNTIFS(Raspored!$C$5:$C$57,$A19,Raspored!$D$5:$D$57,"x")</f>
        <v/>
      </c>
      <c r="C19" s="7">
        <f>COUNTIFS(Raspored!$C$5:$C$57,$A19,Raspored!$E$5:$E$57,"x")</f>
        <v/>
      </c>
      <c r="D19" s="7">
        <f>COUNTIFS(Raspored!$C$5:$C$57,$A19,Raspored!$F$5:$F$57,"x")</f>
        <v/>
      </c>
      <c r="E19" s="7">
        <f>COUNTIFS(Raspored!$C$5:$C$57,$A19,Raspored!$G$5:$G$57,"x")</f>
        <v/>
      </c>
    </row>
    <row r="20">
      <c r="A20" s="17" t="inlineStr">
        <is>
          <t>kolovoz</t>
        </is>
      </c>
      <c r="B20" s="7">
        <f>COUNTIFS(Raspored!$C$5:$C$57,$A20,Raspored!$D$5:$D$57,"x")</f>
        <v/>
      </c>
      <c r="C20" s="7">
        <f>COUNTIFS(Raspored!$C$5:$C$57,$A20,Raspored!$E$5:$E$57,"x")</f>
        <v/>
      </c>
      <c r="D20" s="7">
        <f>COUNTIFS(Raspored!$C$5:$C$57,$A20,Raspored!$F$5:$F$57,"x")</f>
        <v/>
      </c>
      <c r="E20" s="7">
        <f>COUNTIFS(Raspored!$C$5:$C$57,$A20,Raspored!$G$5:$G$57,"x")</f>
        <v/>
      </c>
    </row>
    <row r="21">
      <c r="A21" s="17" t="inlineStr">
        <is>
          <t>rujan</t>
        </is>
      </c>
      <c r="B21" s="7">
        <f>COUNTIFS(Raspored!$C$5:$C$57,$A21,Raspored!$D$5:$D$57,"x")</f>
        <v/>
      </c>
      <c r="C21" s="7">
        <f>COUNTIFS(Raspored!$C$5:$C$57,$A21,Raspored!$E$5:$E$57,"x")</f>
        <v/>
      </c>
      <c r="D21" s="7">
        <f>COUNTIFS(Raspored!$C$5:$C$57,$A21,Raspored!$F$5:$F$57,"x")</f>
        <v/>
      </c>
      <c r="E21" s="7">
        <f>COUNTIFS(Raspored!$C$5:$C$57,$A21,Raspored!$G$5:$G$57,"x")</f>
        <v/>
      </c>
    </row>
    <row r="22">
      <c r="A22" s="17" t="inlineStr">
        <is>
          <t>listopad</t>
        </is>
      </c>
      <c r="B22" s="7">
        <f>COUNTIFS(Raspored!$C$5:$C$57,$A22,Raspored!$D$5:$D$57,"x")</f>
        <v/>
      </c>
      <c r="C22" s="7">
        <f>COUNTIFS(Raspored!$C$5:$C$57,$A22,Raspored!$E$5:$E$57,"x")</f>
        <v/>
      </c>
      <c r="D22" s="7">
        <f>COUNTIFS(Raspored!$C$5:$C$57,$A22,Raspored!$F$5:$F$57,"x")</f>
        <v/>
      </c>
      <c r="E22" s="7">
        <f>COUNTIFS(Raspored!$C$5:$C$57,$A22,Raspored!$G$5:$G$57,"x")</f>
        <v/>
      </c>
    </row>
    <row r="23">
      <c r="A23" s="17" t="inlineStr">
        <is>
          <t>studeni</t>
        </is>
      </c>
      <c r="B23" s="7">
        <f>COUNTIFS(Raspored!$C$5:$C$57,$A23,Raspored!$D$5:$D$57,"x")</f>
        <v/>
      </c>
      <c r="C23" s="7">
        <f>COUNTIFS(Raspored!$C$5:$C$57,$A23,Raspored!$E$5:$E$57,"x")</f>
        <v/>
      </c>
      <c r="D23" s="7">
        <f>COUNTIFS(Raspored!$C$5:$C$57,$A23,Raspored!$F$5:$F$57,"x")</f>
        <v/>
      </c>
      <c r="E23" s="7">
        <f>COUNTIFS(Raspored!$C$5:$C$57,$A23,Raspored!$G$5:$G$57,"x")</f>
        <v/>
      </c>
    </row>
    <row r="24">
      <c r="A24" s="17" t="inlineStr">
        <is>
          <t>prosinac</t>
        </is>
      </c>
      <c r="B24" s="7">
        <f>COUNTIFS(Raspored!$C$5:$C$57,$A24,Raspored!$D$5:$D$57,"x")</f>
        <v/>
      </c>
      <c r="C24" s="7">
        <f>COUNTIFS(Raspored!$C$5:$C$57,$A24,Raspored!$E$5:$E$57,"x")</f>
        <v/>
      </c>
      <c r="D24" s="7">
        <f>COUNTIFS(Raspored!$C$5:$C$57,$A24,Raspored!$F$5:$F$57,"x")</f>
        <v/>
      </c>
      <c r="E24" s="7">
        <f>COUNTIFS(Raspored!$C$5:$C$57,$A24,Raspored!$G$5:$G$57,"x")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odvozi se svaki tjedan na dan skupine; papir i karton te plastika i metal jednom mjesečno, staklo svaki drugi mjesec, isti dan kad i miješani otpad.</t>
        </is>
      </c>
    </row>
    <row r="29">
      <c r="A29" s="21" t="inlineStr">
        <is>
          <t>• Spremnike za miješani i reciklabilni otpad iznijeti na javnu površinu na dan odvoza od 5:00 sati; otpad ostavljen uz spremnik neće se odvesti.</t>
        </is>
      </c>
    </row>
    <row r="30">
      <c r="A30" s="21" t="inlineStr">
        <is>
          <t>• Odvoz se obavlja i na blagdane: kalendar označava stvarne dane odvoza.</t>
        </is>
      </c>
    </row>
    <row r="31">
      <c r="A31" s="21" t="inlineStr">
        <is>
          <t>• Reciklažna dvorišta: Buje (Momjanska ulica 6), Novigrad (Salvela 44), Umag (Bujska ulica 6); zimi (01.10.–31.05.) pon–pet 9–16, sub 9–14, ljeti (01.06.–30.09.) pon–pet 10–17, sub 8–13, nedjeljom i praznikom zatvoreno. Višak reciklabilnog otpada predaje se besplatno u reciklažnom dvorištu.</t>
        </is>
      </c>
    </row>
    <row r="32">
      <c r="A32" s="21" t="inlineStr">
        <is>
          <t>• Informacije: 6. MAJ d.o.o., +385 52 741 585, info@6maj.hr.</t>
        </is>
      </c>
    </row>
    <row r="33">
      <c r="A33" s="21" t="inlineStr">
        <is>
          <t>• Buje: za skupinu četvrtak (Bracanija, Monte Baster, Gamboci, Ljubljanija) legenda kalendara nema oznaku i u kalendaru nema datuma, pa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3 (Umag – Umago)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3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3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inlineStr">
        <is>
          <t>x</t>
        </is>
      </c>
      <c r="H16" s="23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3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inlineStr">
        <is>
          <t>x</t>
        </is>
      </c>
      <c r="H25" s="23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inlineStr">
        <is>
          <t>x</t>
        </is>
      </c>
      <c r="G28" s="7" t="n"/>
      <c r="H28" s="23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46212</v>
      </c>
      <c r="B32" s="7" t="inlineStr">
        <is>
          <t>četvrtak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inlineStr">
        <is>
          <t>x</t>
        </is>
      </c>
      <c r="G32" s="7" t="n"/>
      <c r="H32" s="23" t="n"/>
    </row>
    <row r="33">
      <c r="A33" s="6" t="n">
        <v>46219</v>
      </c>
      <c r="B33" s="7" t="inlineStr">
        <is>
          <t>četvrtak</t>
        </is>
      </c>
      <c r="C33" s="7" t="inlineStr">
        <is>
          <t>srpanj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46226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inlineStr">
        <is>
          <t>x</t>
        </is>
      </c>
      <c r="H34" s="23" t="n"/>
    </row>
    <row r="35">
      <c r="A35" s="6" t="n">
        <v>46233</v>
      </c>
      <c r="B35" s="7" t="inlineStr">
        <is>
          <t>četvrtak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46240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46247</v>
      </c>
      <c r="B37" s="7" t="inlineStr">
        <is>
          <t>četvrtak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46254</v>
      </c>
      <c r="B38" s="7" t="inlineStr">
        <is>
          <t>četvrtak</t>
        </is>
      </c>
      <c r="C38" s="7" t="inlineStr">
        <is>
          <t>kolovoz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46261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46268</v>
      </c>
      <c r="B40" s="7" t="inlineStr">
        <is>
          <t>četvrtak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46275</v>
      </c>
      <c r="B41" s="7" t="inlineStr">
        <is>
          <t>četvrtak</t>
        </is>
      </c>
      <c r="C41" s="7" t="inlineStr">
        <is>
          <t>rujan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46282</v>
      </c>
      <c r="B42" s="7" t="inlineStr">
        <is>
          <t>četvrtak</t>
        </is>
      </c>
      <c r="C42" s="7" t="inlineStr">
        <is>
          <t>rujan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46289</v>
      </c>
      <c r="B43" s="7" t="inlineStr">
        <is>
          <t>četvrtak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46296</v>
      </c>
      <c r="B44" s="7" t="inlineStr">
        <is>
          <t>četvrtak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46303</v>
      </c>
      <c r="B45" s="7" t="inlineStr">
        <is>
          <t>četvrtak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46310</v>
      </c>
      <c r="B46" s="7" t="inlineStr">
        <is>
          <t>četvrtak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46317</v>
      </c>
      <c r="B47" s="7" t="inlineStr">
        <is>
          <t>četvrtak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46324</v>
      </c>
      <c r="B48" s="7" t="inlineStr">
        <is>
          <t>četvrtak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46331</v>
      </c>
      <c r="B49" s="7" t="inlineStr">
        <is>
          <t>četvrtak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46338</v>
      </c>
      <c r="B50" s="7" t="inlineStr">
        <is>
          <t>četvrtak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46345</v>
      </c>
      <c r="B51" s="7" t="inlineStr">
        <is>
          <t>četvrtak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46352</v>
      </c>
      <c r="B52" s="7" t="inlineStr">
        <is>
          <t>četvrtak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46359</v>
      </c>
      <c r="B53" s="7" t="inlineStr">
        <is>
          <t>četvrtak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46366</v>
      </c>
      <c r="B54" s="7" t="inlineStr">
        <is>
          <t>četvrtak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inlineStr">
        <is>
          <t>x</t>
        </is>
      </c>
      <c r="G54" s="7" t="n"/>
      <c r="H54" s="23" t="n"/>
    </row>
    <row r="55">
      <c r="A55" s="6" t="n">
        <v>46373</v>
      </c>
      <c r="B55" s="7" t="inlineStr">
        <is>
          <t>četvrtak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46380</v>
      </c>
      <c r="B56" s="7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46387</v>
      </c>
      <c r="B57" s="7" t="inlineStr">
        <is>
          <t>četvrtak</t>
        </is>
      </c>
      <c r="C57" s="7" t="inlineStr">
        <is>
          <t>prosinac</t>
        </is>
      </c>
      <c r="D57" s="7" t="inlineStr">
        <is>
          <t>x</t>
        </is>
      </c>
      <c r="E57" s="7" t="n"/>
      <c r="F57" s="7" t="n"/>
      <c r="G57" s="7" t="n"/>
      <c r="H57" s="23" t="n"/>
    </row>
  </sheetData>
  <autoFilter ref="A4:H57"/>
  <conditionalFormatting sqref="D5:D57">
    <cfRule type="expression" priority="1" dxfId="0">
      <formula>D5="x"</formula>
    </cfRule>
  </conditionalFormatting>
  <conditionalFormatting sqref="E5:E57">
    <cfRule type="expression" priority="2" dxfId="1">
      <formula>E5="x"</formula>
    </cfRule>
  </conditionalFormatting>
  <conditionalFormatting sqref="F5:F57">
    <cfRule type="expression" priority="3" dxfId="2">
      <formula>F5="x"</formula>
    </cfRule>
  </conditionalFormatting>
  <conditionalFormatting sqref="G5:G57">
    <cfRule type="expression" priority="4" dxfId="3">
      <formula>G5="x"</formula>
    </cfRule>
  </conditionalFormatting>
  <conditionalFormatting sqref="A5:H5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46030</v>
      </c>
      <c r="B4" s="17" t="inlineStr">
        <is>
          <t>četvrtak</t>
        </is>
      </c>
      <c r="C4" s="10" t="inlineStr">
        <is>
          <t>Papir i karton</t>
        </is>
      </c>
      <c r="D4" s="17" t="n"/>
    </row>
    <row r="5">
      <c r="A5" s="24" t="n">
        <v>46037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46037</v>
      </c>
      <c r="B6" s="17" t="inlineStr">
        <is>
          <t>četvrtak</t>
        </is>
      </c>
      <c r="C6" s="9" t="inlineStr">
        <is>
          <t>Plastika i metal</t>
        </is>
      </c>
      <c r="D6" s="17" t="n"/>
    </row>
    <row r="7">
      <c r="A7" s="24" t="n">
        <v>46044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46044</v>
      </c>
      <c r="B8" s="17" t="inlineStr">
        <is>
          <t>četvrtak</t>
        </is>
      </c>
      <c r="C8" s="11" t="inlineStr">
        <is>
          <t>Staklo</t>
        </is>
      </c>
      <c r="D8" s="17" t="n"/>
    </row>
    <row r="9">
      <c r="A9" s="24" t="n">
        <v>46051</v>
      </c>
      <c r="B9" s="17" t="inlineStr">
        <is>
          <t>četvrtak</t>
        </is>
      </c>
      <c r="C9" s="5" t="inlineStr">
        <is>
          <t>Miješani komunalni otpad</t>
        </is>
      </c>
      <c r="D9" s="17" t="n"/>
    </row>
    <row r="10">
      <c r="A10" s="24" t="n">
        <v>46058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46058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4" t="n">
        <v>46065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4" t="n">
        <v>46065</v>
      </c>
      <c r="B13" s="17" t="inlineStr">
        <is>
          <t>četvrtak</t>
        </is>
      </c>
      <c r="C13" s="9" t="inlineStr">
        <is>
          <t>Plastika i metal</t>
        </is>
      </c>
      <c r="D13" s="17" t="n"/>
    </row>
    <row r="14">
      <c r="A14" s="24" t="n">
        <v>46072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46079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46086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46086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4" t="n">
        <v>46093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46093</v>
      </c>
      <c r="B19" s="17" t="inlineStr">
        <is>
          <t>četvrtak</t>
        </is>
      </c>
      <c r="C19" s="9" t="inlineStr">
        <is>
          <t>Plastika i metal</t>
        </is>
      </c>
      <c r="D19" s="17" t="n"/>
    </row>
    <row r="20">
      <c r="A20" s="24" t="n">
        <v>46100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46100</v>
      </c>
      <c r="B21" s="17" t="inlineStr">
        <is>
          <t>četvrtak</t>
        </is>
      </c>
      <c r="C21" s="11" t="inlineStr">
        <is>
          <t>Staklo</t>
        </is>
      </c>
      <c r="D21" s="17" t="n"/>
    </row>
    <row r="22">
      <c r="A22" s="24" t="n">
        <v>46107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46114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46121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46121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4" t="n">
        <v>46128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46128</v>
      </c>
      <c r="B27" s="17" t="inlineStr">
        <is>
          <t>četvrtak</t>
        </is>
      </c>
      <c r="C27" s="9" t="inlineStr">
        <is>
          <t>Plastika i metal</t>
        </is>
      </c>
      <c r="D27" s="17" t="n"/>
    </row>
    <row r="28">
      <c r="A28" s="24" t="n">
        <v>46135</v>
      </c>
      <c r="B28" s="17" t="inlineStr">
        <is>
          <t>četvrtak</t>
        </is>
      </c>
      <c r="C28" s="5" t="inlineStr">
        <is>
          <t>Miješani komunalni otpad</t>
        </is>
      </c>
      <c r="D28" s="17" t="n"/>
    </row>
    <row r="29">
      <c r="A29" s="24" t="n">
        <v>46142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46149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4" t="n">
        <v>46149</v>
      </c>
      <c r="B31" s="17" t="inlineStr">
        <is>
          <t>četvrtak</t>
        </is>
      </c>
      <c r="C31" s="10" t="inlineStr">
        <is>
          <t>Papir i karton</t>
        </is>
      </c>
      <c r="D31" s="17" t="n"/>
    </row>
    <row r="32">
      <c r="A32" s="24" t="n">
        <v>46156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46156</v>
      </c>
      <c r="B33" s="17" t="inlineStr">
        <is>
          <t>četvrtak</t>
        </is>
      </c>
      <c r="C33" s="9" t="inlineStr">
        <is>
          <t>Plastika i metal</t>
        </is>
      </c>
      <c r="D33" s="17" t="n"/>
    </row>
    <row r="34">
      <c r="A34" s="24" t="n">
        <v>46163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46163</v>
      </c>
      <c r="B35" s="17" t="inlineStr">
        <is>
          <t>četvrtak</t>
        </is>
      </c>
      <c r="C35" s="11" t="inlineStr">
        <is>
          <t>Staklo</t>
        </is>
      </c>
      <c r="D35" s="17" t="n"/>
    </row>
    <row r="36">
      <c r="A36" s="24" t="n">
        <v>46170</v>
      </c>
      <c r="B36" s="17" t="inlineStr">
        <is>
          <t>četvrtak</t>
        </is>
      </c>
      <c r="C36" s="5" t="inlineStr">
        <is>
          <t>Miješani komunalni otpad</t>
        </is>
      </c>
      <c r="D36" s="17" t="n"/>
    </row>
    <row r="37">
      <c r="A37" s="24" t="n">
        <v>46177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46184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46184</v>
      </c>
      <c r="B39" s="17" t="inlineStr">
        <is>
          <t>četvrtak</t>
        </is>
      </c>
      <c r="C39" s="10" t="inlineStr">
        <is>
          <t>Papir i karton</t>
        </is>
      </c>
      <c r="D39" s="17" t="n"/>
    </row>
    <row r="40">
      <c r="A40" s="24" t="n">
        <v>46191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46191</v>
      </c>
      <c r="B41" s="17" t="inlineStr">
        <is>
          <t>četvrtak</t>
        </is>
      </c>
      <c r="C41" s="9" t="inlineStr">
        <is>
          <t>Plastika i metal</t>
        </is>
      </c>
      <c r="D41" s="17" t="n"/>
    </row>
    <row r="42">
      <c r="A42" s="24" t="n">
        <v>46198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46205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4" t="n">
        <v>46212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46212</v>
      </c>
      <c r="B45" s="17" t="inlineStr">
        <is>
          <t>četvrtak</t>
        </is>
      </c>
      <c r="C45" s="10" t="inlineStr">
        <is>
          <t>Papir i karton</t>
        </is>
      </c>
      <c r="D45" s="17" t="n"/>
    </row>
    <row r="46">
      <c r="A46" s="24" t="n">
        <v>46219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46219</v>
      </c>
      <c r="B47" s="17" t="inlineStr">
        <is>
          <t>četvrtak</t>
        </is>
      </c>
      <c r="C47" s="9" t="inlineStr">
        <is>
          <t>Plastika i metal</t>
        </is>
      </c>
      <c r="D47" s="17" t="n"/>
    </row>
    <row r="48">
      <c r="A48" s="24" t="n">
        <v>46226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46226</v>
      </c>
      <c r="B49" s="17" t="inlineStr">
        <is>
          <t>četvrtak</t>
        </is>
      </c>
      <c r="C49" s="11" t="inlineStr">
        <is>
          <t>Staklo</t>
        </is>
      </c>
      <c r="D49" s="17" t="n"/>
    </row>
    <row r="50">
      <c r="A50" s="24" t="n">
        <v>46233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46240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46247</v>
      </c>
      <c r="B52" s="17" t="inlineStr">
        <is>
          <t>četvrtak</t>
        </is>
      </c>
      <c r="C52" s="5" t="inlineStr">
        <is>
          <t>Miješani komunalni otpad</t>
        </is>
      </c>
      <c r="D52" s="17" t="n"/>
    </row>
    <row r="53">
      <c r="A53" s="24" t="n">
        <v>46247</v>
      </c>
      <c r="B53" s="17" t="inlineStr">
        <is>
          <t>četvrtak</t>
        </is>
      </c>
      <c r="C53" s="10" t="inlineStr">
        <is>
          <t>Papir i karton</t>
        </is>
      </c>
      <c r="D53" s="17" t="n"/>
    </row>
    <row r="54">
      <c r="A54" s="24" t="n">
        <v>46254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46254</v>
      </c>
      <c r="B55" s="17" t="inlineStr">
        <is>
          <t>četvrtak</t>
        </is>
      </c>
      <c r="C55" s="9" t="inlineStr">
        <is>
          <t>Plastika i metal</t>
        </is>
      </c>
      <c r="D55" s="17" t="n"/>
    </row>
    <row r="56">
      <c r="A56" s="24" t="n">
        <v>46261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46268</v>
      </c>
      <c r="B57" s="17" t="inlineStr">
        <is>
          <t>četvrtak</t>
        </is>
      </c>
      <c r="C57" s="5" t="inlineStr">
        <is>
          <t>Miješani komunalni otpad</t>
        </is>
      </c>
      <c r="D57" s="17" t="n"/>
    </row>
    <row r="58">
      <c r="A58" s="24" t="n">
        <v>46275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46275</v>
      </c>
      <c r="B59" s="17" t="inlineStr">
        <is>
          <t>četvrtak</t>
        </is>
      </c>
      <c r="C59" s="10" t="inlineStr">
        <is>
          <t>Papir i karton</t>
        </is>
      </c>
      <c r="D59" s="17" t="n"/>
    </row>
    <row r="60">
      <c r="A60" s="24" t="n">
        <v>46282</v>
      </c>
      <c r="B60" s="17" t="inlineStr">
        <is>
          <t>četvrtak</t>
        </is>
      </c>
      <c r="C60" s="5" t="inlineStr">
        <is>
          <t>Miješani komunalni otpad</t>
        </is>
      </c>
      <c r="D60" s="17" t="n"/>
    </row>
    <row r="61">
      <c r="A61" s="24" t="n">
        <v>46282</v>
      </c>
      <c r="B61" s="17" t="inlineStr">
        <is>
          <t>četvrtak</t>
        </is>
      </c>
      <c r="C61" s="9" t="inlineStr">
        <is>
          <t>Plastika i metal</t>
        </is>
      </c>
      <c r="D61" s="17" t="n"/>
    </row>
    <row r="62">
      <c r="A62" s="24" t="n">
        <v>46289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46289</v>
      </c>
      <c r="B63" s="17" t="inlineStr">
        <is>
          <t>četvrtak</t>
        </is>
      </c>
      <c r="C63" s="11" t="inlineStr">
        <is>
          <t>Staklo</t>
        </is>
      </c>
      <c r="D63" s="17" t="n"/>
    </row>
    <row r="64">
      <c r="A64" s="24" t="n">
        <v>46296</v>
      </c>
      <c r="B64" s="17" t="inlineStr">
        <is>
          <t>četvrtak</t>
        </is>
      </c>
      <c r="C64" s="5" t="inlineStr">
        <is>
          <t>Miješani komunalni otpad</t>
        </is>
      </c>
      <c r="D64" s="17" t="n"/>
    </row>
    <row r="65">
      <c r="A65" s="24" t="n">
        <v>46303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46303</v>
      </c>
      <c r="B66" s="17" t="inlineStr">
        <is>
          <t>četvrtak</t>
        </is>
      </c>
      <c r="C66" s="10" t="inlineStr">
        <is>
          <t>Papir i karton</t>
        </is>
      </c>
      <c r="D66" s="17" t="n"/>
    </row>
    <row r="67">
      <c r="A67" s="24" t="n">
        <v>46310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46310</v>
      </c>
      <c r="B68" s="17" t="inlineStr">
        <is>
          <t>četvrtak</t>
        </is>
      </c>
      <c r="C68" s="9" t="inlineStr">
        <is>
          <t>Plastika i metal</t>
        </is>
      </c>
      <c r="D68" s="17" t="n"/>
    </row>
    <row r="69">
      <c r="A69" s="24" t="n">
        <v>46317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46324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46331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46331</v>
      </c>
      <c r="B72" s="17" t="inlineStr">
        <is>
          <t>četvrtak</t>
        </is>
      </c>
      <c r="C72" s="10" t="inlineStr">
        <is>
          <t>Papir i karton</t>
        </is>
      </c>
      <c r="D72" s="17" t="n"/>
    </row>
    <row r="73">
      <c r="A73" s="24" t="n">
        <v>46338</v>
      </c>
      <c r="B73" s="17" t="inlineStr">
        <is>
          <t>četvrtak</t>
        </is>
      </c>
      <c r="C73" s="5" t="inlineStr">
        <is>
          <t>Miješani komunalni otpad</t>
        </is>
      </c>
      <c r="D73" s="17" t="n"/>
    </row>
    <row r="74">
      <c r="A74" s="24" t="n">
        <v>46338</v>
      </c>
      <c r="B74" s="17" t="inlineStr">
        <is>
          <t>četvrtak</t>
        </is>
      </c>
      <c r="C74" s="9" t="inlineStr">
        <is>
          <t>Plastika i metal</t>
        </is>
      </c>
      <c r="D74" s="17" t="n"/>
    </row>
    <row r="75">
      <c r="A75" s="24" t="n">
        <v>46345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46345</v>
      </c>
      <c r="B76" s="17" t="inlineStr">
        <is>
          <t>četvrtak</t>
        </is>
      </c>
      <c r="C76" s="11" t="inlineStr">
        <is>
          <t>Staklo</t>
        </is>
      </c>
      <c r="D76" s="17" t="n"/>
    </row>
    <row r="77">
      <c r="A77" s="24" t="n">
        <v>46352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46359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46366</v>
      </c>
      <c r="B79" s="17" t="inlineStr">
        <is>
          <t>četvrtak</t>
        </is>
      </c>
      <c r="C79" s="5" t="inlineStr">
        <is>
          <t>Miješani komunalni otpad</t>
        </is>
      </c>
      <c r="D79" s="17" t="n"/>
    </row>
    <row r="80">
      <c r="A80" s="24" t="n">
        <v>46366</v>
      </c>
      <c r="B80" s="17" t="inlineStr">
        <is>
          <t>četvrtak</t>
        </is>
      </c>
      <c r="C80" s="10" t="inlineStr">
        <is>
          <t>Papir i karton</t>
        </is>
      </c>
      <c r="D80" s="17" t="n"/>
    </row>
    <row r="81">
      <c r="A81" s="24" t="n">
        <v>46373</v>
      </c>
      <c r="B81" s="17" t="inlineStr">
        <is>
          <t>četvrtak</t>
        </is>
      </c>
      <c r="C81" s="5" t="inlineStr">
        <is>
          <t>Miješani komunalni otpad</t>
        </is>
      </c>
      <c r="D81" s="17" t="n"/>
    </row>
    <row r="82">
      <c r="A82" s="24" t="n">
        <v>46373</v>
      </c>
      <c r="B82" s="17" t="inlineStr">
        <is>
          <t>četvrtak</t>
        </is>
      </c>
      <c r="C82" s="9" t="inlineStr">
        <is>
          <t>Plastika i metal</t>
        </is>
      </c>
      <c r="D82" s="17" t="n"/>
    </row>
    <row r="83">
      <c r="A83" s="24" t="n">
        <v>46380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46387</v>
      </c>
      <c r="B84" s="17" t="inlineStr">
        <is>
          <t>četvrtak</t>
        </is>
      </c>
      <c r="C84" s="5" t="inlineStr">
        <is>
          <t>Miješani komunalni otpad</t>
        </is>
      </c>
      <c r="D84" s="17" t="n"/>
    </row>
  </sheetData>
  <autoFilter ref="A1:D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(Umag – Umago): ulice i naselja</t>
        </is>
      </c>
    </row>
    <row r="2">
      <c r="A2" s="22" t="inlineStr">
        <is>
          <t>Komunela, Punta, Ungarija, Murine, Kolombera, Štrika, Fratrici, Tigor, Kagarot, Galići, Ščavonija, Sarbarica, Karpinjan, Šaini, Lokvini, Kmeti, Soši, Barboj, Cupilija, Valica, Marija na Krasu, Koršija, Kapitanija, Tavijanija, Fratrica, Buščina, Škarlanija, Markocija, Kočevarija</t>
        </is>
      </c>
    </row>
    <row r="4">
      <c r="A4" s="4" t="inlineStr">
        <is>
          <t>Ulica / naselje</t>
        </is>
      </c>
    </row>
    <row r="5">
      <c r="A5" s="17" t="inlineStr">
        <is>
          <t>Komunela</t>
        </is>
      </c>
    </row>
    <row r="6">
      <c r="A6" s="17" t="inlineStr">
        <is>
          <t>Punta</t>
        </is>
      </c>
    </row>
    <row r="7">
      <c r="A7" s="17" t="inlineStr">
        <is>
          <t>Ungarija</t>
        </is>
      </c>
    </row>
    <row r="8">
      <c r="A8" s="17" t="inlineStr">
        <is>
          <t>Murine</t>
        </is>
      </c>
    </row>
    <row r="9">
      <c r="A9" s="17" t="inlineStr">
        <is>
          <t>Kolombera</t>
        </is>
      </c>
    </row>
    <row r="10">
      <c r="A10" s="17" t="inlineStr">
        <is>
          <t>Štrika</t>
        </is>
      </c>
    </row>
    <row r="11">
      <c r="A11" s="17" t="inlineStr">
        <is>
          <t>Fratrici</t>
        </is>
      </c>
    </row>
    <row r="12">
      <c r="A12" s="17" t="inlineStr">
        <is>
          <t>Tigor</t>
        </is>
      </c>
    </row>
    <row r="13">
      <c r="A13" s="17" t="inlineStr">
        <is>
          <t>Kagarot</t>
        </is>
      </c>
    </row>
    <row r="14">
      <c r="A14" s="17" t="inlineStr">
        <is>
          <t>Galići</t>
        </is>
      </c>
    </row>
    <row r="15">
      <c r="A15" s="17" t="inlineStr">
        <is>
          <t>Ščavonija</t>
        </is>
      </c>
    </row>
    <row r="16">
      <c r="A16" s="17" t="inlineStr">
        <is>
          <t>Sarbarica</t>
        </is>
      </c>
    </row>
    <row r="17">
      <c r="A17" s="17" t="inlineStr">
        <is>
          <t>Karpinjan</t>
        </is>
      </c>
    </row>
    <row r="18">
      <c r="A18" s="17" t="inlineStr">
        <is>
          <t>Šaini</t>
        </is>
      </c>
    </row>
    <row r="19">
      <c r="A19" s="17" t="inlineStr">
        <is>
          <t>Lokvini</t>
        </is>
      </c>
    </row>
    <row r="20">
      <c r="A20" s="17" t="inlineStr">
        <is>
          <t>Kmeti</t>
        </is>
      </c>
    </row>
    <row r="21">
      <c r="A21" s="17" t="inlineStr">
        <is>
          <t>Soši</t>
        </is>
      </c>
    </row>
    <row r="22">
      <c r="A22" s="17" t="inlineStr">
        <is>
          <t>Barboj</t>
        </is>
      </c>
    </row>
    <row r="23">
      <c r="A23" s="17" t="inlineStr">
        <is>
          <t>Cupilija</t>
        </is>
      </c>
    </row>
    <row r="24">
      <c r="A24" s="17" t="inlineStr">
        <is>
          <t>Valica</t>
        </is>
      </c>
    </row>
    <row r="25">
      <c r="A25" s="17" t="inlineStr">
        <is>
          <t>Marija na Krasu</t>
        </is>
      </c>
    </row>
    <row r="26">
      <c r="A26" s="17" t="inlineStr">
        <is>
          <t>Koršija</t>
        </is>
      </c>
    </row>
    <row r="27">
      <c r="A27" s="17" t="inlineStr">
        <is>
          <t>Kapitanija</t>
        </is>
      </c>
    </row>
    <row r="28">
      <c r="A28" s="17" t="inlineStr">
        <is>
          <t>Tavijanija</t>
        </is>
      </c>
    </row>
    <row r="29">
      <c r="A29" s="17" t="inlineStr">
        <is>
          <t>Fratrica</t>
        </is>
      </c>
    </row>
    <row r="30">
      <c r="A30" s="17" t="inlineStr">
        <is>
          <t>Buščina</t>
        </is>
      </c>
    </row>
    <row r="31">
      <c r="A31" s="17" t="inlineStr">
        <is>
          <t>Škarlanija</t>
        </is>
      </c>
    </row>
    <row r="32">
      <c r="A32" s="17" t="inlineStr">
        <is>
          <t>Markocija</t>
        </is>
      </c>
    </row>
    <row r="33">
      <c r="A33" s="17" t="inlineStr">
        <is>
          <t>Kočevarija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2026-10-07T19:02:01Z</dcterms:created>
  <dcterms:modified xmlns:dcterms="http://purl.org/dc/terms/" xmlns:xsi="http://www.w3.org/2001/XMLSchema-instance" xsi:type="dcterms:W3CDTF">2026-10-07T19:02:01Z</dcterms:modified>
</cp:coreProperties>
</file>
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'Raspored'!$A$4:$E$78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COUNTIFS(Raspored!$C$5:$C$78,$A10,Raspored!$D$5:$D$78,"x")</f>
        <v/>
      </c>
    </row>
    <row r="11">
      <c r="A11" s="11" t="inlineStr">
        <is>
          <t>veljača</t>
        </is>
      </c>
      <c r="B11" s="7">
        <f>COUNTIFS(Raspored!$C$5:$C$78,$A11,Raspored!$D$5:$D$78,"x")</f>
        <v/>
      </c>
    </row>
    <row r="12">
      <c r="A12" s="11" t="inlineStr">
        <is>
          <t>ožujak</t>
        </is>
      </c>
      <c r="B12" s="7">
        <f>COUNTIFS(Raspored!$C$5:$C$78,$A12,Raspored!$D$5:$D$78,"x")</f>
        <v/>
      </c>
    </row>
    <row r="13">
      <c r="A13" s="11" t="inlineStr">
        <is>
          <t>travanj</t>
        </is>
      </c>
      <c r="B13" s="7">
        <f>COUNTIFS(Raspored!$C$5:$C$78,$A13,Raspored!$D$5:$D$78,"x")</f>
        <v/>
      </c>
    </row>
    <row r="14">
      <c r="A14" s="11" t="inlineStr">
        <is>
          <t>svibanj</t>
        </is>
      </c>
      <c r="B14" s="7">
        <f>COUNTIFS(Raspored!$C$5:$C$78,$A14,Raspored!$D$5:$D$78,"x")</f>
        <v/>
      </c>
    </row>
    <row r="15">
      <c r="A15" s="11" t="inlineStr">
        <is>
          <t>lipanj</t>
        </is>
      </c>
      <c r="B15" s="7">
        <f>COUNTIFS(Raspored!$C$5:$C$78,$A15,Raspored!$D$5:$D$78,"x")</f>
        <v/>
      </c>
    </row>
    <row r="16">
      <c r="A16" s="11" t="inlineStr">
        <is>
          <t>srpanj</t>
        </is>
      </c>
      <c r="B16" s="7">
        <f>COUNTIFS(Raspored!$C$5:$C$78,$A16,Raspored!$D$5:$D$78,"x")</f>
        <v/>
      </c>
    </row>
    <row r="17">
      <c r="A17" s="11" t="inlineStr">
        <is>
          <t>kolovoz</t>
        </is>
      </c>
      <c r="B17" s="7">
        <f>COUNTIFS(Raspored!$C$5:$C$78,$A17,Raspored!$D$5:$D$78,"x")</f>
        <v/>
      </c>
    </row>
    <row r="18">
      <c r="A18" s="11" t="inlineStr">
        <is>
          <t>rujan</t>
        </is>
      </c>
      <c r="B18" s="7">
        <f>COUNTIFS(Raspored!$C$5:$C$78,$A18,Raspored!$D$5:$D$78,"x")</f>
        <v/>
      </c>
    </row>
    <row r="19">
      <c r="A19" s="11" t="inlineStr">
        <is>
          <t>listopad</t>
        </is>
      </c>
      <c r="B19" s="7">
        <f>COUNTIFS(Raspored!$C$5:$C$78,$A19,Raspored!$D$5:$D$78,"x")</f>
        <v/>
      </c>
    </row>
    <row r="20">
      <c r="A20" s="11" t="inlineStr">
        <is>
          <t>studeni</t>
        </is>
      </c>
      <c r="B20" s="7">
        <f>COUNTIFS(Raspored!$C$5:$C$78,$A20,Raspored!$D$5:$D$78,"x")</f>
        <v/>
      </c>
    </row>
    <row r="21">
      <c r="A21" s="11" t="inlineStr">
        <is>
          <t>prosinac</t>
        </is>
      </c>
      <c r="B21" s="7">
        <f>COUNTIFS(Raspored!$C$5:$C$78,$A21,Raspored!$D$5:$D$78,"x")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Uključena su područja s kalendarom odvoza za 2026.: Čiovo (Žedno, Arbanija, Mastrinka), Travarica/Divulje/Plano i Drvenik Veli. Za kopneni dio grada (centar i ostale ulice) i Drvenik Mali kalendar za 2026. nije objavljen (postoje samo objave iz 2019.), pa nisu uključeni.</t>
        </is>
      </c>
    </row>
    <row r="26">
      <c r="A26" s="15" t="inlineStr">
        <is>
          <t>• Kantu treba postaviti do 6:00 sati na vidljivo mjesto uz ulicu (kolni prilaz); otpad se preuzima od 6 do 13 h.</t>
        </is>
      </c>
    </row>
    <row r="27">
      <c r="A27" s="15" t="inlineStr">
        <is>
          <t>• Blagdani: prema kalendaru odvoz se obavlja i na blagdane, osim dana označenih crveno (1.1. na Čiovu, 25.12. u Travarici), kada odvoza nema.</t>
        </is>
      </c>
    </row>
    <row r="28">
      <c r="A28" s="15" t="inlineStr">
        <is>
          <t>• Zeleni otoci (javni spremnici za staklo, plastiku i papir) prazne se prema posebnom rasporedu na stranici Trogir Holdinga; nisu uključeni.</t>
        </is>
      </c>
    </row>
    <row r="29">
      <c r="A29" s="15" t="inlineStr">
        <is>
          <t>• Glomazni otpad odvozi se na zahtjev; mobilno reciklažno dvorište prema rasporedu na stranici.</t>
        </is>
      </c>
    </row>
    <row r="30">
      <c r="A30" s="15" t="inlineStr">
        <is>
          <t>• Trogir Holding d.o.o., Put Mulina 2, Trogir, tel. 021 798 567.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(Trogir)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46153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17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17" t="n"/>
    </row>
    <row r="29">
      <c r="A29" s="6" t="n">
        <v>46167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17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17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17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17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17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17" t="n"/>
    </row>
    <row r="35">
      <c r="A35" s="6" t="n">
        <v>46188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17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17" t="n"/>
    </row>
    <row r="37">
      <c r="A37" s="6" t="n">
        <v>46195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17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17" t="n"/>
    </row>
    <row r="39">
      <c r="A39" s="6" t="n">
        <v>46202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17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46209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46216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17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17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17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17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17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17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17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17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17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17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17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17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17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17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17" t="n"/>
    </row>
    <row r="59">
      <c r="A59" s="6" t="n">
        <v>46272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17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17" t="n"/>
    </row>
    <row r="61">
      <c r="A61" s="6" t="n">
        <v>46279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17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17" t="n"/>
    </row>
    <row r="63">
      <c r="A63" s="6" t="n">
        <v>46286</v>
      </c>
      <c r="B63" s="7" t="inlineStr">
        <is>
          <t>ponedjeljak</t>
        </is>
      </c>
      <c r="C63" s="7" t="inlineStr">
        <is>
          <t>rujan</t>
        </is>
      </c>
      <c r="D63" s="7" t="inlineStr">
        <is>
          <t>x</t>
        </is>
      </c>
      <c r="E63" s="17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17" t="n"/>
    </row>
    <row r="65">
      <c r="A65" s="6" t="n">
        <v>46293</v>
      </c>
      <c r="B65" s="7" t="inlineStr">
        <is>
          <t>ponedjeljak</t>
        </is>
      </c>
      <c r="C65" s="7" t="inlineStr">
        <is>
          <t>rujan</t>
        </is>
      </c>
      <c r="D65" s="7" t="inlineStr">
        <is>
          <t>x</t>
        </is>
      </c>
      <c r="E65" s="17" t="n"/>
    </row>
    <row r="66">
      <c r="A66" s="6" t="n">
        <v>46300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17" t="n"/>
    </row>
    <row r="67">
      <c r="A67" s="6" t="n">
        <v>46307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17" t="n"/>
    </row>
    <row r="68">
      <c r="A68" s="6" t="n">
        <v>46314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17" t="n"/>
    </row>
    <row r="69">
      <c r="A69" s="6" t="n">
        <v>46321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17" t="n"/>
    </row>
    <row r="70">
      <c r="A70" s="6" t="n">
        <v>46328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17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17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17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17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17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17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17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17" t="n"/>
    </row>
    <row r="78">
      <c r="A78" s="6" t="n">
        <v>46384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17" t="n"/>
    </row>
  </sheetData>
  <autoFilter ref="A4:E78"/>
  <conditionalFormatting sqref="D5:D78">
    <cfRule type="expression" priority="1" dxfId="0">
      <formula>D5="x"</formula>
    </cfRule>
  </conditionalFormatting>
  <conditionalFormatting sqref="A5:E7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komunalni otpad</t>
        </is>
      </c>
      <c r="D19" s="11" t="n"/>
    </row>
    <row r="20">
      <c r="A20" s="18" t="n">
        <v>46146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18" t="n">
        <v>46150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46153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18" t="n">
        <v>46157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46160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46164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46167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18" t="n">
        <v>46171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46174</v>
      </c>
      <c r="B28" s="11" t="inlineStr">
        <is>
          <t>ponedjeljak</t>
        </is>
      </c>
      <c r="C28" s="5" t="inlineStr">
        <is>
          <t>Miješani komunalni otpad</t>
        </is>
      </c>
      <c r="D28" s="11" t="n"/>
    </row>
    <row r="29">
      <c r="A29" s="18" t="n">
        <v>46178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46181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46185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46188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18" t="n">
        <v>46192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46195</v>
      </c>
      <c r="B34" s="11" t="inlineStr">
        <is>
          <t>ponedjeljak</t>
        </is>
      </c>
      <c r="C34" s="5" t="inlineStr">
        <is>
          <t>Miješani komunalni otpad</t>
        </is>
      </c>
      <c r="D34" s="11" t="n"/>
    </row>
    <row r="35">
      <c r="A35" s="18" t="n">
        <v>46199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46202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46206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46209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46213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46216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18" t="n">
        <v>46220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46223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46227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46230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46234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46237</v>
      </c>
      <c r="B46" s="11" t="inlineStr">
        <is>
          <t>ponedjeljak</t>
        </is>
      </c>
      <c r="C46" s="5" t="inlineStr">
        <is>
          <t>Miješani komunalni otpad</t>
        </is>
      </c>
      <c r="D46" s="11" t="n"/>
    </row>
    <row r="47">
      <c r="A47" s="18" t="n">
        <v>46241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46244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46248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18" t="n">
        <v>46251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46255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46258</v>
      </c>
      <c r="B52" s="11" t="inlineStr">
        <is>
          <t>ponedjeljak</t>
        </is>
      </c>
      <c r="C52" s="5" t="inlineStr">
        <is>
          <t>Miješani komunalni otpad</t>
        </is>
      </c>
      <c r="D52" s="11" t="n"/>
    </row>
    <row r="53">
      <c r="A53" s="18" t="n">
        <v>46262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46265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46269</v>
      </c>
      <c r="B55" s="11" t="inlineStr">
        <is>
          <t>petak</t>
        </is>
      </c>
      <c r="C55" s="5" t="inlineStr">
        <is>
          <t>Miješani komunalni otpad</t>
        </is>
      </c>
      <c r="D55" s="11" t="n"/>
    </row>
    <row r="56">
      <c r="A56" s="18" t="n">
        <v>46272</v>
      </c>
      <c r="B56" s="11" t="inlineStr">
        <is>
          <t>ponedjeljak</t>
        </is>
      </c>
      <c r="C56" s="5" t="inlineStr">
        <is>
          <t>Miješani komunalni otpad</t>
        </is>
      </c>
      <c r="D56" s="11" t="n"/>
    </row>
    <row r="57">
      <c r="A57" s="18" t="n">
        <v>46276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46279</v>
      </c>
      <c r="B58" s="11" t="inlineStr">
        <is>
          <t>ponedjeljak</t>
        </is>
      </c>
      <c r="C58" s="5" t="inlineStr">
        <is>
          <t>Miješani komunalni otpad</t>
        </is>
      </c>
      <c r="D58" s="11" t="n"/>
    </row>
    <row r="59">
      <c r="A59" s="18" t="n">
        <v>46283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46286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46290</v>
      </c>
      <c r="B61" s="11" t="inlineStr">
        <is>
          <t>petak</t>
        </is>
      </c>
      <c r="C61" s="5" t="inlineStr">
        <is>
          <t>Miješani komunalni otpad</t>
        </is>
      </c>
      <c r="D61" s="11" t="n"/>
    </row>
    <row r="62">
      <c r="A62" s="18" t="n">
        <v>46293</v>
      </c>
      <c r="B62" s="11" t="inlineStr">
        <is>
          <t>ponedjeljak</t>
        </is>
      </c>
      <c r="C62" s="5" t="inlineStr">
        <is>
          <t>Miješani komunalni otpad</t>
        </is>
      </c>
      <c r="D62" s="11" t="n"/>
    </row>
    <row r="63">
      <c r="A63" s="18" t="n">
        <v>46300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46307</v>
      </c>
      <c r="B64" s="11" t="inlineStr">
        <is>
          <t>ponedjeljak</t>
        </is>
      </c>
      <c r="C64" s="5" t="inlineStr">
        <is>
          <t>Miješani komunalni otpad</t>
        </is>
      </c>
      <c r="D64" s="11" t="n"/>
    </row>
    <row r="65">
      <c r="A65" s="18" t="n">
        <v>46314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46321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46328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18" t="n">
        <v>46335</v>
      </c>
      <c r="B68" s="11" t="inlineStr">
        <is>
          <t>ponedjeljak</t>
        </is>
      </c>
      <c r="C68" s="5" t="inlineStr">
        <is>
          <t>Miješani komunalni otpad</t>
        </is>
      </c>
      <c r="D68" s="11" t="n"/>
    </row>
    <row r="69">
      <c r="A69" s="18" t="n">
        <v>46342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46349</v>
      </c>
      <c r="B70" s="11" t="inlineStr">
        <is>
          <t>ponedjeljak</t>
        </is>
      </c>
      <c r="C70" s="5" t="inlineStr">
        <is>
          <t>Miješani komunalni otpad</t>
        </is>
      </c>
      <c r="D70" s="11" t="n"/>
    </row>
    <row r="71">
      <c r="A71" s="18" t="n">
        <v>46356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18" t="n">
        <v>46363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46370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18" t="n">
        <v>46377</v>
      </c>
      <c r="B74" s="11" t="inlineStr">
        <is>
          <t>ponedjeljak</t>
        </is>
      </c>
      <c r="C74" s="5" t="inlineStr">
        <is>
          <t>Miješani komunalni otpad</t>
        </is>
      </c>
      <c r="D74" s="11" t="n"/>
    </row>
    <row r="75">
      <c r="A75" s="18" t="n">
        <v>46384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(Trogir): ulice i naselja</t>
        </is>
      </c>
    </row>
    <row r="4">
      <c r="A4" s="4" t="inlineStr">
        <is>
          <t>Ulica / naselje</t>
        </is>
      </c>
    </row>
    <row r="5">
      <c r="A5" s="11" t="inlineStr">
        <is>
          <t>Drvenik Veli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2026-10-08T06:22:33Z</dcterms:created>
  <dcterms:modified xmlns:dcterms="http://purl.org/dc/terms/" xmlns:xsi="http://www.w3.org/2001/XMLSchema-instance" xsi:type="dcterms:W3CDTF">2026-10-08T06:22:33Z</dcterms:modified>
</cp:coreProperties>
</file>
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</definedName>
    <definedName name="_xlnm._FilterDatabase" localSheetId="2" hidden="1">'Po vrsti'!$A$1:$D$56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Reciklabilni otpad (plastika, metal, tetrapak)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i karton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Glomazni otpad (samo uz narudžbu)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Reciklabilni otpad (plastika, metal, tetrapak)</t>
        </is>
      </c>
      <c r="D12" s="15" t="inlineStr">
        <is>
          <t>Papir i karton</t>
        </is>
      </c>
      <c r="E12" s="16" t="inlineStr">
        <is>
          <t>Glomazni otpad (samo uz narudžbu)</t>
        </is>
      </c>
    </row>
    <row r="13">
      <c r="A13" s="17" t="inlineStr">
        <is>
          <t>siječanj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  <c r="E13" s="7">
        <f>COUNTIFS(Raspored!$C$5:$C$31,$A13,Raspored!$G$5:$G$31,"x")</f>
        <v/>
      </c>
    </row>
    <row r="14">
      <c r="A14" s="17" t="inlineStr">
        <is>
          <t>veljača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</row>
    <row r="15">
      <c r="A15" s="17" t="inlineStr">
        <is>
          <t>ožujak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</row>
    <row r="16">
      <c r="A16" s="17" t="inlineStr">
        <is>
          <t>travanj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</row>
    <row r="17">
      <c r="A17" s="17" t="inlineStr">
        <is>
          <t>svibanj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</row>
    <row r="18">
      <c r="A18" s="17" t="inlineStr">
        <is>
          <t>lipanj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</row>
    <row r="19">
      <c r="A19" s="17" t="inlineStr">
        <is>
          <t>srpanj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</row>
    <row r="20">
      <c r="A20" s="17" t="inlineStr">
        <is>
          <t>kolovoz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</row>
    <row r="21">
      <c r="A21" s="17" t="inlineStr">
        <is>
          <t>rujan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</row>
    <row r="22">
      <c r="A22" s="17" t="inlineStr">
        <is>
          <t>listopad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</row>
    <row r="23">
      <c r="A23" s="17" t="inlineStr">
        <is>
          <t>studeni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</row>
    <row r="24">
      <c r="A24" s="17" t="inlineStr">
        <is>
          <t>prosinac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Vrijeme odvoza: miješani od 7 sati; reciklabilni od 7 sati; papir od 7 sati; glomazni od 7 sati.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Datumi otisnuti crveno u kalendaru (promjene zbog blagdana i praznika) označeni su kao pomaknuti.</t>
        </is>
      </c>
    </row>
    <row r="32">
      <c r="A32" s="21" t="inlineStr">
        <is>
          <t>• Kante postavite na javnu površinu prije vremena odvoza navedenog za vrstu otpada (npr. miješani od 15 sati, ostalo od 7 sati); vrijeme je u napomeni zone.</t>
        </is>
      </c>
    </row>
    <row r="33">
      <c r="A33" s="21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4">
      <c r="A34" s="21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5">
      <c r="A35" s="21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(Gornja Rijeka)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Reciklabilni otpad (plastika, metal, tetrapak)</t>
        </is>
      </c>
      <c r="F4" s="15" t="inlineStr">
        <is>
          <t>Papir i karton</t>
        </is>
      </c>
      <c r="G4" s="16" t="inlineStr">
        <is>
          <t>Glomazni otpad (samo uz narudžbu)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46135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23" t="n">
        <v>46179</v>
      </c>
      <c r="B16" s="24" t="inlineStr">
        <is>
          <t>subota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inlineStr">
        <is>
          <t>Pomaknuto zbog neradnog dana u tjednu</t>
        </is>
      </c>
    </row>
    <row r="17">
      <c r="A17" s="6" t="n">
        <v>46191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5" t="n"/>
    </row>
    <row r="19">
      <c r="A19" s="6" t="n">
        <v>46219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46233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5" t="n"/>
    </row>
    <row r="21">
      <c r="A21" s="6" t="n">
        <v>46247</v>
      </c>
      <c r="B21" s="7" t="inlineStr">
        <is>
          <t>četvrtak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46261</v>
      </c>
      <c r="B22" s="7" t="inlineStr">
        <is>
          <t>četvrtak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5" t="n"/>
    </row>
    <row r="23">
      <c r="A23" s="6" t="n">
        <v>46275</v>
      </c>
      <c r="B23" s="7" t="inlineStr">
        <is>
          <t>četvrtak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46289</v>
      </c>
      <c r="B24" s="7" t="inlineStr">
        <is>
          <t>četvrtak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46303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46317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5" t="n"/>
    </row>
    <row r="27">
      <c r="A27" s="6" t="n">
        <v>46331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46345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5" t="n"/>
    </row>
    <row r="29">
      <c r="A29" s="6" t="n">
        <v>46359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46373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5" t="n"/>
    </row>
    <row r="31">
      <c r="A31" s="6" t="n">
        <v>46387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</sheetData>
  <autoFilter ref="A4:H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A5:H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Reciklabilni otpad (plastika, metal, tetrapak)</t>
        </is>
      </c>
      <c r="D3" s="17" t="inlineStr">
        <is>
          <t>Pomaknuto zbog neradnog dana u tjednu</t>
        </is>
      </c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46051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46051</v>
      </c>
      <c r="B7" s="17" t="inlineStr">
        <is>
          <t>četvrtak</t>
        </is>
      </c>
      <c r="C7" s="9" t="inlineStr">
        <is>
          <t>Reciklabilni otpad (plastika, metal, tetrapak)</t>
        </is>
      </c>
      <c r="D7" s="17" t="n"/>
    </row>
    <row r="8">
      <c r="A8" s="26" t="n">
        <v>46065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46065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6" t="n">
        <v>46079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46079</v>
      </c>
      <c r="B11" s="17" t="inlineStr">
        <is>
          <t>četvrtak</t>
        </is>
      </c>
      <c r="C11" s="9" t="inlineStr">
        <is>
          <t>Reciklabilni otpad (plastika, metal, tetrapak)</t>
        </is>
      </c>
      <c r="D11" s="17" t="n"/>
    </row>
    <row r="12">
      <c r="A12" s="26" t="n">
        <v>46093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46093</v>
      </c>
      <c r="B13" s="17" t="inlineStr">
        <is>
          <t>četvrtak</t>
        </is>
      </c>
      <c r="C13" s="10" t="inlineStr">
        <is>
          <t>Papir i karton</t>
        </is>
      </c>
      <c r="D13" s="17" t="n"/>
    </row>
    <row r="14">
      <c r="A14" s="26" t="n">
        <v>46093</v>
      </c>
      <c r="B14" s="17" t="inlineStr">
        <is>
          <t>četvrtak</t>
        </is>
      </c>
      <c r="C14" s="11" t="inlineStr">
        <is>
          <t>Glomazni otpad (samo uz narudžbu)</t>
        </is>
      </c>
      <c r="D14" s="17" t="n"/>
    </row>
    <row r="15">
      <c r="A15" s="26" t="n">
        <v>46107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46107</v>
      </c>
      <c r="B16" s="17" t="inlineStr">
        <is>
          <t>četvrtak</t>
        </is>
      </c>
      <c r="C16" s="9" t="inlineStr">
        <is>
          <t>Reciklabilni otpad (plastika, metal, tetrapak)</t>
        </is>
      </c>
      <c r="D16" s="17" t="n"/>
    </row>
    <row r="17">
      <c r="A17" s="26" t="n">
        <v>46121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46121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46135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46135</v>
      </c>
      <c r="B20" s="17" t="inlineStr">
        <is>
          <t>četvrtak</t>
        </is>
      </c>
      <c r="C20" s="9" t="inlineStr">
        <is>
          <t>Reciklabilni otpad (plastika, metal, tetrapak)</t>
        </is>
      </c>
      <c r="D20" s="17" t="n"/>
    </row>
    <row r="21">
      <c r="A21" s="26" t="n">
        <v>46149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46149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6" t="n">
        <v>46163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46163</v>
      </c>
      <c r="B24" s="17" t="inlineStr">
        <is>
          <t>četvrtak</t>
        </is>
      </c>
      <c r="C24" s="9" t="inlineStr">
        <is>
          <t>Reciklabilni otpad (plastika, metal, tetrapak)</t>
        </is>
      </c>
      <c r="D24" s="17" t="n"/>
    </row>
    <row r="25">
      <c r="A25" s="26" t="n">
        <v>46179</v>
      </c>
      <c r="B25" s="17" t="inlineStr">
        <is>
          <t>subota</t>
        </is>
      </c>
      <c r="C25" s="5" t="inlineStr">
        <is>
          <t>Miješani komunalni otpad</t>
        </is>
      </c>
      <c r="D25" s="17" t="inlineStr">
        <is>
          <t>Pomaknuto zbog neradnog dana u tjednu</t>
        </is>
      </c>
    </row>
    <row r="26">
      <c r="A26" s="26" t="n">
        <v>46179</v>
      </c>
      <c r="B26" s="17" t="inlineStr">
        <is>
          <t>subota</t>
        </is>
      </c>
      <c r="C26" s="10" t="inlineStr">
        <is>
          <t>Papir i karton</t>
        </is>
      </c>
      <c r="D26" s="17" t="inlineStr">
        <is>
          <t>Pomaknuto zbog neradnog dana u tjednu</t>
        </is>
      </c>
    </row>
    <row r="27">
      <c r="A27" s="26" t="n">
        <v>46191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46191</v>
      </c>
      <c r="B28" s="17" t="inlineStr">
        <is>
          <t>četvrtak</t>
        </is>
      </c>
      <c r="C28" s="9" t="inlineStr">
        <is>
          <t>Reciklabilni otpad (plastika, metal, tetrapak)</t>
        </is>
      </c>
      <c r="D28" s="17" t="n"/>
    </row>
    <row r="29">
      <c r="A29" s="26" t="n">
        <v>46205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46205</v>
      </c>
      <c r="B30" s="17" t="inlineStr">
        <is>
          <t>četvrtak</t>
        </is>
      </c>
      <c r="C30" s="10" t="inlineStr">
        <is>
          <t>Papir i karton</t>
        </is>
      </c>
      <c r="D30" s="17" t="n"/>
    </row>
    <row r="31">
      <c r="A31" s="26" t="n">
        <v>46219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46219</v>
      </c>
      <c r="B32" s="17" t="inlineStr">
        <is>
          <t>četvrtak</t>
        </is>
      </c>
      <c r="C32" s="9" t="inlineStr">
        <is>
          <t>Reciklabilni otpad (plastika, metal, tetrapak)</t>
        </is>
      </c>
      <c r="D32" s="17" t="n"/>
    </row>
    <row r="33">
      <c r="A33" s="26" t="n">
        <v>46233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46233</v>
      </c>
      <c r="B34" s="17" t="inlineStr">
        <is>
          <t>četvrtak</t>
        </is>
      </c>
      <c r="C34" s="10" t="inlineStr">
        <is>
          <t>Papir i karton</t>
        </is>
      </c>
      <c r="D34" s="17" t="n"/>
    </row>
    <row r="35">
      <c r="A35" s="26" t="n">
        <v>46247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46247</v>
      </c>
      <c r="B36" s="17" t="inlineStr">
        <is>
          <t>četvrtak</t>
        </is>
      </c>
      <c r="C36" s="9" t="inlineStr">
        <is>
          <t>Reciklabilni otpad (plastika, metal, tetrapak)</t>
        </is>
      </c>
      <c r="D36" s="17" t="n"/>
    </row>
    <row r="37">
      <c r="A37" s="26" t="n">
        <v>46261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46261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46275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46275</v>
      </c>
      <c r="B40" s="17" t="inlineStr">
        <is>
          <t>četvrtak</t>
        </is>
      </c>
      <c r="C40" s="9" t="inlineStr">
        <is>
          <t>Reciklabilni otpad (plastika, metal, tetrapak)</t>
        </is>
      </c>
      <c r="D40" s="17" t="n"/>
    </row>
    <row r="41">
      <c r="A41" s="26" t="n">
        <v>46289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46289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6" t="n">
        <v>46303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46303</v>
      </c>
      <c r="B44" s="17" t="inlineStr">
        <is>
          <t>četvrtak</t>
        </is>
      </c>
      <c r="C44" s="9" t="inlineStr">
        <is>
          <t>Reciklabilni otpad (plastika, metal, tetrapak)</t>
        </is>
      </c>
      <c r="D44" s="17" t="n"/>
    </row>
    <row r="45">
      <c r="A45" s="26" t="n">
        <v>46317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46317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46331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46331</v>
      </c>
      <c r="B48" s="17" t="inlineStr">
        <is>
          <t>četvrtak</t>
        </is>
      </c>
      <c r="C48" s="9" t="inlineStr">
        <is>
          <t>Reciklabilni otpad (plastika, metal, tetrapak)</t>
        </is>
      </c>
      <c r="D48" s="17" t="n"/>
    </row>
    <row r="49">
      <c r="A49" s="26" t="n">
        <v>46345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46345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6" t="n">
        <v>46359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46359</v>
      </c>
      <c r="B52" s="17" t="inlineStr">
        <is>
          <t>četvrtak</t>
        </is>
      </c>
      <c r="C52" s="9" t="inlineStr">
        <is>
          <t>Reciklabilni otpad (plastika, metal, tetrapak)</t>
        </is>
      </c>
      <c r="D52" s="17" t="n"/>
    </row>
    <row r="53">
      <c r="A53" s="26" t="n">
        <v>46373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46373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6" t="n">
        <v>46387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46387</v>
      </c>
      <c r="B56" s="17" t="inlineStr">
        <is>
          <t>četvrtak</t>
        </is>
      </c>
      <c r="C56" s="9" t="inlineStr">
        <is>
          <t>Reciklabilni otpad (plastika, metal, tetrapak)</t>
        </is>
      </c>
      <c r="D56" s="17" t="n"/>
    </row>
  </sheetData>
  <autoFilter ref="A1:D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(Gornja Rijeka): ulice i naselja</t>
        </is>
      </c>
    </row>
    <row r="2">
      <c r="A2" s="22" t="inlineStr">
        <is>
          <t>Barlabaševec, Deklešanec, Donja Rijeka, Dropkovec, Fajerovec, Fodrovec Riječki, Gornja Rijeka, Kolarec, Kostanjevec Riječki, Lukaševec, Nemčevec, Pofuki, Štrigovec i Vukšinec Riječki</t>
        </is>
      </c>
    </row>
    <row r="4">
      <c r="A4" s="4" t="inlineStr">
        <is>
          <t>Ulica / naselje</t>
        </is>
      </c>
    </row>
    <row r="5">
      <c r="A5" s="17" t="inlineStr">
        <is>
          <t>Barlabaševec</t>
        </is>
      </c>
    </row>
    <row r="6">
      <c r="A6" s="17" t="inlineStr">
        <is>
          <t>Deklešanec</t>
        </is>
      </c>
    </row>
    <row r="7">
      <c r="A7" s="17" t="inlineStr">
        <is>
          <t>Donja Rijeka</t>
        </is>
      </c>
    </row>
    <row r="8">
      <c r="A8" s="17" t="inlineStr">
        <is>
          <t>Dropkovec</t>
        </is>
      </c>
    </row>
    <row r="9">
      <c r="A9" s="17" t="inlineStr">
        <is>
          <t>Fajerovec</t>
        </is>
      </c>
    </row>
    <row r="10">
      <c r="A10" s="17" t="inlineStr">
        <is>
          <t>Fodrovec Riječki</t>
        </is>
      </c>
    </row>
    <row r="11">
      <c r="A11" s="17" t="inlineStr">
        <is>
          <t>Gornja Rijeka</t>
        </is>
      </c>
    </row>
    <row r="12">
      <c r="A12" s="17" t="inlineStr">
        <is>
          <t>Kolarec</t>
        </is>
      </c>
    </row>
    <row r="13">
      <c r="A13" s="17" t="inlineStr">
        <is>
          <t>Kostanjevec Riječki</t>
        </is>
      </c>
    </row>
    <row r="14">
      <c r="A14" s="17" t="inlineStr">
        <is>
          <t>Lukaševec</t>
        </is>
      </c>
    </row>
    <row r="15">
      <c r="A15" s="17" t="inlineStr">
        <is>
          <t>Nemčevec</t>
        </is>
      </c>
    </row>
    <row r="16">
      <c r="A16" s="17" t="inlineStr">
        <is>
          <t>Pofuki</t>
        </is>
      </c>
    </row>
    <row r="17">
      <c r="A17" s="17" t="inlineStr">
        <is>
          <t>Štrigovec</t>
        </is>
      </c>
    </row>
    <row r="18">
      <c r="A18" s="17" t="inlineStr">
        <is>
          <t>Vukšinec Riječki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
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'Raspored'!$A$4:$J$58</definedName>
    <definedName name="_xlnm._FilterDatabase" localSheetId="2" hidden="1">'Po vrsti'!$A$1:$D$142</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9">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7">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3,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IFERROR(1/(1/_xlfn.MINIFS(Raspored!$A$5:$A$58,Raspored!$D$5:$D$58,"x",Raspored!$A$5:$A$58,"&gt;="&amp;$B$3)),"nema više u 2026.")</f>
        <v/>
      </c>
      <c r="C6" s="7">
        <f>IF(ISNUMBER(B6),INDEX({"nedjelja","ponedjeljak","utorak","srijeda","četvrtak","petak","subota"},WEEKDAY(B6)),"")</f>
        <v/>
      </c>
      <c r="D6" s="8">
        <f>IF(ISNUMBER(B6),B6-$B$3,"")</f>
        <v/>
      </c>
      <c r="E6" s="7">
        <f>COUNTIF(Raspored!$D$5:$D$58,"x")</f>
        <v/>
      </c>
    </row>
    <row r="7">
      <c r="A7" s="9" t="inlineStr">
        <is>
          <t>Biootpad</t>
        </is>
      </c>
      <c r="B7" s="6">
        <f>IFERROR(1/(1/_xlfn.MINIFS(Raspored!$A$5:$A$58,Raspored!$E$5:$E$58,"x",Raspored!$A$5:$A$58,"&gt;="&amp;$B$3)),"nema više u 2026.")</f>
        <v/>
      </c>
      <c r="C7" s="7">
        <f>IF(ISNUMBER(B7),INDEX({"nedjelja","ponedjeljak","utorak","srijeda","četvrtak","petak","subota"},WEEKDAY(B7)),"")</f>
        <v/>
      </c>
      <c r="D7" s="8">
        <f>IF(ISNUMBER(B7),B7-$B$3,"")</f>
        <v/>
      </c>
      <c r="E7" s="7">
        <f>COUNTIF(Raspored!$E$5:$E$58,"x")</f>
        <v/>
      </c>
    </row>
    <row r="8">
      <c r="A8" s="10" t="inlineStr">
        <is>
          <t>Reciklabilni otpad (plastika, metal, tetrapak)</t>
        </is>
      </c>
      <c r="B8" s="6">
        <f>IFERROR(1/(1/_xlfn.MINIFS(Raspored!$A$5:$A$58,Raspored!$F$5:$F$58,"x",Raspored!$A$5:$A$58,"&gt;="&amp;$B$3)),"nema više u 2026.")</f>
        <v/>
      </c>
      <c r="C8" s="7">
        <f>IF(ISNUMBER(B8),INDEX({"nedjelja","ponedjeljak","utorak","srijeda","četvrtak","petak","subota"},WEEKDAY(B8)),"")</f>
        <v/>
      </c>
      <c r="D8" s="8">
        <f>IF(ISNUMBER(B8),B8-$B$3,"")</f>
        <v/>
      </c>
      <c r="E8" s="7">
        <f>COUNTIF(Raspored!$F$5:$F$58,"x")</f>
        <v/>
      </c>
    </row>
    <row r="9">
      <c r="A9" s="11" t="inlineStr">
        <is>
          <t>Papir i karton</t>
        </is>
      </c>
      <c r="B9" s="6">
        <f>IFERROR(1/(1/_xlfn.MINIFS(Raspored!$A$5:$A$58,Raspored!$G$5:$G$58,"x",Raspored!$A$5:$A$58,"&gt;="&amp;$B$3)),"nema više u 2026.")</f>
        <v/>
      </c>
      <c r="C9" s="7">
        <f>IF(ISNUMBER(B9),INDEX({"nedjelja","ponedjeljak","utorak","srijeda","četvrtak","petak","subota"},WEEKDAY(B9)),"")</f>
        <v/>
      </c>
      <c r="D9" s="8">
        <f>IF(ISNUMBER(B9),B9-$B$3,"")</f>
        <v/>
      </c>
      <c r="E9" s="7">
        <f>COUNTIF(Raspored!$G$5:$G$58,"x")</f>
        <v/>
      </c>
    </row>
    <row r="10">
      <c r="A10" s="12" t="inlineStr">
        <is>
          <t>Staklo</t>
        </is>
      </c>
      <c r="B10" s="6">
        <f>IFERROR(1/(1/_xlfn.MINIFS(Raspored!$A$5:$A$58,Raspored!$H$5:$H$58,"x",Raspored!$A$5:$A$58,"&gt;="&amp;$B$3)),"nema više u 2026.")</f>
        <v/>
      </c>
      <c r="C10" s="7">
        <f>IF(ISNUMBER(B10),INDEX({"nedjelja","ponedjeljak","utorak","srijeda","četvrtak","petak","subota"},WEEKDAY(B10)),"")</f>
        <v/>
      </c>
      <c r="D10" s="8">
        <f>IF(ISNUMBER(B10),B10-$B$3,"")</f>
        <v/>
      </c>
      <c r="E10" s="7">
        <f>COUNTIF(Raspored!$H$5:$H$58,"x")</f>
        <v/>
      </c>
    </row>
    <row r="11">
      <c r="A11" s="13" t="inlineStr">
        <is>
          <t>Glomazni otpad (samo uz narudžbu)</t>
        </is>
      </c>
      <c r="B11" s="6">
        <f>IFERROR(1/(1/_xlfn.MINIFS(Raspored!$A$5:$A$58,Raspored!$I$5:$I$58,"x",Raspored!$A$5:$A$58,"&gt;="&amp;$B$3)),"nema više u 2026.")</f>
        <v/>
      </c>
      <c r="C11" s="7">
        <f>IF(ISNUMBER(B11),INDEX({"nedjelja","ponedjeljak","utorak","srijeda","četvrtak","petak","subota"},WEEKDAY(B11)),"")</f>
        <v/>
      </c>
      <c r="D11" s="8">
        <f>IF(ISNUMBER(B11),B11-$B$3,"")</f>
        <v/>
      </c>
      <c r="E11" s="7">
        <f>COUNTIF(Raspored!$I$5:$I$58,"x")</f>
        <v/>
      </c>
    </row>
    <row r="13">
      <c r="A13" s="14" t="inlineStr">
        <is>
          <t>Broj odvoza po mjesecu</t>
        </is>
      </c>
    </row>
    <row r="14" ht="30" customHeight="1">
      <c r="A14" s="4" t="inlineStr">
        <is>
          <t>Mjesec</t>
        </is>
      </c>
      <c r="B14" s="15" t="inlineStr">
        <is>
          <t>Miješani komunalni otpad</t>
        </is>
      </c>
      <c r="C14" s="16" t="inlineStr">
        <is>
          <t>Biootpad</t>
        </is>
      </c>
      <c r="D14" s="17" t="inlineStr">
        <is>
          <t>Reciklabilni otpad (plastika, metal, tetrapak)</t>
        </is>
      </c>
      <c r="E14" s="18" t="inlineStr">
        <is>
          <t>Papir i karton</t>
        </is>
      </c>
      <c r="F14" s="19" t="inlineStr">
        <is>
          <t>Staklo</t>
        </is>
      </c>
      <c r="G14" s="20" t="inlineStr">
        <is>
          <t>Glomazni otpad (samo uz narudžbu)</t>
        </is>
      </c>
    </row>
    <row r="15">
      <c r="A15" s="21" t="inlineStr">
        <is>
          <t>siječanj</t>
        </is>
      </c>
      <c r="B15" s="7">
        <f>COUNTIFS(Raspored!$C$5:$C$58,$A15,Raspored!$D$5:$D$58,"x")</f>
        <v/>
      </c>
      <c r="C15" s="7">
        <f>COUNTIFS(Raspored!$C$5:$C$58,$A15,Raspored!$E$5:$E$58,"x")</f>
        <v/>
      </c>
      <c r="D15" s="7">
        <f>COUNTIFS(Raspored!$C$5:$C$58,$A15,Raspored!$F$5:$F$58,"x")</f>
        <v/>
      </c>
      <c r="E15" s="7">
        <f>COUNTIFS(Raspored!$C$5:$C$58,$A15,Raspored!$G$5:$G$58,"x")</f>
        <v/>
      </c>
      <c r="F15" s="7">
        <f>COUNTIFS(Raspored!$C$5:$C$58,$A15,Raspored!$H$5:$H$58,"x")</f>
        <v/>
      </c>
      <c r="G15" s="7">
        <f>COUNTIFS(Raspored!$C$5:$C$58,$A15,Raspored!$I$5:$I$58,"x")</f>
        <v/>
      </c>
    </row>
    <row r="16">
      <c r="A16" s="21" t="inlineStr">
        <is>
          <t>veljača</t>
        </is>
      </c>
      <c r="B16" s="7">
        <f>COUNTIFS(Raspored!$C$5:$C$58,$A16,Raspored!$D$5:$D$58,"x")</f>
        <v/>
      </c>
      <c r="C16" s="7">
        <f>COUNTIFS(Raspored!$C$5:$C$58,$A16,Raspored!$E$5:$E$58,"x")</f>
        <v/>
      </c>
      <c r="D16" s="7">
        <f>COUNTIFS(Raspored!$C$5:$C$58,$A16,Raspored!$F$5:$F$58,"x")</f>
        <v/>
      </c>
      <c r="E16" s="7">
        <f>COUNTIFS(Raspored!$C$5:$C$58,$A16,Raspored!$G$5:$G$58,"x")</f>
        <v/>
      </c>
      <c r="F16" s="7">
        <f>COUNTIFS(Raspored!$C$5:$C$58,$A16,Raspored!$H$5:$H$58,"x")</f>
        <v/>
      </c>
      <c r="G16" s="7">
        <f>COUNTIFS(Raspored!$C$5:$C$58,$A16,Raspored!$I$5:$I$58,"x")</f>
        <v/>
      </c>
    </row>
    <row r="17">
      <c r="A17" s="21" t="inlineStr">
        <is>
          <t>ožujak</t>
        </is>
      </c>
      <c r="B17" s="7">
        <f>COUNTIFS(Raspored!$C$5:$C$58,$A17,Raspored!$D$5:$D$58,"x")</f>
        <v/>
      </c>
      <c r="C17" s="7">
        <f>COUNTIFS(Raspored!$C$5:$C$58,$A17,Raspored!$E$5:$E$58,"x")</f>
        <v/>
      </c>
      <c r="D17" s="7">
        <f>COUNTIFS(Raspored!$C$5:$C$58,$A17,Raspored!$F$5:$F$58,"x")</f>
        <v/>
      </c>
      <c r="E17" s="7">
        <f>COUNTIFS(Raspored!$C$5:$C$58,$A17,Raspored!$G$5:$G$58,"x")</f>
        <v/>
      </c>
      <c r="F17" s="7">
        <f>COUNTIFS(Raspored!$C$5:$C$58,$A17,Raspored!$H$5:$H$58,"x")</f>
        <v/>
      </c>
      <c r="G17" s="7">
        <f>COUNTIFS(Raspored!$C$5:$C$58,$A17,Raspored!$I$5:$I$58,"x")</f>
        <v/>
      </c>
    </row>
    <row r="18">
      <c r="A18" s="21" t="inlineStr">
        <is>
          <t>travanj</t>
        </is>
      </c>
      <c r="B18" s="7">
        <f>COUNTIFS(Raspored!$C$5:$C$58,$A18,Raspored!$D$5:$D$58,"x")</f>
        <v/>
      </c>
      <c r="C18" s="7">
        <f>COUNTIFS(Raspored!$C$5:$C$58,$A18,Raspored!$E$5:$E$58,"x")</f>
        <v/>
      </c>
      <c r="D18" s="7">
        <f>COUNTIFS(Raspored!$C$5:$C$58,$A18,Raspored!$F$5:$F$58,"x")</f>
        <v/>
      </c>
      <c r="E18" s="7">
        <f>COUNTIFS(Raspored!$C$5:$C$58,$A18,Raspored!$G$5:$G$58,"x")</f>
        <v/>
      </c>
      <c r="F18" s="7">
        <f>COUNTIFS(Raspored!$C$5:$C$58,$A18,Raspored!$H$5:$H$58,"x")</f>
        <v/>
      </c>
      <c r="G18" s="7">
        <f>COUNTIFS(Raspored!$C$5:$C$58,$A18,Raspored!$I$5:$I$58,"x")</f>
        <v/>
      </c>
    </row>
    <row r="19">
      <c r="A19" s="21" t="inlineStr">
        <is>
          <t>svibanj</t>
        </is>
      </c>
      <c r="B19" s="7">
        <f>COUNTIFS(Raspored!$C$5:$C$58,$A19,Raspored!$D$5:$D$58,"x")</f>
        <v/>
      </c>
      <c r="C19" s="7">
        <f>COUNTIFS(Raspored!$C$5:$C$58,$A19,Raspored!$E$5:$E$58,"x")</f>
        <v/>
      </c>
      <c r="D19" s="7">
        <f>COUNTIFS(Raspored!$C$5:$C$58,$A19,Raspored!$F$5:$F$58,"x")</f>
        <v/>
      </c>
      <c r="E19" s="7">
        <f>COUNTIFS(Raspored!$C$5:$C$58,$A19,Raspored!$G$5:$G$58,"x")</f>
        <v/>
      </c>
      <c r="F19" s="7">
        <f>COUNTIFS(Raspored!$C$5:$C$58,$A19,Raspored!$H$5:$H$58,"x")</f>
        <v/>
      </c>
      <c r="G19" s="7">
        <f>COUNTIFS(Raspored!$C$5:$C$58,$A19,Raspored!$I$5:$I$58,"x")</f>
        <v/>
      </c>
    </row>
    <row r="20">
      <c r="A20" s="21" t="inlineStr">
        <is>
          <t>lipanj</t>
        </is>
      </c>
      <c r="B20" s="7">
        <f>COUNTIFS(Raspored!$C$5:$C$58,$A20,Raspored!$D$5:$D$58,"x")</f>
        <v/>
      </c>
      <c r="C20" s="7">
        <f>COUNTIFS(Raspored!$C$5:$C$58,$A20,Raspored!$E$5:$E$58,"x")</f>
        <v/>
      </c>
      <c r="D20" s="7">
        <f>COUNTIFS(Raspored!$C$5:$C$58,$A20,Raspored!$F$5:$F$58,"x")</f>
        <v/>
      </c>
      <c r="E20" s="7">
        <f>COUNTIFS(Raspored!$C$5:$C$58,$A20,Raspored!$G$5:$G$58,"x")</f>
        <v/>
      </c>
      <c r="F20" s="7">
        <f>COUNTIFS(Raspored!$C$5:$C$58,$A20,Raspored!$H$5:$H$58,"x")</f>
        <v/>
      </c>
      <c r="G20" s="7">
        <f>COUNTIFS(Raspored!$C$5:$C$58,$A20,Raspored!$I$5:$I$58,"x")</f>
        <v/>
      </c>
    </row>
    <row r="21">
      <c r="A21" s="21" t="inlineStr">
        <is>
          <t>srpanj</t>
        </is>
      </c>
      <c r="B21" s="7">
        <f>COUNTIFS(Raspored!$C$5:$C$58,$A21,Raspored!$D$5:$D$58,"x")</f>
        <v/>
      </c>
      <c r="C21" s="7">
        <f>COUNTIFS(Raspored!$C$5:$C$58,$A21,Raspored!$E$5:$E$58,"x")</f>
        <v/>
      </c>
      <c r="D21" s="7">
        <f>COUNTIFS(Raspored!$C$5:$C$58,$A21,Raspored!$F$5:$F$58,"x")</f>
        <v/>
      </c>
      <c r="E21" s="7">
        <f>COUNTIFS(Raspored!$C$5:$C$58,$A21,Raspored!$G$5:$G$58,"x")</f>
        <v/>
      </c>
      <c r="F21" s="7">
        <f>COUNTIFS(Raspored!$C$5:$C$58,$A21,Raspored!$H$5:$H$58,"x")</f>
        <v/>
      </c>
      <c r="G21" s="7">
        <f>COUNTIFS(Raspored!$C$5:$C$58,$A21,Raspored!$I$5:$I$58,"x")</f>
        <v/>
      </c>
    </row>
    <row r="22">
      <c r="A22" s="21" t="inlineStr">
        <is>
          <t>kolovoz</t>
        </is>
      </c>
      <c r="B22" s="7">
        <f>COUNTIFS(Raspored!$C$5:$C$58,$A22,Raspored!$D$5:$D$58,"x")</f>
        <v/>
      </c>
      <c r="C22" s="7">
        <f>COUNTIFS(Raspored!$C$5:$C$58,$A22,Raspored!$E$5:$E$58,"x")</f>
        <v/>
      </c>
      <c r="D22" s="7">
        <f>COUNTIFS(Raspored!$C$5:$C$58,$A22,Raspored!$F$5:$F$58,"x")</f>
        <v/>
      </c>
      <c r="E22" s="7">
        <f>COUNTIFS(Raspored!$C$5:$C$58,$A22,Raspored!$G$5:$G$58,"x")</f>
        <v/>
      </c>
      <c r="F22" s="7">
        <f>COUNTIFS(Raspored!$C$5:$C$58,$A22,Raspored!$H$5:$H$58,"x")</f>
        <v/>
      </c>
      <c r="G22" s="7">
        <f>COUNTIFS(Raspored!$C$5:$C$58,$A22,Raspored!$I$5:$I$58,"x")</f>
        <v/>
      </c>
    </row>
    <row r="23">
      <c r="A23" s="21" t="inlineStr">
        <is>
          <t>rujan</t>
        </is>
      </c>
      <c r="B23" s="7">
        <f>COUNTIFS(Raspored!$C$5:$C$58,$A23,Raspored!$D$5:$D$58,"x")</f>
        <v/>
      </c>
      <c r="C23" s="7">
        <f>COUNTIFS(Raspored!$C$5:$C$58,$A23,Raspored!$E$5:$E$58,"x")</f>
        <v/>
      </c>
      <c r="D23" s="7">
        <f>COUNTIFS(Raspored!$C$5:$C$58,$A23,Raspored!$F$5:$F$58,"x")</f>
        <v/>
      </c>
      <c r="E23" s="7">
        <f>COUNTIFS(Raspored!$C$5:$C$58,$A23,Raspored!$G$5:$G$58,"x")</f>
        <v/>
      </c>
      <c r="F23" s="7">
        <f>COUNTIFS(Raspored!$C$5:$C$58,$A23,Raspored!$H$5:$H$58,"x")</f>
        <v/>
      </c>
      <c r="G23" s="7">
        <f>COUNTIFS(Raspored!$C$5:$C$58,$A23,Raspored!$I$5:$I$58,"x")</f>
        <v/>
      </c>
    </row>
    <row r="24">
      <c r="A24" s="21" t="inlineStr">
        <is>
          <t>listopad</t>
        </is>
      </c>
      <c r="B24" s="7">
        <f>COUNTIFS(Raspored!$C$5:$C$58,$A24,Raspored!$D$5:$D$58,"x")</f>
        <v/>
      </c>
      <c r="C24" s="7">
        <f>COUNTIFS(Raspored!$C$5:$C$58,$A24,Raspored!$E$5:$E$58,"x")</f>
        <v/>
      </c>
      <c r="D24" s="7">
        <f>COUNTIFS(Raspored!$C$5:$C$58,$A24,Raspored!$F$5:$F$58,"x")</f>
        <v/>
      </c>
      <c r="E24" s="7">
        <f>COUNTIFS(Raspored!$C$5:$C$58,$A24,Raspored!$G$5:$G$58,"x")</f>
        <v/>
      </c>
      <c r="F24" s="7">
        <f>COUNTIFS(Raspored!$C$5:$C$58,$A24,Raspored!$H$5:$H$58,"x")</f>
        <v/>
      </c>
      <c r="G24" s="7">
        <f>COUNTIFS(Raspored!$C$5:$C$58,$A24,Raspored!$I$5:$I$58,"x")</f>
        <v/>
      </c>
    </row>
    <row r="25">
      <c r="A25" s="21" t="inlineStr">
        <is>
          <t>studeni</t>
        </is>
      </c>
      <c r="B25" s="7">
        <f>COUNTIFS(Raspored!$C$5:$C$58,$A25,Raspored!$D$5:$D$58,"x")</f>
        <v/>
      </c>
      <c r="C25" s="7">
        <f>COUNTIFS(Raspored!$C$5:$C$58,$A25,Raspored!$E$5:$E$58,"x")</f>
        <v/>
      </c>
      <c r="D25" s="7">
        <f>COUNTIFS(Raspored!$C$5:$C$58,$A25,Raspored!$F$5:$F$58,"x")</f>
        <v/>
      </c>
      <c r="E25" s="7">
        <f>COUNTIFS(Raspored!$C$5:$C$58,$A25,Raspored!$G$5:$G$58,"x")</f>
        <v/>
      </c>
      <c r="F25" s="7">
        <f>COUNTIFS(Raspored!$C$5:$C$58,$A25,Raspored!$H$5:$H$58,"x")</f>
        <v/>
      </c>
      <c r="G25" s="7">
        <f>COUNTIFS(Raspored!$C$5:$C$58,$A25,Raspored!$I$5:$I$58,"x")</f>
        <v/>
      </c>
    </row>
    <row r="26">
      <c r="A26" s="21" t="inlineStr">
        <is>
          <t>prosinac</t>
        </is>
      </c>
      <c r="B26" s="7">
        <f>COUNTIFS(Raspored!$C$5:$C$58,$A26,Raspored!$D$5:$D$58,"x")</f>
        <v/>
      </c>
      <c r="C26" s="7">
        <f>COUNTIFS(Raspored!$C$5:$C$58,$A26,Raspored!$E$5:$E$58,"x")</f>
        <v/>
      </c>
      <c r="D26" s="7">
        <f>COUNTIFS(Raspored!$C$5:$C$58,$A26,Raspored!$F$5:$F$58,"x")</f>
        <v/>
      </c>
      <c r="E26" s="7">
        <f>COUNTIFS(Raspored!$C$5:$C$58,$A26,Raspored!$G$5:$G$58,"x")</f>
        <v/>
      </c>
      <c r="F26" s="7">
        <f>COUNTIFS(Raspored!$C$5:$C$58,$A26,Raspored!$H$5:$H$58,"x")</f>
        <v/>
      </c>
      <c r="G26" s="7">
        <f>COUNTIFS(Raspored!$C$5:$C$58,$A26,Raspored!$I$5:$I$58,"x")</f>
        <v/>
      </c>
    </row>
    <row r="27">
      <c r="A27" s="22" t="inlineStr">
        <is>
          <t>Ukupno</t>
        </is>
      </c>
      <c r="B27" s="23">
        <f>SUM(B15:B26)</f>
        <v/>
      </c>
      <c r="C27" s="23">
        <f>SUM(C15:C26)</f>
        <v/>
      </c>
      <c r="D27" s="23">
        <f>SUM(D15:D26)</f>
        <v/>
      </c>
      <c r="E27" s="23">
        <f>SUM(E15:E26)</f>
        <v/>
      </c>
      <c r="F27" s="23">
        <f>SUM(F15:F26)</f>
        <v/>
      </c>
      <c r="G27" s="23">
        <f>SUM(G15:G26)</f>
        <v/>
      </c>
    </row>
    <row r="29">
      <c r="A29" s="24" t="inlineStr">
        <is>
          <t>Napomene:</t>
        </is>
      </c>
    </row>
    <row r="30">
      <c r="A30" s="25" t="inlineStr">
        <is>
          <t>• Crveno označeni datumi u listu "Raspored" su pomaknuti zbog neradnog dana u tom tjednu (inače je odvoz srijedom).</t>
        </is>
      </c>
    </row>
    <row r="31">
      <c r="A31" s="25" t="inlineStr">
        <is>
          <t>• Vrijeme odvoza: miješani od 15 sati; reciklabilni od 7 sati; papir od 7 sati; staklo od 7 sati; biootpad od 15 sati; glomazni od 7 sati.</t>
        </is>
      </c>
    </row>
    <row r="32">
      <c r="A32" s="25" t="inlineStr">
        <is>
          <t>• Biootpad se odvozi samo u dijelovima Grada Križevaca navedenima u kalendaru.</t>
        </is>
      </c>
    </row>
    <row r="33">
      <c r="A33" s="25" t="inlineStr">
        <is>
          <t>• Datumi otisnuti crveno u kalendaru (promjene zbog blagdana i praznika) označeni su kao pomaknuti.</t>
        </is>
      </c>
    </row>
    <row r="34">
      <c r="A34" s="25" t="inlineStr">
        <is>
          <t>• Kante postavite na javnu površinu prije vremena odvoza navedenog za vrstu otpada (npr. miješani od 15 sati, ostalo od 7 sati); vrijeme je u napomeni zone.</t>
        </is>
      </c>
    </row>
    <row r="35">
      <c r="A35" s="25" t="inlineStr">
        <is>
          <t>• Glomazni otpad odvozi se na predviđene datume samo uz narudžbu najkasnije 3 dana prije (048 720 918, www.komunalno.hr ili kupon iz kalendara); jedan odvoz godišnje je besplatan.</t>
        </is>
      </c>
    </row>
    <row r="36">
      <c r="A36" s="25" t="inlineStr">
        <is>
          <t>• Višak otpada: miješani u vrećama Komunalnog poduzeća, reciklabilni u narančastim, papir u plavim i biootpad u smeđim vrećama (besplatne na blagajni i u reciklažnom dvorištu).</t>
        </is>
      </c>
    </row>
    <row r="37">
      <c r="A37" s="25" t="inlineStr">
        <is>
          <t>• Reciklažno dvorište Donji Cubinec 30: ponedjeljak 8–18, utorak–petak 8–16, subota 8–14 sati (048 693 561). Informacije: 048 720 918, info@komunalno.hr.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3" customWidth="1" min="9" max="9"/>
    <col width="44" customWidth="1" min="10" max="10"/>
  </cols>
  <sheetData>
    <row r="1">
      <c r="A1" s="1" t="inlineStr">
        <is>
          <t>Raspored odvoza otpada 2026., Zona 3 (Križevci)</t>
        </is>
      </c>
    </row>
    <row r="2">
      <c r="A2" s="26" t="inlineStr">
        <is>
          <t>"x" = odvoz tog dana. Spremnike iznijeti do 07:00. Prošli datumi su posivljeni.</t>
        </is>
      </c>
    </row>
    <row r="4" ht="32" customHeight="1">
      <c r="A4" s="4" t="inlineStr">
        <is>
          <t>Datum</t>
        </is>
      </c>
      <c r="B4" s="4" t="inlineStr">
        <is>
          <t>Dan</t>
        </is>
      </c>
      <c r="C4" s="4" t="inlineStr">
        <is>
          <t>Mjesec</t>
        </is>
      </c>
      <c r="D4" s="15" t="inlineStr">
        <is>
          <t>Miješani komunalni otpad</t>
        </is>
      </c>
      <c r="E4" s="16" t="inlineStr">
        <is>
          <t>Biootpad</t>
        </is>
      </c>
      <c r="F4" s="17" t="inlineStr">
        <is>
          <t>Reciklabilni otpad (plastika, metal, tetrapak)</t>
        </is>
      </c>
      <c r="G4" s="18" t="inlineStr">
        <is>
          <t>Papir i karton</t>
        </is>
      </c>
      <c r="H4" s="19" t="inlineStr">
        <is>
          <t>Staklo</t>
        </is>
      </c>
      <c r="I4" s="20" t="inlineStr">
        <is>
          <t>Glomazni otpad (samo uz narudžbu)</t>
        </is>
      </c>
      <c r="J4" s="4" t="inlineStr">
        <is>
          <t>Napomena</t>
        </is>
      </c>
    </row>
    <row r="5">
      <c r="A5" s="6" t="n">
        <v>46029</v>
      </c>
      <c r="B5" s="7" t="inlineStr">
        <is>
          <t>srijeda</t>
        </is>
      </c>
      <c r="C5" s="7" t="inlineStr">
        <is>
          <t>siječanj</t>
        </is>
      </c>
      <c r="D5" s="7" t="inlineStr">
        <is>
          <t>x</t>
        </is>
      </c>
      <c r="E5" s="7" t="inlineStr">
        <is>
          <t>x</t>
        </is>
      </c>
      <c r="F5" s="7" t="inlineStr">
        <is>
          <t>x</t>
        </is>
      </c>
      <c r="G5" s="7" t="n"/>
      <c r="H5" s="7" t="n"/>
      <c r="I5" s="7" t="n"/>
      <c r="J5" s="27" t="n"/>
    </row>
    <row r="6">
      <c r="A6" s="6" t="n">
        <v>46036</v>
      </c>
      <c r="B6" s="7" t="inlineStr">
        <is>
          <t>srijeda</t>
        </is>
      </c>
      <c r="C6" s="7" t="inlineStr">
        <is>
          <t>siječanj</t>
        </is>
      </c>
      <c r="D6" s="7" t="inlineStr">
        <is>
          <t>x</t>
        </is>
      </c>
      <c r="E6" s="7" t="n"/>
      <c r="F6" s="7" t="n"/>
      <c r="G6" s="7" t="inlineStr">
        <is>
          <t>x</t>
        </is>
      </c>
      <c r="H6" s="7" t="n"/>
      <c r="I6" s="7" t="n"/>
      <c r="J6" s="27" t="n"/>
    </row>
    <row r="7">
      <c r="A7" s="6" t="n">
        <v>46043</v>
      </c>
      <c r="B7" s="7" t="inlineStr">
        <is>
          <t>srijeda</t>
        </is>
      </c>
      <c r="C7" s="7" t="inlineStr">
        <is>
          <t>siječanj</t>
        </is>
      </c>
      <c r="D7" s="7" t="inlineStr">
        <is>
          <t>x</t>
        </is>
      </c>
      <c r="E7" s="7" t="inlineStr">
        <is>
          <t>x</t>
        </is>
      </c>
      <c r="F7" s="7" t="inlineStr">
        <is>
          <t>x</t>
        </is>
      </c>
      <c r="G7" s="7" t="n"/>
      <c r="H7" s="7" t="n"/>
      <c r="I7" s="7" t="n"/>
      <c r="J7" s="27" t="n"/>
    </row>
    <row r="8">
      <c r="A8" s="6" t="n">
        <v>46050</v>
      </c>
      <c r="B8" s="7" t="inlineStr">
        <is>
          <t>srijeda</t>
        </is>
      </c>
      <c r="C8" s="7" t="inlineStr">
        <is>
          <t>siječanj</t>
        </is>
      </c>
      <c r="D8" s="7" t="inlineStr">
        <is>
          <t>x</t>
        </is>
      </c>
      <c r="E8" s="7" t="n"/>
      <c r="F8" s="7" t="n"/>
      <c r="G8" s="7" t="n"/>
      <c r="H8" s="7" t="inlineStr">
        <is>
          <t>x</t>
        </is>
      </c>
      <c r="I8" s="7" t="n"/>
      <c r="J8" s="27" t="n"/>
    </row>
    <row r="9">
      <c r="A9" s="6" t="n">
        <v>46057</v>
      </c>
      <c r="B9" s="7" t="inlineStr">
        <is>
          <t>srijeda</t>
        </is>
      </c>
      <c r="C9" s="7" t="inlineStr">
        <is>
          <t>veljača</t>
        </is>
      </c>
      <c r="D9" s="7" t="inlineStr">
        <is>
          <t>x</t>
        </is>
      </c>
      <c r="E9" s="7" t="inlineStr">
        <is>
          <t>x</t>
        </is>
      </c>
      <c r="F9" s="7" t="inlineStr">
        <is>
          <t>x</t>
        </is>
      </c>
      <c r="G9" s="7" t="n"/>
      <c r="H9" s="7" t="n"/>
      <c r="I9" s="7" t="n"/>
      <c r="J9" s="27" t="n"/>
    </row>
    <row r="10">
      <c r="A10" s="6" t="n">
        <v>46064</v>
      </c>
      <c r="B10" s="7" t="inlineStr">
        <is>
          <t>srijeda</t>
        </is>
      </c>
      <c r="C10" s="7" t="inlineStr">
        <is>
          <t>veljača</t>
        </is>
      </c>
      <c r="D10" s="7" t="inlineStr">
        <is>
          <t>x</t>
        </is>
      </c>
      <c r="E10" s="7" t="n"/>
      <c r="F10" s="7" t="n"/>
      <c r="G10" s="7" t="inlineStr">
        <is>
          <t>x</t>
        </is>
      </c>
      <c r="H10" s="7" t="n"/>
      <c r="I10" s="7" t="n"/>
      <c r="J10" s="27" t="n"/>
    </row>
    <row r="11">
      <c r="A11" s="6" t="n">
        <v>46071</v>
      </c>
      <c r="B11" s="7" t="inlineStr">
        <is>
          <t>srijeda</t>
        </is>
      </c>
      <c r="C11" s="7" t="inlineStr">
        <is>
          <t>veljača</t>
        </is>
      </c>
      <c r="D11" s="7" t="inlineStr">
        <is>
          <t>x</t>
        </is>
      </c>
      <c r="E11" s="7" t="inlineStr">
        <is>
          <t>x</t>
        </is>
      </c>
      <c r="F11" s="7" t="inlineStr">
        <is>
          <t>x</t>
        </is>
      </c>
      <c r="G11" s="7" t="n"/>
      <c r="H11" s="7" t="n"/>
      <c r="I11" s="7" t="n"/>
      <c r="J11" s="27" t="n"/>
    </row>
    <row r="12">
      <c r="A12" s="6" t="n">
        <v>46078</v>
      </c>
      <c r="B12" s="7" t="inlineStr">
        <is>
          <t>srijeda</t>
        </is>
      </c>
      <c r="C12" s="7" t="inlineStr">
        <is>
          <t>veljača</t>
        </is>
      </c>
      <c r="D12" s="7" t="inlineStr">
        <is>
          <t>x</t>
        </is>
      </c>
      <c r="E12" s="7" t="n"/>
      <c r="F12" s="7" t="n"/>
      <c r="G12" s="7" t="n"/>
      <c r="H12" s="7" t="n"/>
      <c r="I12" s="7" t="n"/>
      <c r="J12" s="27" t="n"/>
    </row>
    <row r="13">
      <c r="A13" s="6" t="n">
        <v>46085</v>
      </c>
      <c r="B13" s="7" t="inlineStr">
        <is>
          <t>srijeda</t>
        </is>
      </c>
      <c r="C13" s="7" t="inlineStr">
        <is>
          <t>ožujak</t>
        </is>
      </c>
      <c r="D13" s="7" t="inlineStr">
        <is>
          <t>x</t>
        </is>
      </c>
      <c r="E13" s="7" t="inlineStr">
        <is>
          <t>x</t>
        </is>
      </c>
      <c r="F13" s="7" t="inlineStr">
        <is>
          <t>x</t>
        </is>
      </c>
      <c r="G13" s="7" t="n"/>
      <c r="H13" s="7" t="n"/>
      <c r="I13" s="7" t="n"/>
      <c r="J13" s="27" t="n"/>
    </row>
    <row r="14">
      <c r="A14" s="6" t="n">
        <v>46092</v>
      </c>
      <c r="B14" s="7" t="inlineStr">
        <is>
          <t>srijeda</t>
        </is>
      </c>
      <c r="C14" s="7" t="inlineStr">
        <is>
          <t>ožujak</t>
        </is>
      </c>
      <c r="D14" s="7" t="inlineStr">
        <is>
          <t>x</t>
        </is>
      </c>
      <c r="E14" s="7" t="n"/>
      <c r="F14" s="7" t="n"/>
      <c r="G14" s="7" t="inlineStr">
        <is>
          <t>x</t>
        </is>
      </c>
      <c r="H14" s="7" t="n"/>
      <c r="I14" s="7" t="n"/>
      <c r="J14" s="27" t="n"/>
    </row>
    <row r="15">
      <c r="A15" s="6" t="n">
        <v>46099</v>
      </c>
      <c r="B15" s="7" t="inlineStr">
        <is>
          <t>srijeda</t>
        </is>
      </c>
      <c r="C15" s="7" t="inlineStr">
        <is>
          <t>ožujak</t>
        </is>
      </c>
      <c r="D15" s="7" t="inlineStr">
        <is>
          <t>x</t>
        </is>
      </c>
      <c r="E15" s="7" t="inlineStr">
        <is>
          <t>x</t>
        </is>
      </c>
      <c r="F15" s="7" t="inlineStr">
        <is>
          <t>x</t>
        </is>
      </c>
      <c r="G15" s="7" t="n"/>
      <c r="H15" s="7" t="n"/>
      <c r="I15" s="7" t="n"/>
      <c r="J15" s="27" t="n"/>
    </row>
    <row r="16">
      <c r="A16" s="6" t="n">
        <v>46106</v>
      </c>
      <c r="B16" s="7" t="inlineStr">
        <is>
          <t>srijeda</t>
        </is>
      </c>
      <c r="C16" s="7" t="inlineStr">
        <is>
          <t>ožujak</t>
        </is>
      </c>
      <c r="D16" s="7" t="inlineStr">
        <is>
          <t>x</t>
        </is>
      </c>
      <c r="E16" s="7" t="n"/>
      <c r="F16" s="7" t="n"/>
      <c r="G16" s="7" t="n"/>
      <c r="H16" s="7" t="inlineStr">
        <is>
          <t>x</t>
        </is>
      </c>
      <c r="I16" s="7" t="n"/>
      <c r="J16" s="27" t="n"/>
    </row>
    <row r="17">
      <c r="A17" s="6" t="n">
        <v>46113</v>
      </c>
      <c r="B17" s="7" t="inlineStr">
        <is>
          <t>srijeda</t>
        </is>
      </c>
      <c r="C17" s="7" t="inlineStr">
        <is>
          <t>travanj</t>
        </is>
      </c>
      <c r="D17" s="7" t="inlineStr">
        <is>
          <t>x</t>
        </is>
      </c>
      <c r="E17" s="7" t="inlineStr">
        <is>
          <t>x</t>
        </is>
      </c>
      <c r="F17" s="7" t="inlineStr">
        <is>
          <t>x</t>
        </is>
      </c>
      <c r="G17" s="7" t="n"/>
      <c r="H17" s="7" t="n"/>
      <c r="I17" s="7" t="n"/>
      <c r="J17" s="27" t="n"/>
    </row>
    <row r="18">
      <c r="A18" s="6" t="n">
        <v>46120</v>
      </c>
      <c r="B18" s="7" t="inlineStr">
        <is>
          <t>srijeda</t>
        </is>
      </c>
      <c r="C18" s="7" t="inlineStr">
        <is>
          <t>travanj</t>
        </is>
      </c>
      <c r="D18" s="7" t="inlineStr">
        <is>
          <t>x</t>
        </is>
      </c>
      <c r="E18" s="7" t="inlineStr">
        <is>
          <t>x</t>
        </is>
      </c>
      <c r="F18" s="7" t="n"/>
      <c r="G18" s="7" t="inlineStr">
        <is>
          <t>x</t>
        </is>
      </c>
      <c r="H18" s="7" t="n"/>
      <c r="I18" s="7" t="n"/>
      <c r="J18" s="27" t="n"/>
    </row>
    <row r="19">
      <c r="A19" s="6" t="n">
        <v>46127</v>
      </c>
      <c r="B19" s="7" t="inlineStr">
        <is>
          <t>srijeda</t>
        </is>
      </c>
      <c r="C19" s="7" t="inlineStr">
        <is>
          <t>travanj</t>
        </is>
      </c>
      <c r="D19" s="7" t="inlineStr">
        <is>
          <t>x</t>
        </is>
      </c>
      <c r="E19" s="7" t="inlineStr">
        <is>
          <t>x</t>
        </is>
      </c>
      <c r="F19" s="7" t="inlineStr">
        <is>
          <t>x</t>
        </is>
      </c>
      <c r="G19" s="7" t="n"/>
      <c r="H19" s="7" t="n"/>
      <c r="I19" s="7" t="n"/>
      <c r="J19" s="27" t="n"/>
    </row>
    <row r="20">
      <c r="A20" s="6" t="n">
        <v>46134</v>
      </c>
      <c r="B20" s="7" t="inlineStr">
        <is>
          <t>srijeda</t>
        </is>
      </c>
      <c r="C20" s="7" t="inlineStr">
        <is>
          <t>travanj</t>
        </is>
      </c>
      <c r="D20" s="7" t="inlineStr">
        <is>
          <t>x</t>
        </is>
      </c>
      <c r="E20" s="7" t="inlineStr">
        <is>
          <t>x</t>
        </is>
      </c>
      <c r="F20" s="7" t="n"/>
      <c r="G20" s="7" t="n"/>
      <c r="H20" s="7" t="n"/>
      <c r="I20" s="7" t="n"/>
      <c r="J20" s="27" t="n"/>
    </row>
    <row r="21">
      <c r="A21" s="6" t="n">
        <v>46141</v>
      </c>
      <c r="B21" s="7" t="inlineStr">
        <is>
          <t>srijeda</t>
        </is>
      </c>
      <c r="C21" s="7" t="inlineStr">
        <is>
          <t>travanj</t>
        </is>
      </c>
      <c r="D21" s="7" t="inlineStr">
        <is>
          <t>x</t>
        </is>
      </c>
      <c r="E21" s="7" t="inlineStr">
        <is>
          <t>x</t>
        </is>
      </c>
      <c r="F21" s="7" t="inlineStr">
        <is>
          <t>x</t>
        </is>
      </c>
      <c r="G21" s="7" t="n"/>
      <c r="H21" s="7" t="n"/>
      <c r="I21" s="7" t="n"/>
      <c r="J21" s="27" t="n"/>
    </row>
    <row r="22">
      <c r="A22" s="6" t="n">
        <v>46148</v>
      </c>
      <c r="B22" s="7" t="inlineStr">
        <is>
          <t>srijeda</t>
        </is>
      </c>
      <c r="C22" s="7" t="inlineStr">
        <is>
          <t>svibanj</t>
        </is>
      </c>
      <c r="D22" s="7" t="inlineStr">
        <is>
          <t>x</t>
        </is>
      </c>
      <c r="E22" s="7" t="inlineStr">
        <is>
          <t>x</t>
        </is>
      </c>
      <c r="F22" s="7" t="n"/>
      <c r="G22" s="7" t="inlineStr">
        <is>
          <t>x</t>
        </is>
      </c>
      <c r="H22" s="7" t="n"/>
      <c r="I22" s="7" t="n"/>
      <c r="J22" s="27" t="n"/>
    </row>
    <row r="23">
      <c r="A23" s="6" t="n">
        <v>46150</v>
      </c>
      <c r="B23" s="7" t="inlineStr">
        <is>
          <t>petak</t>
        </is>
      </c>
      <c r="C23" s="7" t="inlineStr">
        <is>
          <t>svibanj</t>
        </is>
      </c>
      <c r="D23" s="7" t="n"/>
      <c r="E23" s="7" t="n"/>
      <c r="F23" s="7" t="n"/>
      <c r="G23" s="7" t="n"/>
      <c r="H23" s="7" t="n"/>
      <c r="I23" s="7" t="inlineStr">
        <is>
          <t>x</t>
        </is>
      </c>
      <c r="J23" s="27" t="n"/>
    </row>
    <row r="24">
      <c r="A24" s="6" t="n">
        <v>46155</v>
      </c>
      <c r="B24" s="7" t="inlineStr">
        <is>
          <t>srijeda</t>
        </is>
      </c>
      <c r="C24" s="7" t="inlineStr">
        <is>
          <t>svibanj</t>
        </is>
      </c>
      <c r="D24" s="7" t="inlineStr">
        <is>
          <t>x</t>
        </is>
      </c>
      <c r="E24" s="7" t="inlineStr">
        <is>
          <t>x</t>
        </is>
      </c>
      <c r="F24" s="7" t="inlineStr">
        <is>
          <t>x</t>
        </is>
      </c>
      <c r="G24" s="7" t="n"/>
      <c r="H24" s="7" t="n"/>
      <c r="I24" s="7" t="n"/>
      <c r="J24" s="27" t="n"/>
    </row>
    <row r="25">
      <c r="A25" s="6" t="n">
        <v>46162</v>
      </c>
      <c r="B25" s="7" t="inlineStr">
        <is>
          <t>srijeda</t>
        </is>
      </c>
      <c r="C25" s="7" t="inlineStr">
        <is>
          <t>svibanj</t>
        </is>
      </c>
      <c r="D25" s="7" t="inlineStr">
        <is>
          <t>x</t>
        </is>
      </c>
      <c r="E25" s="7" t="inlineStr">
        <is>
          <t>x</t>
        </is>
      </c>
      <c r="F25" s="7" t="n"/>
      <c r="G25" s="7" t="n"/>
      <c r="H25" s="7" t="inlineStr">
        <is>
          <t>x</t>
        </is>
      </c>
      <c r="I25" s="7" t="n"/>
      <c r="J25" s="27" t="n"/>
    </row>
    <row r="26">
      <c r="A26" s="6" t="n">
        <v>46169</v>
      </c>
      <c r="B26" s="7" t="inlineStr">
        <is>
          <t>srijeda</t>
        </is>
      </c>
      <c r="C26" s="7" t="inlineStr">
        <is>
          <t>svibanj</t>
        </is>
      </c>
      <c r="D26" s="7" t="inlineStr">
        <is>
          <t>x</t>
        </is>
      </c>
      <c r="E26" s="7" t="inlineStr">
        <is>
          <t>x</t>
        </is>
      </c>
      <c r="F26" s="7" t="inlineStr">
        <is>
          <t>x</t>
        </is>
      </c>
      <c r="G26" s="7" t="n"/>
      <c r="H26" s="7" t="n"/>
      <c r="I26" s="7" t="n"/>
      <c r="J26" s="27" t="n"/>
    </row>
    <row r="27">
      <c r="A27" s="6" t="n">
        <v>46176</v>
      </c>
      <c r="B27" s="7" t="inlineStr">
        <is>
          <t>srijeda</t>
        </is>
      </c>
      <c r="C27" s="7" t="inlineStr">
        <is>
          <t>lipanj</t>
        </is>
      </c>
      <c r="D27" s="7" t="inlineStr">
        <is>
          <t>x</t>
        </is>
      </c>
      <c r="E27" s="7" t="inlineStr">
        <is>
          <t>x</t>
        </is>
      </c>
      <c r="F27" s="7" t="n"/>
      <c r="G27" s="7" t="inlineStr">
        <is>
          <t>x</t>
        </is>
      </c>
      <c r="H27" s="7" t="n"/>
      <c r="I27" s="7" t="n"/>
      <c r="J27" s="27" t="n"/>
    </row>
    <row r="28">
      <c r="A28" s="6" t="n">
        <v>46183</v>
      </c>
      <c r="B28" s="7" t="inlineStr">
        <is>
          <t>srijeda</t>
        </is>
      </c>
      <c r="C28" s="7" t="inlineStr">
        <is>
          <t>lipanj</t>
        </is>
      </c>
      <c r="D28" s="7" t="inlineStr">
        <is>
          <t>x</t>
        </is>
      </c>
      <c r="E28" s="7" t="inlineStr">
        <is>
          <t>x</t>
        </is>
      </c>
      <c r="F28" s="7" t="inlineStr">
        <is>
          <t>x</t>
        </is>
      </c>
      <c r="G28" s="7" t="n"/>
      <c r="H28" s="7" t="n"/>
      <c r="I28" s="7" t="n"/>
      <c r="J28" s="27" t="n"/>
    </row>
    <row r="29">
      <c r="A29" s="6" t="n">
        <v>46190</v>
      </c>
      <c r="B29" s="7" t="inlineStr">
        <is>
          <t>srijeda</t>
        </is>
      </c>
      <c r="C29" s="7" t="inlineStr">
        <is>
          <t>lipanj</t>
        </is>
      </c>
      <c r="D29" s="7" t="inlineStr">
        <is>
          <t>x</t>
        </is>
      </c>
      <c r="E29" s="7" t="inlineStr">
        <is>
          <t>x</t>
        </is>
      </c>
      <c r="F29" s="7" t="n"/>
      <c r="G29" s="7" t="n"/>
      <c r="H29" s="7" t="n"/>
      <c r="I29" s="7" t="n"/>
      <c r="J29" s="27" t="n"/>
    </row>
    <row r="30">
      <c r="A30" s="6" t="n">
        <v>46197</v>
      </c>
      <c r="B30" s="7" t="inlineStr">
        <is>
          <t>srijeda</t>
        </is>
      </c>
      <c r="C30" s="7" t="inlineStr">
        <is>
          <t>lipanj</t>
        </is>
      </c>
      <c r="D30" s="7" t="inlineStr">
        <is>
          <t>x</t>
        </is>
      </c>
      <c r="E30" s="7" t="inlineStr">
        <is>
          <t>x</t>
        </is>
      </c>
      <c r="F30" s="7" t="inlineStr">
        <is>
          <t>x</t>
        </is>
      </c>
      <c r="G30" s="7" t="n"/>
      <c r="H30" s="7" t="n"/>
      <c r="I30" s="7" t="n"/>
      <c r="J30" s="27" t="n"/>
    </row>
    <row r="31">
      <c r="A31" s="6" t="n">
        <v>46204</v>
      </c>
      <c r="B31" s="7" t="inlineStr">
        <is>
          <t>srijeda</t>
        </is>
      </c>
      <c r="C31" s="7" t="inlineStr">
        <is>
          <t>srpanj</t>
        </is>
      </c>
      <c r="D31" s="7" t="inlineStr">
        <is>
          <t>x</t>
        </is>
      </c>
      <c r="E31" s="7" t="inlineStr">
        <is>
          <t>x</t>
        </is>
      </c>
      <c r="F31" s="7" t="n"/>
      <c r="G31" s="7" t="inlineStr">
        <is>
          <t>x</t>
        </is>
      </c>
      <c r="H31" s="7" t="n"/>
      <c r="I31" s="7" t="n"/>
      <c r="J31" s="27" t="n"/>
    </row>
    <row r="32">
      <c r="A32" s="6" t="n">
        <v>46211</v>
      </c>
      <c r="B32" s="7" t="inlineStr">
        <is>
          <t>srijeda</t>
        </is>
      </c>
      <c r="C32" s="7" t="inlineStr">
        <is>
          <t>srpanj</t>
        </is>
      </c>
      <c r="D32" s="7" t="inlineStr">
        <is>
          <t>x</t>
        </is>
      </c>
      <c r="E32" s="7" t="inlineStr">
        <is>
          <t>x</t>
        </is>
      </c>
      <c r="F32" s="7" t="inlineStr">
        <is>
          <t>x</t>
        </is>
      </c>
      <c r="G32" s="7" t="n"/>
      <c r="H32" s="7" t="n"/>
      <c r="I32" s="7" t="n"/>
      <c r="J32" s="27" t="n"/>
    </row>
    <row r="33">
      <c r="A33" s="6" t="n">
        <v>46218</v>
      </c>
      <c r="B33" s="7" t="inlineStr">
        <is>
          <t>srijeda</t>
        </is>
      </c>
      <c r="C33" s="7" t="inlineStr">
        <is>
          <t>srpanj</t>
        </is>
      </c>
      <c r="D33" s="7" t="inlineStr">
        <is>
          <t>x</t>
        </is>
      </c>
      <c r="E33" s="7" t="inlineStr">
        <is>
          <t>x</t>
        </is>
      </c>
      <c r="F33" s="7" t="n"/>
      <c r="G33" s="7" t="n"/>
      <c r="H33" s="7" t="inlineStr">
        <is>
          <t>x</t>
        </is>
      </c>
      <c r="I33" s="7" t="n"/>
      <c r="J33" s="27" t="n"/>
    </row>
    <row r="34">
      <c r="A34" s="6" t="n">
        <v>46225</v>
      </c>
      <c r="B34" s="7" t="inlineStr">
        <is>
          <t>srijeda</t>
        </is>
      </c>
      <c r="C34" s="7" t="inlineStr">
        <is>
          <t>srpanj</t>
        </is>
      </c>
      <c r="D34" s="7" t="inlineStr">
        <is>
          <t>x</t>
        </is>
      </c>
      <c r="E34" s="7" t="inlineStr">
        <is>
          <t>x</t>
        </is>
      </c>
      <c r="F34" s="7" t="inlineStr">
        <is>
          <t>x</t>
        </is>
      </c>
      <c r="G34" s="7" t="n"/>
      <c r="H34" s="7" t="n"/>
      <c r="I34" s="7" t="n"/>
      <c r="J34" s="27" t="n"/>
    </row>
    <row r="35">
      <c r="A35" s="6" t="n">
        <v>46232</v>
      </c>
      <c r="B35" s="7" t="inlineStr">
        <is>
          <t>srijeda</t>
        </is>
      </c>
      <c r="C35" s="7" t="inlineStr">
        <is>
          <t>srpanj</t>
        </is>
      </c>
      <c r="D35" s="7" t="inlineStr">
        <is>
          <t>x</t>
        </is>
      </c>
      <c r="E35" s="7" t="inlineStr">
        <is>
          <t>x</t>
        </is>
      </c>
      <c r="F35" s="7" t="n"/>
      <c r="G35" s="7" t="inlineStr">
        <is>
          <t>x</t>
        </is>
      </c>
      <c r="H35" s="7" t="n"/>
      <c r="I35" s="7" t="n"/>
      <c r="J35" s="27" t="n"/>
    </row>
    <row r="36">
      <c r="A36" s="28" t="n">
        <v>46242</v>
      </c>
      <c r="B36" s="29" t="inlineStr">
        <is>
          <t>subota</t>
        </is>
      </c>
      <c r="C36" s="7" t="inlineStr">
        <is>
          <t>kolovoz</t>
        </is>
      </c>
      <c r="D36" s="7" t="inlineStr">
        <is>
          <t>x</t>
        </is>
      </c>
      <c r="E36" s="7" t="inlineStr">
        <is>
          <t>x</t>
        </is>
      </c>
      <c r="F36" s="7" t="inlineStr">
        <is>
          <t>x</t>
        </is>
      </c>
      <c r="G36" s="7" t="n"/>
      <c r="H36" s="7" t="n"/>
      <c r="I36" s="7" t="n"/>
      <c r="J36" s="27" t="inlineStr">
        <is>
          <t>Pomaknuto zbog neradnog dana u tjednu</t>
        </is>
      </c>
    </row>
    <row r="37">
      <c r="A37" s="6" t="n">
        <v>46246</v>
      </c>
      <c r="B37" s="7" t="inlineStr">
        <is>
          <t>srijeda</t>
        </is>
      </c>
      <c r="C37" s="7" t="inlineStr">
        <is>
          <t>kolovoz</t>
        </is>
      </c>
      <c r="D37" s="7" t="inlineStr">
        <is>
          <t>x</t>
        </is>
      </c>
      <c r="E37" s="7" t="inlineStr">
        <is>
          <t>x</t>
        </is>
      </c>
      <c r="F37" s="7" t="n"/>
      <c r="G37" s="7" t="n"/>
      <c r="H37" s="7" t="n"/>
      <c r="I37" s="7" t="n"/>
      <c r="J37" s="27" t="n"/>
    </row>
    <row r="38">
      <c r="A38" s="6" t="n">
        <v>46253</v>
      </c>
      <c r="B38" s="7" t="inlineStr">
        <is>
          <t>srijeda</t>
        </is>
      </c>
      <c r="C38" s="7" t="inlineStr">
        <is>
          <t>kolovoz</t>
        </is>
      </c>
      <c r="D38" s="7" t="inlineStr">
        <is>
          <t>x</t>
        </is>
      </c>
      <c r="E38" s="7" t="inlineStr">
        <is>
          <t>x</t>
        </is>
      </c>
      <c r="F38" s="7" t="inlineStr">
        <is>
          <t>x</t>
        </is>
      </c>
      <c r="G38" s="7" t="n"/>
      <c r="H38" s="7" t="n"/>
      <c r="I38" s="7" t="n"/>
      <c r="J38" s="27" t="n"/>
    </row>
    <row r="39">
      <c r="A39" s="6" t="n">
        <v>46260</v>
      </c>
      <c r="B39" s="7" t="inlineStr">
        <is>
          <t>srijeda</t>
        </is>
      </c>
      <c r="C39" s="7" t="inlineStr">
        <is>
          <t>kolovoz</t>
        </is>
      </c>
      <c r="D39" s="7" t="inlineStr">
        <is>
          <t>x</t>
        </is>
      </c>
      <c r="E39" s="7" t="inlineStr">
        <is>
          <t>x</t>
        </is>
      </c>
      <c r="F39" s="7" t="n"/>
      <c r="G39" s="7" t="inlineStr">
        <is>
          <t>x</t>
        </is>
      </c>
      <c r="H39" s="7" t="n"/>
      <c r="I39" s="7" t="n"/>
      <c r="J39" s="27" t="n"/>
    </row>
    <row r="40">
      <c r="A40" s="6" t="n">
        <v>46267</v>
      </c>
      <c r="B40" s="7" t="inlineStr">
        <is>
          <t>srijeda</t>
        </is>
      </c>
      <c r="C40" s="7" t="inlineStr">
        <is>
          <t>rujan</t>
        </is>
      </c>
      <c r="D40" s="7" t="inlineStr">
        <is>
          <t>x</t>
        </is>
      </c>
      <c r="E40" s="7" t="inlineStr">
        <is>
          <t>x</t>
        </is>
      </c>
      <c r="F40" s="7" t="inlineStr">
        <is>
          <t>x</t>
        </is>
      </c>
      <c r="G40" s="7" t="n"/>
      <c r="H40" s="7" t="n"/>
      <c r="I40" s="7" t="n"/>
      <c r="J40" s="27" t="n"/>
    </row>
    <row r="41">
      <c r="A41" s="6" t="n">
        <v>46274</v>
      </c>
      <c r="B41" s="7" t="inlineStr">
        <is>
          <t>srijeda</t>
        </is>
      </c>
      <c r="C41" s="7" t="inlineStr">
        <is>
          <t>rujan</t>
        </is>
      </c>
      <c r="D41" s="7" t="inlineStr">
        <is>
          <t>x</t>
        </is>
      </c>
      <c r="E41" s="7" t="inlineStr">
        <is>
          <t>x</t>
        </is>
      </c>
      <c r="F41" s="7" t="n"/>
      <c r="G41" s="7" t="n"/>
      <c r="H41" s="7" t="inlineStr">
        <is>
          <t>x</t>
        </is>
      </c>
      <c r="I41" s="7" t="n"/>
      <c r="J41" s="27" t="n"/>
    </row>
    <row r="42">
      <c r="A42" s="6" t="n">
        <v>46281</v>
      </c>
      <c r="B42" s="7" t="inlineStr">
        <is>
          <t>srijeda</t>
        </is>
      </c>
      <c r="C42" s="7" t="inlineStr">
        <is>
          <t>rujan</t>
        </is>
      </c>
      <c r="D42" s="7" t="inlineStr">
        <is>
          <t>x</t>
        </is>
      </c>
      <c r="E42" s="7" t="inlineStr">
        <is>
          <t>x</t>
        </is>
      </c>
      <c r="F42" s="7" t="inlineStr">
        <is>
          <t>x</t>
        </is>
      </c>
      <c r="G42" s="7" t="n"/>
      <c r="H42" s="7" t="n"/>
      <c r="I42" s="7" t="n"/>
      <c r="J42" s="27" t="n"/>
    </row>
    <row r="43">
      <c r="A43" s="6" t="n">
        <v>46288</v>
      </c>
      <c r="B43" s="7" t="inlineStr">
        <is>
          <t>srijeda</t>
        </is>
      </c>
      <c r="C43" s="7" t="inlineStr">
        <is>
          <t>rujan</t>
        </is>
      </c>
      <c r="D43" s="7" t="inlineStr">
        <is>
          <t>x</t>
        </is>
      </c>
      <c r="E43" s="7" t="inlineStr">
        <is>
          <t>x</t>
        </is>
      </c>
      <c r="F43" s="7" t="n"/>
      <c r="G43" s="7" t="inlineStr">
        <is>
          <t>x</t>
        </is>
      </c>
      <c r="H43" s="7" t="n"/>
      <c r="I43" s="7" t="n"/>
      <c r="J43" s="27" t="n"/>
    </row>
    <row r="44">
      <c r="A44" s="6" t="n">
        <v>46295</v>
      </c>
      <c r="B44" s="7" t="inlineStr">
        <is>
          <t>srijeda</t>
        </is>
      </c>
      <c r="C44" s="7" t="inlineStr">
        <is>
          <t>rujan</t>
        </is>
      </c>
      <c r="D44" s="7" t="inlineStr">
        <is>
          <t>x</t>
        </is>
      </c>
      <c r="E44" s="7" t="inlineStr">
        <is>
          <t>x</t>
        </is>
      </c>
      <c r="F44" s="7" t="inlineStr">
        <is>
          <t>x</t>
        </is>
      </c>
      <c r="G44" s="7" t="n"/>
      <c r="H44" s="7" t="n"/>
      <c r="I44" s="7" t="n"/>
      <c r="J44" s="27" t="n"/>
    </row>
    <row r="45">
      <c r="A45" s="6" t="n">
        <v>46297</v>
      </c>
      <c r="B45" s="7" t="inlineStr">
        <is>
          <t>petak</t>
        </is>
      </c>
      <c r="C45" s="7" t="inlineStr">
        <is>
          <t>listopad</t>
        </is>
      </c>
      <c r="D45" s="7" t="n"/>
      <c r="E45" s="7" t="n"/>
      <c r="F45" s="7" t="n"/>
      <c r="G45" s="7" t="n"/>
      <c r="H45" s="7" t="n"/>
      <c r="I45" s="7" t="inlineStr">
        <is>
          <t>x</t>
        </is>
      </c>
      <c r="J45" s="27" t="n"/>
    </row>
    <row r="46">
      <c r="A46" s="6" t="n">
        <v>46302</v>
      </c>
      <c r="B46" s="7" t="inlineStr">
        <is>
          <t>srijeda</t>
        </is>
      </c>
      <c r="C46" s="7" t="inlineStr">
        <is>
          <t>listopad</t>
        </is>
      </c>
      <c r="D46" s="7" t="inlineStr">
        <is>
          <t>x</t>
        </is>
      </c>
      <c r="E46" s="7" t="inlineStr">
        <is>
          <t>x</t>
        </is>
      </c>
      <c r="F46" s="7" t="n"/>
      <c r="G46" s="7" t="n"/>
      <c r="H46" s="7" t="n"/>
      <c r="I46" s="7" t="n"/>
      <c r="J46" s="27" t="n"/>
    </row>
    <row r="47">
      <c r="A47" s="6" t="n">
        <v>46309</v>
      </c>
      <c r="B47" s="7" t="inlineStr">
        <is>
          <t>srijeda</t>
        </is>
      </c>
      <c r="C47" s="7" t="inlineStr">
        <is>
          <t>listopad</t>
        </is>
      </c>
      <c r="D47" s="7" t="inlineStr">
        <is>
          <t>x</t>
        </is>
      </c>
      <c r="E47" s="7" t="inlineStr">
        <is>
          <t>x</t>
        </is>
      </c>
      <c r="F47" s="7" t="inlineStr">
        <is>
          <t>x</t>
        </is>
      </c>
      <c r="G47" s="7" t="n"/>
      <c r="H47" s="7" t="n"/>
      <c r="I47" s="7" t="n"/>
      <c r="J47" s="27" t="n"/>
    </row>
    <row r="48">
      <c r="A48" s="6" t="n">
        <v>46316</v>
      </c>
      <c r="B48" s="7" t="inlineStr">
        <is>
          <t>srijeda</t>
        </is>
      </c>
      <c r="C48" s="7" t="inlineStr">
        <is>
          <t>listopad</t>
        </is>
      </c>
      <c r="D48" s="7" t="inlineStr">
        <is>
          <t>x</t>
        </is>
      </c>
      <c r="E48" s="7" t="inlineStr">
        <is>
          <t>x</t>
        </is>
      </c>
      <c r="F48" s="7" t="n"/>
      <c r="G48" s="7" t="inlineStr">
        <is>
          <t>x</t>
        </is>
      </c>
      <c r="H48" s="7" t="n"/>
      <c r="I48" s="7" t="n"/>
      <c r="J48" s="27" t="n"/>
    </row>
    <row r="49">
      <c r="A49" s="6" t="n">
        <v>46323</v>
      </c>
      <c r="B49" s="7" t="inlineStr">
        <is>
          <t>srijeda</t>
        </is>
      </c>
      <c r="C49" s="7" t="inlineStr">
        <is>
          <t>listopad</t>
        </is>
      </c>
      <c r="D49" s="7" t="inlineStr">
        <is>
          <t>x</t>
        </is>
      </c>
      <c r="E49" s="7" t="inlineStr">
        <is>
          <t>x</t>
        </is>
      </c>
      <c r="F49" s="7" t="inlineStr">
        <is>
          <t>x</t>
        </is>
      </c>
      <c r="G49" s="7" t="n"/>
      <c r="H49" s="7" t="n"/>
      <c r="I49" s="7" t="n"/>
      <c r="J49" s="27" t="n"/>
    </row>
    <row r="50">
      <c r="A50" s="6" t="n">
        <v>46330</v>
      </c>
      <c r="B50" s="7" t="inlineStr">
        <is>
          <t>srijeda</t>
        </is>
      </c>
      <c r="C50" s="7" t="inlineStr">
        <is>
          <t>studeni</t>
        </is>
      </c>
      <c r="D50" s="7" t="inlineStr">
        <is>
          <t>x</t>
        </is>
      </c>
      <c r="E50" s="7" t="inlineStr">
        <is>
          <t>x</t>
        </is>
      </c>
      <c r="F50" s="7" t="n"/>
      <c r="G50" s="7" t="n"/>
      <c r="H50" s="7" t="inlineStr">
        <is>
          <t>x</t>
        </is>
      </c>
      <c r="I50" s="7" t="n"/>
      <c r="J50" s="27" t="n"/>
    </row>
    <row r="51">
      <c r="A51" s="6" t="n">
        <v>46337</v>
      </c>
      <c r="B51" s="7" t="inlineStr">
        <is>
          <t>srijeda</t>
        </is>
      </c>
      <c r="C51" s="7" t="inlineStr">
        <is>
          <t>studeni</t>
        </is>
      </c>
      <c r="D51" s="7" t="inlineStr">
        <is>
          <t>x</t>
        </is>
      </c>
      <c r="E51" s="7" t="n"/>
      <c r="F51" s="7" t="inlineStr">
        <is>
          <t>x</t>
        </is>
      </c>
      <c r="G51" s="7" t="n"/>
      <c r="H51" s="7" t="n"/>
      <c r="I51" s="7" t="n"/>
      <c r="J51" s="27" t="n"/>
    </row>
    <row r="52">
      <c r="A52" s="28" t="n">
        <v>46347</v>
      </c>
      <c r="B52" s="29" t="inlineStr">
        <is>
          <t>subota</t>
        </is>
      </c>
      <c r="C52" s="7" t="inlineStr">
        <is>
          <t>studeni</t>
        </is>
      </c>
      <c r="D52" s="7" t="inlineStr">
        <is>
          <t>x</t>
        </is>
      </c>
      <c r="E52" s="7" t="inlineStr">
        <is>
          <t>x</t>
        </is>
      </c>
      <c r="F52" s="7" t="n"/>
      <c r="G52" s="7" t="inlineStr">
        <is>
          <t>x</t>
        </is>
      </c>
      <c r="H52" s="7" t="n"/>
      <c r="I52" s="7" t="n"/>
      <c r="J52" s="27" t="inlineStr">
        <is>
          <t>Pomaknuto zbog neradnog dana u tjednu</t>
        </is>
      </c>
    </row>
    <row r="53">
      <c r="A53" s="6" t="n">
        <v>46351</v>
      </c>
      <c r="B53" s="7" t="inlineStr">
        <is>
          <t>srijeda</t>
        </is>
      </c>
      <c r="C53" s="7" t="inlineStr">
        <is>
          <t>studeni</t>
        </is>
      </c>
      <c r="D53" s="7" t="inlineStr">
        <is>
          <t>x</t>
        </is>
      </c>
      <c r="E53" s="7" t="n"/>
      <c r="F53" s="7" t="inlineStr">
        <is>
          <t>x</t>
        </is>
      </c>
      <c r="G53" s="7" t="n"/>
      <c r="H53" s="7" t="n"/>
      <c r="I53" s="7" t="n"/>
      <c r="J53" s="27" t="n"/>
    </row>
    <row r="54">
      <c r="A54" s="6" t="n">
        <v>46358</v>
      </c>
      <c r="B54" s="7" t="inlineStr">
        <is>
          <t>srijeda</t>
        </is>
      </c>
      <c r="C54" s="7" t="inlineStr">
        <is>
          <t>prosinac</t>
        </is>
      </c>
      <c r="D54" s="7" t="inlineStr">
        <is>
          <t>x</t>
        </is>
      </c>
      <c r="E54" s="7" t="inlineStr">
        <is>
          <t>x</t>
        </is>
      </c>
      <c r="F54" s="7" t="n"/>
      <c r="G54" s="7" t="n"/>
      <c r="H54" s="7" t="n"/>
      <c r="I54" s="7" t="n"/>
      <c r="J54" s="27" t="n"/>
    </row>
    <row r="55">
      <c r="A55" s="6" t="n">
        <v>46365</v>
      </c>
      <c r="B55" s="7" t="inlineStr">
        <is>
          <t>srijeda</t>
        </is>
      </c>
      <c r="C55" s="7" t="inlineStr">
        <is>
          <t>prosinac</t>
        </is>
      </c>
      <c r="D55" s="7" t="inlineStr">
        <is>
          <t>x</t>
        </is>
      </c>
      <c r="E55" s="7" t="n"/>
      <c r="F55" s="7" t="inlineStr">
        <is>
          <t>x</t>
        </is>
      </c>
      <c r="G55" s="7" t="n"/>
      <c r="H55" s="7" t="n"/>
      <c r="I55" s="7" t="n"/>
      <c r="J55" s="27" t="n"/>
    </row>
    <row r="56">
      <c r="A56" s="6" t="n">
        <v>46372</v>
      </c>
      <c r="B56" s="7" t="inlineStr">
        <is>
          <t>srijeda</t>
        </is>
      </c>
      <c r="C56" s="7" t="inlineStr">
        <is>
          <t>prosinac</t>
        </is>
      </c>
      <c r="D56" s="7" t="inlineStr">
        <is>
          <t>x</t>
        </is>
      </c>
      <c r="E56" s="7" t="inlineStr">
        <is>
          <t>x</t>
        </is>
      </c>
      <c r="F56" s="7" t="n"/>
      <c r="G56" s="7" t="inlineStr">
        <is>
          <t>x</t>
        </is>
      </c>
      <c r="H56" s="7" t="n"/>
      <c r="I56" s="7" t="n"/>
      <c r="J56" s="27" t="n"/>
    </row>
    <row r="57">
      <c r="A57" s="6" t="n">
        <v>46379</v>
      </c>
      <c r="B57" s="7" t="inlineStr">
        <is>
          <t>srijeda</t>
        </is>
      </c>
      <c r="C57" s="7" t="inlineStr">
        <is>
          <t>prosinac</t>
        </is>
      </c>
      <c r="D57" s="7" t="inlineStr">
        <is>
          <t>x</t>
        </is>
      </c>
      <c r="E57" s="7" t="n"/>
      <c r="F57" s="7" t="inlineStr">
        <is>
          <t>x</t>
        </is>
      </c>
      <c r="G57" s="7" t="n"/>
      <c r="H57" s="7" t="n"/>
      <c r="I57" s="7" t="n"/>
      <c r="J57" s="27" t="n"/>
    </row>
    <row r="58">
      <c r="A58" s="6" t="n">
        <v>46386</v>
      </c>
      <c r="B58" s="7" t="inlineStr">
        <is>
          <t>srijeda</t>
        </is>
      </c>
      <c r="C58" s="7" t="inlineStr">
        <is>
          <t>prosinac</t>
        </is>
      </c>
      <c r="D58" s="7" t="inlineStr">
        <is>
          <t>x</t>
        </is>
      </c>
      <c r="E58" s="7" t="inlineStr">
        <is>
          <t>x</t>
        </is>
      </c>
      <c r="F58" s="7" t="n"/>
      <c r="G58" s="7" t="n"/>
      <c r="H58" s="7" t="n"/>
      <c r="I58" s="7" t="n"/>
      <c r="J58" s="27" t="n"/>
    </row>
  </sheetData>
  <autoFilter ref="A4:J58"/>
  <conditionalFormatting sqref="D5:D58">
    <cfRule type="expression" priority="1" dxfId="0">
      <formula>D5="x"</formula>
    </cfRule>
  </conditionalFormatting>
  <conditionalFormatting sqref="E5:E58">
    <cfRule type="expression" priority="2" dxfId="1">
      <formula>E5="x"</formula>
    </cfRule>
  </conditionalFormatting>
  <conditionalFormatting sqref="F5:F58">
    <cfRule type="expression" priority="3" dxfId="2">
      <formula>F5="x"</formula>
    </cfRule>
  </conditionalFormatting>
  <conditionalFormatting sqref="G5:G58">
    <cfRule type="expression" priority="4" dxfId="3">
      <formula>G5="x"</formula>
    </cfRule>
  </conditionalFormatting>
  <conditionalFormatting sqref="H5:H58">
    <cfRule type="expression" priority="5" dxfId="4">
      <formula>H5="x"</formula>
    </cfRule>
  </conditionalFormatting>
  <conditionalFormatting sqref="I5:I58">
    <cfRule type="expression" priority="6" dxfId="5">
      <formula>I5="x"</formula>
    </cfRule>
  </conditionalFormatting>
  <conditionalFormatting sqref="A5:J58">
    <cfRule type="expression" priority="7" dxfId="6"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30" t="n">
        <v>46029</v>
      </c>
      <c r="B2" s="21" t="inlineStr">
        <is>
          <t>srijeda</t>
        </is>
      </c>
      <c r="C2" s="5" t="inlineStr">
        <is>
          <t>Miješani komunalni otpad</t>
        </is>
      </c>
      <c r="D2" s="21" t="n"/>
    </row>
    <row r="3">
      <c r="A3" s="30" t="n">
        <v>46029</v>
      </c>
      <c r="B3" s="21" t="inlineStr">
        <is>
          <t>srijeda</t>
        </is>
      </c>
      <c r="C3" s="9" t="inlineStr">
        <is>
          <t>Biootpad</t>
        </is>
      </c>
      <c r="D3" s="21" t="n"/>
    </row>
    <row r="4">
      <c r="A4" s="30" t="n">
        <v>46029</v>
      </c>
      <c r="B4" s="21" t="inlineStr">
        <is>
          <t>srijeda</t>
        </is>
      </c>
      <c r="C4" s="10" t="inlineStr">
        <is>
          <t>Reciklabilni otpad (plastika, metal, tetrapak)</t>
        </is>
      </c>
      <c r="D4" s="21" t="n"/>
    </row>
    <row r="5">
      <c r="A5" s="30" t="n">
        <v>46036</v>
      </c>
      <c r="B5" s="21" t="inlineStr">
        <is>
          <t>srijeda</t>
        </is>
      </c>
      <c r="C5" s="5" t="inlineStr">
        <is>
          <t>Miješani komunalni otpad</t>
        </is>
      </c>
      <c r="D5" s="21" t="n"/>
    </row>
    <row r="6">
      <c r="A6" s="30" t="n">
        <v>46036</v>
      </c>
      <c r="B6" s="21" t="inlineStr">
        <is>
          <t>srijeda</t>
        </is>
      </c>
      <c r="C6" s="11" t="inlineStr">
        <is>
          <t>Papir i karton</t>
        </is>
      </c>
      <c r="D6" s="21" t="n"/>
    </row>
    <row r="7">
      <c r="A7" s="30" t="n">
        <v>46043</v>
      </c>
      <c r="B7" s="21" t="inlineStr">
        <is>
          <t>srijeda</t>
        </is>
      </c>
      <c r="C7" s="5" t="inlineStr">
        <is>
          <t>Miješani komunalni otpad</t>
        </is>
      </c>
      <c r="D7" s="21" t="n"/>
    </row>
    <row r="8">
      <c r="A8" s="30" t="n">
        <v>46043</v>
      </c>
      <c r="B8" s="21" t="inlineStr">
        <is>
          <t>srijeda</t>
        </is>
      </c>
      <c r="C8" s="9" t="inlineStr">
        <is>
          <t>Biootpad</t>
        </is>
      </c>
      <c r="D8" s="21" t="n"/>
    </row>
    <row r="9">
      <c r="A9" s="30" t="n">
        <v>46043</v>
      </c>
      <c r="B9" s="21" t="inlineStr">
        <is>
          <t>srijeda</t>
        </is>
      </c>
      <c r="C9" s="10" t="inlineStr">
        <is>
          <t>Reciklabilni otpad (plastika, metal, tetrapak)</t>
        </is>
      </c>
      <c r="D9" s="21" t="n"/>
    </row>
    <row r="10">
      <c r="A10" s="30" t="n">
        <v>46050</v>
      </c>
      <c r="B10" s="21" t="inlineStr">
        <is>
          <t>srijeda</t>
        </is>
      </c>
      <c r="C10" s="5" t="inlineStr">
        <is>
          <t>Miješani komunalni otpad</t>
        </is>
      </c>
      <c r="D10" s="21" t="n"/>
    </row>
    <row r="11">
      <c r="A11" s="30" t="n">
        <v>46050</v>
      </c>
      <c r="B11" s="21" t="inlineStr">
        <is>
          <t>srijeda</t>
        </is>
      </c>
      <c r="C11" s="12" t="inlineStr">
        <is>
          <t>Staklo</t>
        </is>
      </c>
      <c r="D11" s="21" t="n"/>
    </row>
    <row r="12">
      <c r="A12" s="30" t="n">
        <v>46057</v>
      </c>
      <c r="B12" s="21" t="inlineStr">
        <is>
          <t>srijeda</t>
        </is>
      </c>
      <c r="C12" s="5" t="inlineStr">
        <is>
          <t>Miješani komunalni otpad</t>
        </is>
      </c>
      <c r="D12" s="21" t="n"/>
    </row>
    <row r="13">
      <c r="A13" s="30" t="n">
        <v>46057</v>
      </c>
      <c r="B13" s="21" t="inlineStr">
        <is>
          <t>srijeda</t>
        </is>
      </c>
      <c r="C13" s="9" t="inlineStr">
        <is>
          <t>Biootpad</t>
        </is>
      </c>
      <c r="D13" s="21" t="n"/>
    </row>
    <row r="14">
      <c r="A14" s="30" t="n">
        <v>46057</v>
      </c>
      <c r="B14" s="21" t="inlineStr">
        <is>
          <t>srijeda</t>
        </is>
      </c>
      <c r="C14" s="10" t="inlineStr">
        <is>
          <t>Reciklabilni otpad (plastika, metal, tetrapak)</t>
        </is>
      </c>
      <c r="D14" s="21" t="n"/>
    </row>
    <row r="15">
      <c r="A15" s="30" t="n">
        <v>46064</v>
      </c>
      <c r="B15" s="21" t="inlineStr">
        <is>
          <t>srijeda</t>
        </is>
      </c>
      <c r="C15" s="5" t="inlineStr">
        <is>
          <t>Miješani komunalni otpad</t>
        </is>
      </c>
      <c r="D15" s="21" t="n"/>
    </row>
    <row r="16">
      <c r="A16" s="30" t="n">
        <v>46064</v>
      </c>
      <c r="B16" s="21" t="inlineStr">
        <is>
          <t>srijeda</t>
        </is>
      </c>
      <c r="C16" s="11" t="inlineStr">
        <is>
          <t>Papir i karton</t>
        </is>
      </c>
      <c r="D16" s="21" t="n"/>
    </row>
    <row r="17">
      <c r="A17" s="30" t="n">
        <v>46071</v>
      </c>
      <c r="B17" s="21" t="inlineStr">
        <is>
          <t>srijeda</t>
        </is>
      </c>
      <c r="C17" s="5" t="inlineStr">
        <is>
          <t>Miješani komunalni otpad</t>
        </is>
      </c>
      <c r="D17" s="21" t="n"/>
    </row>
    <row r="18">
      <c r="A18" s="30" t="n">
        <v>46071</v>
      </c>
      <c r="B18" s="21" t="inlineStr">
        <is>
          <t>srijeda</t>
        </is>
      </c>
      <c r="C18" s="9" t="inlineStr">
        <is>
          <t>Biootpad</t>
        </is>
      </c>
      <c r="D18" s="21" t="n"/>
    </row>
    <row r="19">
      <c r="A19" s="30" t="n">
        <v>46071</v>
      </c>
      <c r="B19" s="21" t="inlineStr">
        <is>
          <t>srijeda</t>
        </is>
      </c>
      <c r="C19" s="10" t="inlineStr">
        <is>
          <t>Reciklabilni otpad (plastika, metal, tetrapak)</t>
        </is>
      </c>
      <c r="D19" s="21" t="n"/>
    </row>
    <row r="20">
      <c r="A20" s="30" t="n">
        <v>46078</v>
      </c>
      <c r="B20" s="21" t="inlineStr">
        <is>
          <t>srijeda</t>
        </is>
      </c>
      <c r="C20" s="5" t="inlineStr">
        <is>
          <t>Miješani komunalni otpad</t>
        </is>
      </c>
      <c r="D20" s="21" t="n"/>
    </row>
    <row r="21">
      <c r="A21" s="30" t="n">
        <v>46085</v>
      </c>
      <c r="B21" s="21" t="inlineStr">
        <is>
          <t>srijeda</t>
        </is>
      </c>
      <c r="C21" s="5" t="inlineStr">
        <is>
          <t>Miješani komunalni otpad</t>
        </is>
      </c>
      <c r="D21" s="21" t="n"/>
    </row>
    <row r="22">
      <c r="A22" s="30" t="n">
        <v>46085</v>
      </c>
      <c r="B22" s="21" t="inlineStr">
        <is>
          <t>srijeda</t>
        </is>
      </c>
      <c r="C22" s="9" t="inlineStr">
        <is>
          <t>Biootpad</t>
        </is>
      </c>
      <c r="D22" s="21" t="n"/>
    </row>
    <row r="23">
      <c r="A23" s="30" t="n">
        <v>46085</v>
      </c>
      <c r="B23" s="21" t="inlineStr">
        <is>
          <t>srijeda</t>
        </is>
      </c>
      <c r="C23" s="10" t="inlineStr">
        <is>
          <t>Reciklabilni otpad (plastika, metal, tetrapak)</t>
        </is>
      </c>
      <c r="D23" s="21" t="n"/>
    </row>
    <row r="24">
      <c r="A24" s="30" t="n">
        <v>46092</v>
      </c>
      <c r="B24" s="21" t="inlineStr">
        <is>
          <t>srijeda</t>
        </is>
      </c>
      <c r="C24" s="5" t="inlineStr">
        <is>
          <t>Miješani komunalni otpad</t>
        </is>
      </c>
      <c r="D24" s="21" t="n"/>
    </row>
    <row r="25">
      <c r="A25" s="30" t="n">
        <v>46092</v>
      </c>
      <c r="B25" s="21" t="inlineStr">
        <is>
          <t>srijeda</t>
        </is>
      </c>
      <c r="C25" s="11" t="inlineStr">
        <is>
          <t>Papir i karton</t>
        </is>
      </c>
      <c r="D25" s="21" t="n"/>
    </row>
    <row r="26">
      <c r="A26" s="30" t="n">
        <v>46099</v>
      </c>
      <c r="B26" s="21" t="inlineStr">
        <is>
          <t>srijeda</t>
        </is>
      </c>
      <c r="C26" s="5" t="inlineStr">
        <is>
          <t>Miješani komunalni otpad</t>
        </is>
      </c>
      <c r="D26" s="21" t="n"/>
    </row>
    <row r="27">
      <c r="A27" s="30" t="n">
        <v>46099</v>
      </c>
      <c r="B27" s="21" t="inlineStr">
        <is>
          <t>srijeda</t>
        </is>
      </c>
      <c r="C27" s="9" t="inlineStr">
        <is>
          <t>Biootpad</t>
        </is>
      </c>
      <c r="D27" s="21" t="n"/>
    </row>
    <row r="28">
      <c r="A28" s="30" t="n">
        <v>46099</v>
      </c>
      <c r="B28" s="21" t="inlineStr">
        <is>
          <t>srijeda</t>
        </is>
      </c>
      <c r="C28" s="10" t="inlineStr">
        <is>
          <t>Reciklabilni otpad (plastika, metal, tetrapak)</t>
        </is>
      </c>
      <c r="D28" s="21" t="n"/>
    </row>
    <row r="29">
      <c r="A29" s="30" t="n">
        <v>46106</v>
      </c>
      <c r="B29" s="21" t="inlineStr">
        <is>
          <t>srijeda</t>
        </is>
      </c>
      <c r="C29" s="5" t="inlineStr">
        <is>
          <t>Miješani komunalni otpad</t>
        </is>
      </c>
      <c r="D29" s="21" t="n"/>
    </row>
    <row r="30">
      <c r="A30" s="30" t="n">
        <v>46106</v>
      </c>
      <c r="B30" s="21" t="inlineStr">
        <is>
          <t>srijeda</t>
        </is>
      </c>
      <c r="C30" s="12" t="inlineStr">
        <is>
          <t>Staklo</t>
        </is>
      </c>
      <c r="D30" s="21" t="n"/>
    </row>
    <row r="31">
      <c r="A31" s="30" t="n">
        <v>46113</v>
      </c>
      <c r="B31" s="21" t="inlineStr">
        <is>
          <t>srijeda</t>
        </is>
      </c>
      <c r="C31" s="5" t="inlineStr">
        <is>
          <t>Miješani komunalni otpad</t>
        </is>
      </c>
      <c r="D31" s="21" t="n"/>
    </row>
    <row r="32">
      <c r="A32" s="30" t="n">
        <v>46113</v>
      </c>
      <c r="B32" s="21" t="inlineStr">
        <is>
          <t>srijeda</t>
        </is>
      </c>
      <c r="C32" s="9" t="inlineStr">
        <is>
          <t>Biootpad</t>
        </is>
      </c>
      <c r="D32" s="21" t="n"/>
    </row>
    <row r="33">
      <c r="A33" s="30" t="n">
        <v>46113</v>
      </c>
      <c r="B33" s="21" t="inlineStr">
        <is>
          <t>srijeda</t>
        </is>
      </c>
      <c r="C33" s="10" t="inlineStr">
        <is>
          <t>Reciklabilni otpad (plastika, metal, tetrapak)</t>
        </is>
      </c>
      <c r="D33" s="21" t="n"/>
    </row>
    <row r="34">
      <c r="A34" s="30" t="n">
        <v>46120</v>
      </c>
      <c r="B34" s="21" t="inlineStr">
        <is>
          <t>srijeda</t>
        </is>
      </c>
      <c r="C34" s="5" t="inlineStr">
        <is>
          <t>Miješani komunalni otpad</t>
        </is>
      </c>
      <c r="D34" s="21" t="n"/>
    </row>
    <row r="35">
      <c r="A35" s="30" t="n">
        <v>46120</v>
      </c>
      <c r="B35" s="21" t="inlineStr">
        <is>
          <t>srijeda</t>
        </is>
      </c>
      <c r="C35" s="9" t="inlineStr">
        <is>
          <t>Biootpad</t>
        </is>
      </c>
      <c r="D35" s="21" t="n"/>
    </row>
    <row r="36">
      <c r="A36" s="30" t="n">
        <v>46120</v>
      </c>
      <c r="B36" s="21" t="inlineStr">
        <is>
          <t>srijeda</t>
        </is>
      </c>
      <c r="C36" s="11" t="inlineStr">
        <is>
          <t>Papir i karton</t>
        </is>
      </c>
      <c r="D36" s="21" t="n"/>
    </row>
    <row r="37">
      <c r="A37" s="30" t="n">
        <v>46127</v>
      </c>
      <c r="B37" s="21" t="inlineStr">
        <is>
          <t>srijeda</t>
        </is>
      </c>
      <c r="C37" s="5" t="inlineStr">
        <is>
          <t>Miješani komunalni otpad</t>
        </is>
      </c>
      <c r="D37" s="21" t="n"/>
    </row>
    <row r="38">
      <c r="A38" s="30" t="n">
        <v>46127</v>
      </c>
      <c r="B38" s="21" t="inlineStr">
        <is>
          <t>srijeda</t>
        </is>
      </c>
      <c r="C38" s="9" t="inlineStr">
        <is>
          <t>Biootpad</t>
        </is>
      </c>
      <c r="D38" s="21" t="n"/>
    </row>
    <row r="39">
      <c r="A39" s="30" t="n">
        <v>46127</v>
      </c>
      <c r="B39" s="21" t="inlineStr">
        <is>
          <t>srijeda</t>
        </is>
      </c>
      <c r="C39" s="10" t="inlineStr">
        <is>
          <t>Reciklabilni otpad (plastika, metal, tetrapak)</t>
        </is>
      </c>
      <c r="D39" s="21" t="n"/>
    </row>
    <row r="40">
      <c r="A40" s="30" t="n">
        <v>46134</v>
      </c>
      <c r="B40" s="21" t="inlineStr">
        <is>
          <t>srijeda</t>
        </is>
      </c>
      <c r="C40" s="5" t="inlineStr">
        <is>
          <t>Miješani komunalni otpad</t>
        </is>
      </c>
      <c r="D40" s="21" t="n"/>
    </row>
    <row r="41">
      <c r="A41" s="30" t="n">
        <v>46134</v>
      </c>
      <c r="B41" s="21" t="inlineStr">
        <is>
          <t>srijeda</t>
        </is>
      </c>
      <c r="C41" s="9" t="inlineStr">
        <is>
          <t>Biootpad</t>
        </is>
      </c>
      <c r="D41" s="21" t="n"/>
    </row>
    <row r="42">
      <c r="A42" s="30" t="n">
        <v>46141</v>
      </c>
      <c r="B42" s="21" t="inlineStr">
        <is>
          <t>srijeda</t>
        </is>
      </c>
      <c r="C42" s="5" t="inlineStr">
        <is>
          <t>Miješani komunalni otpad</t>
        </is>
      </c>
      <c r="D42" s="21" t="n"/>
    </row>
    <row r="43">
      <c r="A43" s="30" t="n">
        <v>46141</v>
      </c>
      <c r="B43" s="21" t="inlineStr">
        <is>
          <t>srijeda</t>
        </is>
      </c>
      <c r="C43" s="9" t="inlineStr">
        <is>
          <t>Biootpad</t>
        </is>
      </c>
      <c r="D43" s="21" t="n"/>
    </row>
    <row r="44">
      <c r="A44" s="30" t="n">
        <v>46141</v>
      </c>
      <c r="B44" s="21" t="inlineStr">
        <is>
          <t>srijeda</t>
        </is>
      </c>
      <c r="C44" s="10" t="inlineStr">
        <is>
          <t>Reciklabilni otpad (plastika, metal, tetrapak)</t>
        </is>
      </c>
      <c r="D44" s="21" t="n"/>
    </row>
    <row r="45">
      <c r="A45" s="30" t="n">
        <v>46148</v>
      </c>
      <c r="B45" s="21" t="inlineStr">
        <is>
          <t>srijeda</t>
        </is>
      </c>
      <c r="C45" s="5" t="inlineStr">
        <is>
          <t>Miješani komunalni otpad</t>
        </is>
      </c>
      <c r="D45" s="21" t="n"/>
    </row>
    <row r="46">
      <c r="A46" s="30" t="n">
        <v>46148</v>
      </c>
      <c r="B46" s="21" t="inlineStr">
        <is>
          <t>srijeda</t>
        </is>
      </c>
      <c r="C46" s="9" t="inlineStr">
        <is>
          <t>Biootpad</t>
        </is>
      </c>
      <c r="D46" s="21" t="n"/>
    </row>
    <row r="47">
      <c r="A47" s="30" t="n">
        <v>46148</v>
      </c>
      <c r="B47" s="21" t="inlineStr">
        <is>
          <t>srijeda</t>
        </is>
      </c>
      <c r="C47" s="11" t="inlineStr">
        <is>
          <t>Papir i karton</t>
        </is>
      </c>
      <c r="D47" s="21" t="n"/>
    </row>
    <row r="48">
      <c r="A48" s="30" t="n">
        <v>46150</v>
      </c>
      <c r="B48" s="21" t="inlineStr">
        <is>
          <t>petak</t>
        </is>
      </c>
      <c r="C48" s="13" t="inlineStr">
        <is>
          <t>Glomazni otpad (samo uz narudžbu)</t>
        </is>
      </c>
      <c r="D48" s="21" t="n"/>
    </row>
    <row r="49">
      <c r="A49" s="30" t="n">
        <v>46155</v>
      </c>
      <c r="B49" s="21" t="inlineStr">
        <is>
          <t>srijeda</t>
        </is>
      </c>
      <c r="C49" s="5" t="inlineStr">
        <is>
          <t>Miješani komunalni otpad</t>
        </is>
      </c>
      <c r="D49" s="21" t="n"/>
    </row>
    <row r="50">
      <c r="A50" s="30" t="n">
        <v>46155</v>
      </c>
      <c r="B50" s="21" t="inlineStr">
        <is>
          <t>srijeda</t>
        </is>
      </c>
      <c r="C50" s="9" t="inlineStr">
        <is>
          <t>Biootpad</t>
        </is>
      </c>
      <c r="D50" s="21" t="n"/>
    </row>
    <row r="51">
      <c r="A51" s="30" t="n">
        <v>46155</v>
      </c>
      <c r="B51" s="21" t="inlineStr">
        <is>
          <t>srijeda</t>
        </is>
      </c>
      <c r="C51" s="10" t="inlineStr">
        <is>
          <t>Reciklabilni otpad (plastika, metal, tetrapak)</t>
        </is>
      </c>
      <c r="D51" s="21" t="n"/>
    </row>
    <row r="52">
      <c r="A52" s="30" t="n">
        <v>46162</v>
      </c>
      <c r="B52" s="21" t="inlineStr">
        <is>
          <t>srijeda</t>
        </is>
      </c>
      <c r="C52" s="5" t="inlineStr">
        <is>
          <t>Miješani komunalni otpad</t>
        </is>
      </c>
      <c r="D52" s="21" t="n"/>
    </row>
    <row r="53">
      <c r="A53" s="30" t="n">
        <v>46162</v>
      </c>
      <c r="B53" s="21" t="inlineStr">
        <is>
          <t>srijeda</t>
        </is>
      </c>
      <c r="C53" s="9" t="inlineStr">
        <is>
          <t>Biootpad</t>
        </is>
      </c>
      <c r="D53" s="21" t="n"/>
    </row>
    <row r="54">
      <c r="A54" s="30" t="n">
        <v>46162</v>
      </c>
      <c r="B54" s="21" t="inlineStr">
        <is>
          <t>srijeda</t>
        </is>
      </c>
      <c r="C54" s="12" t="inlineStr">
        <is>
          <t>Staklo</t>
        </is>
      </c>
      <c r="D54" s="21" t="n"/>
    </row>
    <row r="55">
      <c r="A55" s="30" t="n">
        <v>46169</v>
      </c>
      <c r="B55" s="21" t="inlineStr">
        <is>
          <t>srijeda</t>
        </is>
      </c>
      <c r="C55" s="5" t="inlineStr">
        <is>
          <t>Miješani komunalni otpad</t>
        </is>
      </c>
      <c r="D55" s="21" t="n"/>
    </row>
    <row r="56">
      <c r="A56" s="30" t="n">
        <v>46169</v>
      </c>
      <c r="B56" s="21" t="inlineStr">
        <is>
          <t>srijeda</t>
        </is>
      </c>
      <c r="C56" s="9" t="inlineStr">
        <is>
          <t>Biootpad</t>
        </is>
      </c>
      <c r="D56" s="21" t="n"/>
    </row>
    <row r="57">
      <c r="A57" s="30" t="n">
        <v>46169</v>
      </c>
      <c r="B57" s="21" t="inlineStr">
        <is>
          <t>srijeda</t>
        </is>
      </c>
      <c r="C57" s="10" t="inlineStr">
        <is>
          <t>Reciklabilni otpad (plastika, metal, tetrapak)</t>
        </is>
      </c>
      <c r="D57" s="21" t="n"/>
    </row>
    <row r="58">
      <c r="A58" s="30" t="n">
        <v>46176</v>
      </c>
      <c r="B58" s="21" t="inlineStr">
        <is>
          <t>srijeda</t>
        </is>
      </c>
      <c r="C58" s="5" t="inlineStr">
        <is>
          <t>Miješani komunalni otpad</t>
        </is>
      </c>
      <c r="D58" s="21" t="n"/>
    </row>
    <row r="59">
      <c r="A59" s="30" t="n">
        <v>46176</v>
      </c>
      <c r="B59" s="21" t="inlineStr">
        <is>
          <t>srijeda</t>
        </is>
      </c>
      <c r="C59" s="9" t="inlineStr">
        <is>
          <t>Biootpad</t>
        </is>
      </c>
      <c r="D59" s="21" t="n"/>
    </row>
    <row r="60">
      <c r="A60" s="30" t="n">
        <v>46176</v>
      </c>
      <c r="B60" s="21" t="inlineStr">
        <is>
          <t>srijeda</t>
        </is>
      </c>
      <c r="C60" s="11" t="inlineStr">
        <is>
          <t>Papir i karton</t>
        </is>
      </c>
      <c r="D60" s="21" t="n"/>
    </row>
    <row r="61">
      <c r="A61" s="30" t="n">
        <v>46183</v>
      </c>
      <c r="B61" s="21" t="inlineStr">
        <is>
          <t>srijeda</t>
        </is>
      </c>
      <c r="C61" s="5" t="inlineStr">
        <is>
          <t>Miješani komunalni otpad</t>
        </is>
      </c>
      <c r="D61" s="21" t="n"/>
    </row>
    <row r="62">
      <c r="A62" s="30" t="n">
        <v>46183</v>
      </c>
      <c r="B62" s="21" t="inlineStr">
        <is>
          <t>srijeda</t>
        </is>
      </c>
      <c r="C62" s="9" t="inlineStr">
        <is>
          <t>Biootpad</t>
        </is>
      </c>
      <c r="D62" s="21" t="n"/>
    </row>
    <row r="63">
      <c r="A63" s="30" t="n">
        <v>46183</v>
      </c>
      <c r="B63" s="21" t="inlineStr">
        <is>
          <t>srijeda</t>
        </is>
      </c>
      <c r="C63" s="10" t="inlineStr">
        <is>
          <t>Reciklabilni otpad (plastika, metal, tetrapak)</t>
        </is>
      </c>
      <c r="D63" s="21" t="n"/>
    </row>
    <row r="64">
      <c r="A64" s="30" t="n">
        <v>46190</v>
      </c>
      <c r="B64" s="21" t="inlineStr">
        <is>
          <t>srijeda</t>
        </is>
      </c>
      <c r="C64" s="5" t="inlineStr">
        <is>
          <t>Miješani komunalni otpad</t>
        </is>
      </c>
      <c r="D64" s="21" t="n"/>
    </row>
    <row r="65">
      <c r="A65" s="30" t="n">
        <v>46190</v>
      </c>
      <c r="B65" s="21" t="inlineStr">
        <is>
          <t>srijeda</t>
        </is>
      </c>
      <c r="C65" s="9" t="inlineStr">
        <is>
          <t>Biootpad</t>
        </is>
      </c>
      <c r="D65" s="21" t="n"/>
    </row>
    <row r="66">
      <c r="A66" s="30" t="n">
        <v>46197</v>
      </c>
      <c r="B66" s="21" t="inlineStr">
        <is>
          <t>srijeda</t>
        </is>
      </c>
      <c r="C66" s="5" t="inlineStr">
        <is>
          <t>Miješani komunalni otpad</t>
        </is>
      </c>
      <c r="D66" s="21" t="n"/>
    </row>
    <row r="67">
      <c r="A67" s="30" t="n">
        <v>46197</v>
      </c>
      <c r="B67" s="21" t="inlineStr">
        <is>
          <t>srijeda</t>
        </is>
      </c>
      <c r="C67" s="9" t="inlineStr">
        <is>
          <t>Biootpad</t>
        </is>
      </c>
      <c r="D67" s="21" t="n"/>
    </row>
    <row r="68">
      <c r="A68" s="30" t="n">
        <v>46197</v>
      </c>
      <c r="B68" s="21" t="inlineStr">
        <is>
          <t>srijeda</t>
        </is>
      </c>
      <c r="C68" s="10" t="inlineStr">
        <is>
          <t>Reciklabilni otpad (plastika, metal, tetrapak)</t>
        </is>
      </c>
      <c r="D68" s="21" t="n"/>
    </row>
    <row r="69">
      <c r="A69" s="30" t="n">
        <v>46204</v>
      </c>
      <c r="B69" s="21" t="inlineStr">
        <is>
          <t>srijeda</t>
        </is>
      </c>
      <c r="C69" s="5" t="inlineStr">
        <is>
          <t>Miješani komunalni otpad</t>
        </is>
      </c>
      <c r="D69" s="21" t="n"/>
    </row>
    <row r="70">
      <c r="A70" s="30" t="n">
        <v>46204</v>
      </c>
      <c r="B70" s="21" t="inlineStr">
        <is>
          <t>srijeda</t>
        </is>
      </c>
      <c r="C70" s="9" t="inlineStr">
        <is>
          <t>Biootpad</t>
        </is>
      </c>
      <c r="D70" s="21" t="n"/>
    </row>
    <row r="71">
      <c r="A71" s="30" t="n">
        <v>46204</v>
      </c>
      <c r="B71" s="21" t="inlineStr">
        <is>
          <t>srijeda</t>
        </is>
      </c>
      <c r="C71" s="11" t="inlineStr">
        <is>
          <t>Papir i karton</t>
        </is>
      </c>
      <c r="D71" s="21" t="n"/>
    </row>
    <row r="72">
      <c r="A72" s="30" t="n">
        <v>46211</v>
      </c>
      <c r="B72" s="21" t="inlineStr">
        <is>
          <t>srijeda</t>
        </is>
      </c>
      <c r="C72" s="5" t="inlineStr">
        <is>
          <t>Miješani komunalni otpad</t>
        </is>
      </c>
      <c r="D72" s="21" t="n"/>
    </row>
    <row r="73">
      <c r="A73" s="30" t="n">
        <v>46211</v>
      </c>
      <c r="B73" s="21" t="inlineStr">
        <is>
          <t>srijeda</t>
        </is>
      </c>
      <c r="C73" s="9" t="inlineStr">
        <is>
          <t>Biootpad</t>
        </is>
      </c>
      <c r="D73" s="21" t="n"/>
    </row>
    <row r="74">
      <c r="A74" s="30" t="n">
        <v>46211</v>
      </c>
      <c r="B74" s="21" t="inlineStr">
        <is>
          <t>srijeda</t>
        </is>
      </c>
      <c r="C74" s="10" t="inlineStr">
        <is>
          <t>Reciklabilni otpad (plastika, metal, tetrapak)</t>
        </is>
      </c>
      <c r="D74" s="21" t="n"/>
    </row>
    <row r="75">
      <c r="A75" s="30" t="n">
        <v>46218</v>
      </c>
      <c r="B75" s="21" t="inlineStr">
        <is>
          <t>srijeda</t>
        </is>
      </c>
      <c r="C75" s="5" t="inlineStr">
        <is>
          <t>Miješani komunalni otpad</t>
        </is>
      </c>
      <c r="D75" s="21" t="n"/>
    </row>
    <row r="76">
      <c r="A76" s="30" t="n">
        <v>46218</v>
      </c>
      <c r="B76" s="21" t="inlineStr">
        <is>
          <t>srijeda</t>
        </is>
      </c>
      <c r="C76" s="9" t="inlineStr">
        <is>
          <t>Biootpad</t>
        </is>
      </c>
      <c r="D76" s="21" t="n"/>
    </row>
    <row r="77">
      <c r="A77" s="30" t="n">
        <v>46218</v>
      </c>
      <c r="B77" s="21" t="inlineStr">
        <is>
          <t>srijeda</t>
        </is>
      </c>
      <c r="C77" s="12" t="inlineStr">
        <is>
          <t>Staklo</t>
        </is>
      </c>
      <c r="D77" s="21" t="n"/>
    </row>
    <row r="78">
      <c r="A78" s="30" t="n">
        <v>46225</v>
      </c>
      <c r="B78" s="21" t="inlineStr">
        <is>
          <t>srijeda</t>
        </is>
      </c>
      <c r="C78" s="5" t="inlineStr">
        <is>
          <t>Miješani komunalni otpad</t>
        </is>
      </c>
      <c r="D78" s="21" t="n"/>
    </row>
    <row r="79">
      <c r="A79" s="30" t="n">
        <v>46225</v>
      </c>
      <c r="B79" s="21" t="inlineStr">
        <is>
          <t>srijeda</t>
        </is>
      </c>
      <c r="C79" s="9" t="inlineStr">
        <is>
          <t>Biootpad</t>
        </is>
      </c>
      <c r="D79" s="21" t="n"/>
    </row>
    <row r="80">
      <c r="A80" s="30" t="n">
        <v>46225</v>
      </c>
      <c r="B80" s="21" t="inlineStr">
        <is>
          <t>srijeda</t>
        </is>
      </c>
      <c r="C80" s="10" t="inlineStr">
        <is>
          <t>Reciklabilni otpad (plastika, metal, tetrapak)</t>
        </is>
      </c>
      <c r="D80" s="21" t="n"/>
    </row>
    <row r="81">
      <c r="A81" s="30" t="n">
        <v>46232</v>
      </c>
      <c r="B81" s="21" t="inlineStr">
        <is>
          <t>srijeda</t>
        </is>
      </c>
      <c r="C81" s="5" t="inlineStr">
        <is>
          <t>Miješani komunalni otpad</t>
        </is>
      </c>
      <c r="D81" s="21" t="n"/>
    </row>
    <row r="82">
      <c r="A82" s="30" t="n">
        <v>46232</v>
      </c>
      <c r="B82" s="21" t="inlineStr">
        <is>
          <t>srijeda</t>
        </is>
      </c>
      <c r="C82" s="9" t="inlineStr">
        <is>
          <t>Biootpad</t>
        </is>
      </c>
      <c r="D82" s="21" t="n"/>
    </row>
    <row r="83">
      <c r="A83" s="30" t="n">
        <v>46232</v>
      </c>
      <c r="B83" s="21" t="inlineStr">
        <is>
          <t>srijeda</t>
        </is>
      </c>
      <c r="C83" s="11" t="inlineStr">
        <is>
          <t>Papir i karton</t>
        </is>
      </c>
      <c r="D83" s="21" t="n"/>
    </row>
    <row r="84">
      <c r="A84" s="30" t="n">
        <v>46242</v>
      </c>
      <c r="B84" s="21" t="inlineStr">
        <is>
          <t>subota</t>
        </is>
      </c>
      <c r="C84" s="5" t="inlineStr">
        <is>
          <t>Miješani komunalni otpad</t>
        </is>
      </c>
      <c r="D84" s="21" t="inlineStr">
        <is>
          <t>Pomaknuto zbog neradnog dana u tjednu</t>
        </is>
      </c>
    </row>
    <row r="85">
      <c r="A85" s="30" t="n">
        <v>46242</v>
      </c>
      <c r="B85" s="21" t="inlineStr">
        <is>
          <t>subota</t>
        </is>
      </c>
      <c r="C85" s="9" t="inlineStr">
        <is>
          <t>Biootpad</t>
        </is>
      </c>
      <c r="D85" s="21" t="inlineStr">
        <is>
          <t>Pomaknuto zbog neradnog dana u tjednu</t>
        </is>
      </c>
    </row>
    <row r="86">
      <c r="A86" s="30" t="n">
        <v>46242</v>
      </c>
      <c r="B86" s="21" t="inlineStr">
        <is>
          <t>subota</t>
        </is>
      </c>
      <c r="C86" s="10" t="inlineStr">
        <is>
          <t>Reciklabilni otpad (plastika, metal, tetrapak)</t>
        </is>
      </c>
      <c r="D86" s="21" t="inlineStr">
        <is>
          <t>Pomaknuto zbog neradnog dana u tjednu</t>
        </is>
      </c>
    </row>
    <row r="87">
      <c r="A87" s="30" t="n">
        <v>46246</v>
      </c>
      <c r="B87" s="21" t="inlineStr">
        <is>
          <t>srijeda</t>
        </is>
      </c>
      <c r="C87" s="5" t="inlineStr">
        <is>
          <t>Miješani komunalni otpad</t>
        </is>
      </c>
      <c r="D87" s="21" t="n"/>
    </row>
    <row r="88">
      <c r="A88" s="30" t="n">
        <v>46246</v>
      </c>
      <c r="B88" s="21" t="inlineStr">
        <is>
          <t>srijeda</t>
        </is>
      </c>
      <c r="C88" s="9" t="inlineStr">
        <is>
          <t>Biootpad</t>
        </is>
      </c>
      <c r="D88" s="21" t="n"/>
    </row>
    <row r="89">
      <c r="A89" s="30" t="n">
        <v>46253</v>
      </c>
      <c r="B89" s="21" t="inlineStr">
        <is>
          <t>srijeda</t>
        </is>
      </c>
      <c r="C89" s="5" t="inlineStr">
        <is>
          <t>Miješani komunalni otpad</t>
        </is>
      </c>
      <c r="D89" s="21" t="n"/>
    </row>
    <row r="90">
      <c r="A90" s="30" t="n">
        <v>46253</v>
      </c>
      <c r="B90" s="21" t="inlineStr">
        <is>
          <t>srijeda</t>
        </is>
      </c>
      <c r="C90" s="9" t="inlineStr">
        <is>
          <t>Biootpad</t>
        </is>
      </c>
      <c r="D90" s="21" t="n"/>
    </row>
    <row r="91">
      <c r="A91" s="30" t="n">
        <v>46253</v>
      </c>
      <c r="B91" s="21" t="inlineStr">
        <is>
          <t>srijeda</t>
        </is>
      </c>
      <c r="C91" s="10" t="inlineStr">
        <is>
          <t>Reciklabilni otpad (plastika, metal, tetrapak)</t>
        </is>
      </c>
      <c r="D91" s="21" t="n"/>
    </row>
    <row r="92">
      <c r="A92" s="30" t="n">
        <v>46260</v>
      </c>
      <c r="B92" s="21" t="inlineStr">
        <is>
          <t>srijeda</t>
        </is>
      </c>
      <c r="C92" s="5" t="inlineStr">
        <is>
          <t>Miješani komunalni otpad</t>
        </is>
      </c>
      <c r="D92" s="21" t="n"/>
    </row>
    <row r="93">
      <c r="A93" s="30" t="n">
        <v>46260</v>
      </c>
      <c r="B93" s="21" t="inlineStr">
        <is>
          <t>srijeda</t>
        </is>
      </c>
      <c r="C93" s="9" t="inlineStr">
        <is>
          <t>Biootpad</t>
        </is>
      </c>
      <c r="D93" s="21" t="n"/>
    </row>
    <row r="94">
      <c r="A94" s="30" t="n">
        <v>46260</v>
      </c>
      <c r="B94" s="21" t="inlineStr">
        <is>
          <t>srijeda</t>
        </is>
      </c>
      <c r="C94" s="11" t="inlineStr">
        <is>
          <t>Papir i karton</t>
        </is>
      </c>
      <c r="D94" s="21" t="n"/>
    </row>
    <row r="95">
      <c r="A95" s="30" t="n">
        <v>46267</v>
      </c>
      <c r="B95" s="21" t="inlineStr">
        <is>
          <t>srijeda</t>
        </is>
      </c>
      <c r="C95" s="5" t="inlineStr">
        <is>
          <t>Miješani komunalni otpad</t>
        </is>
      </c>
      <c r="D95" s="21" t="n"/>
    </row>
    <row r="96">
      <c r="A96" s="30" t="n">
        <v>46267</v>
      </c>
      <c r="B96" s="21" t="inlineStr">
        <is>
          <t>srijeda</t>
        </is>
      </c>
      <c r="C96" s="9" t="inlineStr">
        <is>
          <t>Biootpad</t>
        </is>
      </c>
      <c r="D96" s="21" t="n"/>
    </row>
    <row r="97">
      <c r="A97" s="30" t="n">
        <v>46267</v>
      </c>
      <c r="B97" s="21" t="inlineStr">
        <is>
          <t>srijeda</t>
        </is>
      </c>
      <c r="C97" s="10" t="inlineStr">
        <is>
          <t>Reciklabilni otpad (plastika, metal, tetrapak)</t>
        </is>
      </c>
      <c r="D97" s="21" t="n"/>
    </row>
    <row r="98">
      <c r="A98" s="30" t="n">
        <v>46274</v>
      </c>
      <c r="B98" s="21" t="inlineStr">
        <is>
          <t>srijeda</t>
        </is>
      </c>
      <c r="C98" s="5" t="inlineStr">
        <is>
          <t>Miješani komunalni otpad</t>
        </is>
      </c>
      <c r="D98" s="21" t="n"/>
    </row>
    <row r="99">
      <c r="A99" s="30" t="n">
        <v>46274</v>
      </c>
      <c r="B99" s="21" t="inlineStr">
        <is>
          <t>srijeda</t>
        </is>
      </c>
      <c r="C99" s="9" t="inlineStr">
        <is>
          <t>Biootpad</t>
        </is>
      </c>
      <c r="D99" s="21" t="n"/>
    </row>
    <row r="100">
      <c r="A100" s="30" t="n">
        <v>46274</v>
      </c>
      <c r="B100" s="21" t="inlineStr">
        <is>
          <t>srijeda</t>
        </is>
      </c>
      <c r="C100" s="12" t="inlineStr">
        <is>
          <t>Staklo</t>
        </is>
      </c>
      <c r="D100" s="21" t="n"/>
    </row>
    <row r="101">
      <c r="A101" s="30" t="n">
        <v>46281</v>
      </c>
      <c r="B101" s="21" t="inlineStr">
        <is>
          <t>srijeda</t>
        </is>
      </c>
      <c r="C101" s="5" t="inlineStr">
        <is>
          <t>Miješani komunalni otpad</t>
        </is>
      </c>
      <c r="D101" s="21" t="n"/>
    </row>
    <row r="102">
      <c r="A102" s="30" t="n">
        <v>46281</v>
      </c>
      <c r="B102" s="21" t="inlineStr">
        <is>
          <t>srijeda</t>
        </is>
      </c>
      <c r="C102" s="9" t="inlineStr">
        <is>
          <t>Biootpad</t>
        </is>
      </c>
      <c r="D102" s="21" t="n"/>
    </row>
    <row r="103">
      <c r="A103" s="30" t="n">
        <v>46281</v>
      </c>
      <c r="B103" s="21" t="inlineStr">
        <is>
          <t>srijeda</t>
        </is>
      </c>
      <c r="C103" s="10" t="inlineStr">
        <is>
          <t>Reciklabilni otpad (plastika, metal, tetrapak)</t>
        </is>
      </c>
      <c r="D103" s="21" t="n"/>
    </row>
    <row r="104">
      <c r="A104" s="30" t="n">
        <v>46288</v>
      </c>
      <c r="B104" s="21" t="inlineStr">
        <is>
          <t>srijeda</t>
        </is>
      </c>
      <c r="C104" s="5" t="inlineStr">
        <is>
          <t>Miješani komunalni otpad</t>
        </is>
      </c>
      <c r="D104" s="21" t="n"/>
    </row>
    <row r="105">
      <c r="A105" s="30" t="n">
        <v>46288</v>
      </c>
      <c r="B105" s="21" t="inlineStr">
        <is>
          <t>srijeda</t>
        </is>
      </c>
      <c r="C105" s="9" t="inlineStr">
        <is>
          <t>Biootpad</t>
        </is>
      </c>
      <c r="D105" s="21" t="n"/>
    </row>
    <row r="106">
      <c r="A106" s="30" t="n">
        <v>46288</v>
      </c>
      <c r="B106" s="21" t="inlineStr">
        <is>
          <t>srijeda</t>
        </is>
      </c>
      <c r="C106" s="11" t="inlineStr">
        <is>
          <t>Papir i karton</t>
        </is>
      </c>
      <c r="D106" s="21" t="n"/>
    </row>
    <row r="107">
      <c r="A107" s="30" t="n">
        <v>46295</v>
      </c>
      <c r="B107" s="21" t="inlineStr">
        <is>
          <t>srijeda</t>
        </is>
      </c>
      <c r="C107" s="5" t="inlineStr">
        <is>
          <t>Miješani komunalni otpad</t>
        </is>
      </c>
      <c r="D107" s="21" t="n"/>
    </row>
    <row r="108">
      <c r="A108" s="30" t="n">
        <v>46295</v>
      </c>
      <c r="B108" s="21" t="inlineStr">
        <is>
          <t>srijeda</t>
        </is>
      </c>
      <c r="C108" s="9" t="inlineStr">
        <is>
          <t>Biootpad</t>
        </is>
      </c>
      <c r="D108" s="21" t="n"/>
    </row>
    <row r="109">
      <c r="A109" s="30" t="n">
        <v>46295</v>
      </c>
      <c r="B109" s="21" t="inlineStr">
        <is>
          <t>srijeda</t>
        </is>
      </c>
      <c r="C109" s="10" t="inlineStr">
        <is>
          <t>Reciklabilni otpad (plastika, metal, tetrapak)</t>
        </is>
      </c>
      <c r="D109" s="21" t="n"/>
    </row>
    <row r="110">
      <c r="A110" s="30" t="n">
        <v>46297</v>
      </c>
      <c r="B110" s="21" t="inlineStr">
        <is>
          <t>petak</t>
        </is>
      </c>
      <c r="C110" s="13" t="inlineStr">
        <is>
          <t>Glomazni otpad (samo uz narudžbu)</t>
        </is>
      </c>
      <c r="D110" s="21" t="n"/>
    </row>
    <row r="111">
      <c r="A111" s="30" t="n">
        <v>46302</v>
      </c>
      <c r="B111" s="21" t="inlineStr">
        <is>
          <t>srijeda</t>
        </is>
      </c>
      <c r="C111" s="5" t="inlineStr">
        <is>
          <t>Miješani komunalni otpad</t>
        </is>
      </c>
      <c r="D111" s="21" t="n"/>
    </row>
    <row r="112">
      <c r="A112" s="30" t="n">
        <v>46302</v>
      </c>
      <c r="B112" s="21" t="inlineStr">
        <is>
          <t>srijeda</t>
        </is>
      </c>
      <c r="C112" s="9" t="inlineStr">
        <is>
          <t>Biootpad</t>
        </is>
      </c>
      <c r="D112" s="21" t="n"/>
    </row>
    <row r="113">
      <c r="A113" s="30" t="n">
        <v>46309</v>
      </c>
      <c r="B113" s="21" t="inlineStr">
        <is>
          <t>srijeda</t>
        </is>
      </c>
      <c r="C113" s="5" t="inlineStr">
        <is>
          <t>Miješani komunalni otpad</t>
        </is>
      </c>
      <c r="D113" s="21" t="n"/>
    </row>
    <row r="114">
      <c r="A114" s="30" t="n">
        <v>46309</v>
      </c>
      <c r="B114" s="21" t="inlineStr">
        <is>
          <t>srijeda</t>
        </is>
      </c>
      <c r="C114" s="9" t="inlineStr">
        <is>
          <t>Biootpad</t>
        </is>
      </c>
      <c r="D114" s="21" t="n"/>
    </row>
    <row r="115">
      <c r="A115" s="30" t="n">
        <v>46309</v>
      </c>
      <c r="B115" s="21" t="inlineStr">
        <is>
          <t>srijeda</t>
        </is>
      </c>
      <c r="C115" s="10" t="inlineStr">
        <is>
          <t>Reciklabilni otpad (plastika, metal, tetrapak)</t>
        </is>
      </c>
      <c r="D115" s="21" t="n"/>
    </row>
    <row r="116">
      <c r="A116" s="30" t="n">
        <v>46316</v>
      </c>
      <c r="B116" s="21" t="inlineStr">
        <is>
          <t>srijeda</t>
        </is>
      </c>
      <c r="C116" s="5" t="inlineStr">
        <is>
          <t>Miješani komunalni otpad</t>
        </is>
      </c>
      <c r="D116" s="21" t="n"/>
    </row>
    <row r="117">
      <c r="A117" s="30" t="n">
        <v>46316</v>
      </c>
      <c r="B117" s="21" t="inlineStr">
        <is>
          <t>srijeda</t>
        </is>
      </c>
      <c r="C117" s="9" t="inlineStr">
        <is>
          <t>Biootpad</t>
        </is>
      </c>
      <c r="D117" s="21" t="n"/>
    </row>
    <row r="118">
      <c r="A118" s="30" t="n">
        <v>46316</v>
      </c>
      <c r="B118" s="21" t="inlineStr">
        <is>
          <t>srijeda</t>
        </is>
      </c>
      <c r="C118" s="11" t="inlineStr">
        <is>
          <t>Papir i karton</t>
        </is>
      </c>
      <c r="D118" s="21" t="n"/>
    </row>
    <row r="119">
      <c r="A119" s="30" t="n">
        <v>46323</v>
      </c>
      <c r="B119" s="21" t="inlineStr">
        <is>
          <t>srijeda</t>
        </is>
      </c>
      <c r="C119" s="5" t="inlineStr">
        <is>
          <t>Miješani komunalni otpad</t>
        </is>
      </c>
      <c r="D119" s="21" t="n"/>
    </row>
    <row r="120">
      <c r="A120" s="30" t="n">
        <v>46323</v>
      </c>
      <c r="B120" s="21" t="inlineStr">
        <is>
          <t>srijeda</t>
        </is>
      </c>
      <c r="C120" s="9" t="inlineStr">
        <is>
          <t>Biootpad</t>
        </is>
      </c>
      <c r="D120" s="21" t="n"/>
    </row>
    <row r="121">
      <c r="A121" s="30" t="n">
        <v>46323</v>
      </c>
      <c r="B121" s="21" t="inlineStr">
        <is>
          <t>srijeda</t>
        </is>
      </c>
      <c r="C121" s="10" t="inlineStr">
        <is>
          <t>Reciklabilni otpad (plastika, metal, tetrapak)</t>
        </is>
      </c>
      <c r="D121" s="21" t="n"/>
    </row>
    <row r="122">
      <c r="A122" s="30" t="n">
        <v>46330</v>
      </c>
      <c r="B122" s="21" t="inlineStr">
        <is>
          <t>srijeda</t>
        </is>
      </c>
      <c r="C122" s="5" t="inlineStr">
        <is>
          <t>Miješani komunalni otpad</t>
        </is>
      </c>
      <c r="D122" s="21" t="n"/>
    </row>
    <row r="123">
      <c r="A123" s="30" t="n">
        <v>46330</v>
      </c>
      <c r="B123" s="21" t="inlineStr">
        <is>
          <t>srijeda</t>
        </is>
      </c>
      <c r="C123" s="9" t="inlineStr">
        <is>
          <t>Biootpad</t>
        </is>
      </c>
      <c r="D123" s="21" t="n"/>
    </row>
    <row r="124">
      <c r="A124" s="30" t="n">
        <v>46330</v>
      </c>
      <c r="B124" s="21" t="inlineStr">
        <is>
          <t>srijeda</t>
        </is>
      </c>
      <c r="C124" s="12" t="inlineStr">
        <is>
          <t>Staklo</t>
        </is>
      </c>
      <c r="D124" s="21" t="n"/>
    </row>
    <row r="125">
      <c r="A125" s="30" t="n">
        <v>46337</v>
      </c>
      <c r="B125" s="21" t="inlineStr">
        <is>
          <t>srijeda</t>
        </is>
      </c>
      <c r="C125" s="5" t="inlineStr">
        <is>
          <t>Miješani komunalni otpad</t>
        </is>
      </c>
      <c r="D125" s="21" t="n"/>
    </row>
    <row r="126">
      <c r="A126" s="30" t="n">
        <v>46337</v>
      </c>
      <c r="B126" s="21" t="inlineStr">
        <is>
          <t>srijeda</t>
        </is>
      </c>
      <c r="C126" s="10" t="inlineStr">
        <is>
          <t>Reciklabilni otpad (plastika, metal, tetrapak)</t>
        </is>
      </c>
      <c r="D126" s="21" t="n"/>
    </row>
    <row r="127">
      <c r="A127" s="30" t="n">
        <v>46347</v>
      </c>
      <c r="B127" s="21" t="inlineStr">
        <is>
          <t>subota</t>
        </is>
      </c>
      <c r="C127" s="5" t="inlineStr">
        <is>
          <t>Miješani komunalni otpad</t>
        </is>
      </c>
      <c r="D127" s="21" t="inlineStr">
        <is>
          <t>Pomaknuto zbog neradnog dana u tjednu</t>
        </is>
      </c>
    </row>
    <row r="128">
      <c r="A128" s="30" t="n">
        <v>46347</v>
      </c>
      <c r="B128" s="21" t="inlineStr">
        <is>
          <t>subota</t>
        </is>
      </c>
      <c r="C128" s="9" t="inlineStr">
        <is>
          <t>Biootpad</t>
        </is>
      </c>
      <c r="D128" s="21" t="inlineStr">
        <is>
          <t>Pomaknuto zbog neradnog dana u tjednu</t>
        </is>
      </c>
    </row>
    <row r="129">
      <c r="A129" s="30" t="n">
        <v>46347</v>
      </c>
      <c r="B129" s="21" t="inlineStr">
        <is>
          <t>subota</t>
        </is>
      </c>
      <c r="C129" s="11" t="inlineStr">
        <is>
          <t>Papir i karton</t>
        </is>
      </c>
      <c r="D129" s="21" t="inlineStr">
        <is>
          <t>Pomaknuto zbog neradnog dana u tjednu</t>
        </is>
      </c>
    </row>
    <row r="130">
      <c r="A130" s="30" t="n">
        <v>46351</v>
      </c>
      <c r="B130" s="21" t="inlineStr">
        <is>
          <t>srijeda</t>
        </is>
      </c>
      <c r="C130" s="5" t="inlineStr">
        <is>
          <t>Miješani komunalni otpad</t>
        </is>
      </c>
      <c r="D130" s="21" t="n"/>
    </row>
    <row r="131">
      <c r="A131" s="30" t="n">
        <v>46351</v>
      </c>
      <c r="B131" s="21" t="inlineStr">
        <is>
          <t>srijeda</t>
        </is>
      </c>
      <c r="C131" s="10" t="inlineStr">
        <is>
          <t>Reciklabilni otpad (plastika, metal, tetrapak)</t>
        </is>
      </c>
      <c r="D131" s="21" t="n"/>
    </row>
    <row r="132">
      <c r="A132" s="30" t="n">
        <v>46358</v>
      </c>
      <c r="B132" s="21" t="inlineStr">
        <is>
          <t>srijeda</t>
        </is>
      </c>
      <c r="C132" s="5" t="inlineStr">
        <is>
          <t>Miješani komunalni otpad</t>
        </is>
      </c>
      <c r="D132" s="21" t="n"/>
    </row>
    <row r="133">
      <c r="A133" s="30" t="n">
        <v>46358</v>
      </c>
      <c r="B133" s="21" t="inlineStr">
        <is>
          <t>srijeda</t>
        </is>
      </c>
      <c r="C133" s="9" t="inlineStr">
        <is>
          <t>Biootpad</t>
        </is>
      </c>
      <c r="D133" s="21" t="n"/>
    </row>
    <row r="134">
      <c r="A134" s="30" t="n">
        <v>46365</v>
      </c>
      <c r="B134" s="21" t="inlineStr">
        <is>
          <t>srijeda</t>
        </is>
      </c>
      <c r="C134" s="5" t="inlineStr">
        <is>
          <t>Miješani komunalni otpad</t>
        </is>
      </c>
      <c r="D134" s="21" t="n"/>
    </row>
    <row r="135">
      <c r="A135" s="30" t="n">
        <v>46365</v>
      </c>
      <c r="B135" s="21" t="inlineStr">
        <is>
          <t>srijeda</t>
        </is>
      </c>
      <c r="C135" s="10" t="inlineStr">
        <is>
          <t>Reciklabilni otpad (plastika, metal, tetrapak)</t>
        </is>
      </c>
      <c r="D135" s="21" t="n"/>
    </row>
    <row r="136">
      <c r="A136" s="30" t="n">
        <v>46372</v>
      </c>
      <c r="B136" s="21" t="inlineStr">
        <is>
          <t>srijeda</t>
        </is>
      </c>
      <c r="C136" s="5" t="inlineStr">
        <is>
          <t>Miješani komunalni otpad</t>
        </is>
      </c>
      <c r="D136" s="21" t="n"/>
    </row>
    <row r="137">
      <c r="A137" s="30" t="n">
        <v>46372</v>
      </c>
      <c r="B137" s="21" t="inlineStr">
        <is>
          <t>srijeda</t>
        </is>
      </c>
      <c r="C137" s="9" t="inlineStr">
        <is>
          <t>Biootpad</t>
        </is>
      </c>
      <c r="D137" s="21" t="n"/>
    </row>
    <row r="138">
      <c r="A138" s="30" t="n">
        <v>46372</v>
      </c>
      <c r="B138" s="21" t="inlineStr">
        <is>
          <t>srijeda</t>
        </is>
      </c>
      <c r="C138" s="11" t="inlineStr">
        <is>
          <t>Papir i karton</t>
        </is>
      </c>
      <c r="D138" s="21" t="n"/>
    </row>
    <row r="139">
      <c r="A139" s="30" t="n">
        <v>46379</v>
      </c>
      <c r="B139" s="21" t="inlineStr">
        <is>
          <t>srijeda</t>
        </is>
      </c>
      <c r="C139" s="5" t="inlineStr">
        <is>
          <t>Miješani komunalni otpad</t>
        </is>
      </c>
      <c r="D139" s="21" t="n"/>
    </row>
    <row r="140">
      <c r="A140" s="30" t="n">
        <v>46379</v>
      </c>
      <c r="B140" s="21" t="inlineStr">
        <is>
          <t>srijeda</t>
        </is>
      </c>
      <c r="C140" s="10" t="inlineStr">
        <is>
          <t>Reciklabilni otpad (plastika, metal, tetrapak)</t>
        </is>
      </c>
      <c r="D140" s="21" t="n"/>
    </row>
    <row r="141">
      <c r="A141" s="30" t="n">
        <v>46386</v>
      </c>
      <c r="B141" s="21" t="inlineStr">
        <is>
          <t>srijeda</t>
        </is>
      </c>
      <c r="C141" s="5" t="inlineStr">
        <is>
          <t>Miješani komunalni otpad</t>
        </is>
      </c>
      <c r="D141" s="21" t="n"/>
    </row>
    <row r="142">
      <c r="A142" s="30" t="n">
        <v>46386</v>
      </c>
      <c r="B142" s="21" t="inlineStr">
        <is>
          <t>srijeda</t>
        </is>
      </c>
      <c r="C142" s="9" t="inlineStr">
        <is>
          <t>Biootpad</t>
        </is>
      </c>
      <c r="D142" s="21" t="n"/>
    </row>
  </sheetData>
  <autoFilter ref="A1:D1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3 (Križevci): ulice i naselja</t>
        </is>
      </c>
    </row>
    <row r="2">
      <c r="A2" s="26" t="inlineStr">
        <is>
          <t>Bana Josipa Jelačića, Dragutina Renarića, Koprivnička ulica, Ljudevita Gaja, Ljudevita Modeca, Ljudevita Vukotinovića, Marijana Detonija, Milislava Demerca, Mojsija Baltića, Nehajeva ulica, Obrtnička ulica, Petra Zrinskog, Potočka ulica, Ratarna,Svetokriška ulica, Široko Brezje, Trg bana Lackovića i Veliki Potočec.</t>
        </is>
      </c>
    </row>
    <row r="4">
      <c r="A4" s="4" t="inlineStr">
        <is>
          <t>Ulica / naselje</t>
        </is>
      </c>
    </row>
    <row r="5">
      <c r="A5" s="21" t="inlineStr">
        <is>
          <t>Bana Josipa Jelačića</t>
        </is>
      </c>
    </row>
    <row r="6">
      <c r="A6" s="21" t="inlineStr">
        <is>
          <t>Dragutina Renarića</t>
        </is>
      </c>
    </row>
    <row r="7">
      <c r="A7" s="21" t="inlineStr">
        <is>
          <t>Koprivnička ulica</t>
        </is>
      </c>
    </row>
    <row r="8">
      <c r="A8" s="21" t="inlineStr">
        <is>
          <t>Ljudevita Gaja</t>
        </is>
      </c>
    </row>
    <row r="9">
      <c r="A9" s="21" t="inlineStr">
        <is>
          <t>Ljudevita Modeca</t>
        </is>
      </c>
    </row>
    <row r="10">
      <c r="A10" s="21" t="inlineStr">
        <is>
          <t>Ljudevita Vukotinovića</t>
        </is>
      </c>
    </row>
    <row r="11">
      <c r="A11" s="21" t="inlineStr">
        <is>
          <t>Marijana Detonija</t>
        </is>
      </c>
    </row>
    <row r="12">
      <c r="A12" s="21" t="inlineStr">
        <is>
          <t>Milislava Demerca</t>
        </is>
      </c>
    </row>
    <row r="13">
      <c r="A13" s="21" t="inlineStr">
        <is>
          <t>Mojsija Baltića</t>
        </is>
      </c>
    </row>
    <row r="14">
      <c r="A14" s="21" t="inlineStr">
        <is>
          <t>Nehajeva ulica</t>
        </is>
      </c>
    </row>
    <row r="15">
      <c r="A15" s="21" t="inlineStr">
        <is>
          <t>Obrtnička ulica</t>
        </is>
      </c>
    </row>
    <row r="16">
      <c r="A16" s="21" t="inlineStr">
        <is>
          <t>Petra Zrinskog</t>
        </is>
      </c>
    </row>
    <row r="17">
      <c r="A17" s="21" t="inlineStr">
        <is>
          <t>Potočka ulica</t>
        </is>
      </c>
    </row>
    <row r="18">
      <c r="A18" s="21" t="inlineStr">
        <is>
          <t>Ratarna</t>
        </is>
      </c>
    </row>
    <row r="19">
      <c r="A19" s="21" t="inlineStr">
        <is>
          <t>Svetokriška ulica</t>
        </is>
      </c>
    </row>
    <row r="20">
      <c r="A20" s="21" t="inlineStr">
        <is>
          <t>Široko Brezje</t>
        </is>
      </c>
    </row>
    <row r="21">
      <c r="A21" s="21" t="inlineStr">
        <is>
          <t>Trg bana Lackovića</t>
        </is>
      </c>
    </row>
    <row r="22">
      <c r="A22" s="21" t="inlineStr">
        <is>
          <t>Veliki Potočec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2026-10-07T18:17:08Z</dcterms:created>
  <dcterms:modified xmlns:dcterms="http://purl.org/dc/terms/" xmlns:xsi="http://www.w3.org/2001/XMLSchema-instance" xsi:type="dcterms:W3CDTF">2026-10-07T18:17:08Z</dcterms:modified>
</cp:coreProperties>
</file>
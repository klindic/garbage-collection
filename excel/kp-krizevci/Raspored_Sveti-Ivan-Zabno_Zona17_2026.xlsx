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'Raspored'!$A$4:$H$31</definedName>
    <definedName name="_xlnm._FilterDatabase" localSheetId="2" hidden="1">'Po vrsti'!$A$1:$D$54</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1">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color rgb="00C00000"/>
    </font>
    <font>
      <name val="Arial"/>
      <b val="1"/>
    </font>
    <font>
      <name val="Arial"/>
      <b val="1"/>
      <sz val="12"/>
    </font>
    <font>
      <name val="Arial"/>
      <b val="1"/>
      <sz val="10"/>
    </font>
    <font>
      <name val="Arial"/>
      <sz val="10"/>
    </font>
  </fonts>
  <fills count="7">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
      <patternFill patternType="solid">
        <fgColor rgb="007F7F7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7"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3" fillId="6" borderId="1" pivotButton="0" quotePrefix="0" xfId="0"/>
    <xf numFmtId="0" fontId="8"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0" borderId="1" pivotButton="0" quotePrefix="0" xfId="0"/>
    <xf numFmtId="0" fontId="7" fillId="0" borderId="1" pivotButton="0" quotePrefix="0" xfId="0"/>
    <xf numFmtId="0" fontId="7" fillId="0" borderId="1" applyAlignment="1" pivotButton="0" quotePrefix="0" xfId="0">
      <alignment horizontal="center" vertical="center" wrapText="1"/>
    </xf>
    <xf numFmtId="0" fontId="9" fillId="0" borderId="0" pivotButton="0" quotePrefix="0" xfId="0"/>
    <xf numFmtId="0" fontId="10" fillId="0" borderId="0" pivotButton="0" quotePrefix="0" xfId="0"/>
    <xf numFmtId="0" fontId="2" fillId="0" borderId="0" pivotButton="0" quotePrefix="0" xfId="0"/>
    <xf numFmtId="0" fontId="5" fillId="0" borderId="1" applyAlignment="1" pivotButton="0" quotePrefix="0" xfId="0">
      <alignment vertical="center"/>
    </xf>
    <xf numFmtId="165" fontId="6" fillId="0" borderId="1" applyAlignment="1" pivotButton="0" quotePrefix="0" xfId="0">
      <alignment horizontal="center" vertical="center" wrapText="1"/>
    </xf>
    <xf numFmtId="0" fontId="6" fillId="0" borderId="1" applyAlignment="1" pivotButton="0" quotePrefix="0" xfId="0">
      <alignment horizontal="center" vertical="center" wrapText="1"/>
    </xf>
    <xf numFmtId="165" fontId="5" fillId="0" borderId="1" pivotButton="0" quotePrefix="0" xfId="0"/>
  </cellXfs>
  <cellStyles count="1">
    <cellStyle name="Normal" xfId="0" builtinId="0" hidden="0"/>
  </cellStyles>
  <dxfs count="5">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b val="1"/>
        <color rgb="00FFFFFF"/>
      </font>
      <fill>
        <patternFill patternType="solid">
          <fgColor rgb="007F7F7F"/>
          <bgColor rgb="007F7F7F"/>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17,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IFERROR(1/(1/_xlfn.MINIFS(Raspored!$A$5:$A$31,Raspored!$D$5:$D$31,"x",Raspored!$A$5:$A$31,"&gt;="&amp;$B$3)),"nema više u 2026.")</f>
        <v/>
      </c>
      <c r="C6" s="7">
        <f>IF(ISNUMBER(B6),INDEX({"nedjelja","ponedjeljak","utorak","srijeda","četvrtak","petak","subota"},WEEKDAY(B6)),"")</f>
        <v/>
      </c>
      <c r="D6" s="8">
        <f>IF(ISNUMBER(B6),B6-$B$3,"")</f>
        <v/>
      </c>
      <c r="E6" s="7">
        <f>COUNTIF(Raspored!$D$5:$D$31,"x")</f>
        <v/>
      </c>
    </row>
    <row r="7">
      <c r="A7" s="9" t="inlineStr">
        <is>
          <t>Reciklabilni otpad (plastika, metal, tetrapak)</t>
        </is>
      </c>
      <c r="B7" s="6">
        <f>IFERROR(1/(1/_xlfn.MINIFS(Raspored!$A$5:$A$31,Raspored!$E$5:$E$31,"x",Raspored!$A$5:$A$31,"&gt;="&amp;$B$3)),"nema više u 2026.")</f>
        <v/>
      </c>
      <c r="C7" s="7">
        <f>IF(ISNUMBER(B7),INDEX({"nedjelja","ponedjeljak","utorak","srijeda","četvrtak","petak","subota"},WEEKDAY(B7)),"")</f>
        <v/>
      </c>
      <c r="D7" s="8">
        <f>IF(ISNUMBER(B7),B7-$B$3,"")</f>
        <v/>
      </c>
      <c r="E7" s="7">
        <f>COUNTIF(Raspored!$E$5:$E$31,"x")</f>
        <v/>
      </c>
    </row>
    <row r="8">
      <c r="A8" s="10" t="inlineStr">
        <is>
          <t>Papir i karton</t>
        </is>
      </c>
      <c r="B8" s="6">
        <f>IFERROR(1/(1/_xlfn.MINIFS(Raspored!$A$5:$A$31,Raspored!$F$5:$F$31,"x",Raspored!$A$5:$A$31,"&gt;="&amp;$B$3)),"nema više u 2026.")</f>
        <v/>
      </c>
      <c r="C8" s="7">
        <f>IF(ISNUMBER(B8),INDEX({"nedjelja","ponedjeljak","utorak","srijeda","četvrtak","petak","subota"},WEEKDAY(B8)),"")</f>
        <v/>
      </c>
      <c r="D8" s="8">
        <f>IF(ISNUMBER(B8),B8-$B$3,"")</f>
        <v/>
      </c>
      <c r="E8" s="7">
        <f>COUNTIF(Raspored!$F$5:$F$31,"x")</f>
        <v/>
      </c>
    </row>
    <row r="9">
      <c r="A9" s="11" t="inlineStr">
        <is>
          <t>Glomazni otpad (samo uz narudžbu)</t>
        </is>
      </c>
      <c r="B9" s="6">
        <f>IFERROR(1/(1/_xlfn.MINIFS(Raspored!$A$5:$A$31,Raspored!$G$5:$G$31,"x",Raspored!$A$5:$A$31,"&gt;="&amp;$B$3)),"nema više u 2026.")</f>
        <v/>
      </c>
      <c r="C9" s="7">
        <f>IF(ISNUMBER(B9),INDEX({"nedjelja","ponedjeljak","utorak","srijeda","četvrtak","petak","subota"},WEEKDAY(B9)),"")</f>
        <v/>
      </c>
      <c r="D9" s="8">
        <f>IF(ISNUMBER(B9),B9-$B$3,"")</f>
        <v/>
      </c>
      <c r="E9" s="7">
        <f>COUNTIF(Raspored!$G$5:$G$31,"x")</f>
        <v/>
      </c>
    </row>
    <row r="11">
      <c r="A11" s="12" t="inlineStr">
        <is>
          <t>Broj odvoza po mjesecu</t>
        </is>
      </c>
    </row>
    <row r="12" ht="30" customHeight="1">
      <c r="A12" s="4" t="inlineStr">
        <is>
          <t>Mjesec</t>
        </is>
      </c>
      <c r="B12" s="13" t="inlineStr">
        <is>
          <t>Miješani komunalni otpad</t>
        </is>
      </c>
      <c r="C12" s="14" t="inlineStr">
        <is>
          <t>Reciklabilni otpad (plastika, metal, tetrapak)</t>
        </is>
      </c>
      <c r="D12" s="15" t="inlineStr">
        <is>
          <t>Papir i karton</t>
        </is>
      </c>
      <c r="E12" s="16" t="inlineStr">
        <is>
          <t>Glomazni otpad (samo uz narudžbu)</t>
        </is>
      </c>
    </row>
    <row r="13">
      <c r="A13" s="17" t="inlineStr">
        <is>
          <t>siječanj</t>
        </is>
      </c>
      <c r="B13" s="7">
        <f>COUNTIFS(Raspored!$C$5:$C$31,$A13,Raspored!$D$5:$D$31,"x")</f>
        <v/>
      </c>
      <c r="C13" s="7">
        <f>COUNTIFS(Raspored!$C$5:$C$31,$A13,Raspored!$E$5:$E$31,"x")</f>
        <v/>
      </c>
      <c r="D13" s="7">
        <f>COUNTIFS(Raspored!$C$5:$C$31,$A13,Raspored!$F$5:$F$31,"x")</f>
        <v/>
      </c>
      <c r="E13" s="7">
        <f>COUNTIFS(Raspored!$C$5:$C$31,$A13,Raspored!$G$5:$G$31,"x")</f>
        <v/>
      </c>
    </row>
    <row r="14">
      <c r="A14" s="17" t="inlineStr">
        <is>
          <t>veljača</t>
        </is>
      </c>
      <c r="B14" s="7">
        <f>COUNTIFS(Raspored!$C$5:$C$31,$A14,Raspored!$D$5:$D$31,"x")</f>
        <v/>
      </c>
      <c r="C14" s="7">
        <f>COUNTIFS(Raspored!$C$5:$C$31,$A14,Raspored!$E$5:$E$31,"x")</f>
        <v/>
      </c>
      <c r="D14" s="7">
        <f>COUNTIFS(Raspored!$C$5:$C$31,$A14,Raspored!$F$5:$F$31,"x")</f>
        <v/>
      </c>
      <c r="E14" s="7">
        <f>COUNTIFS(Raspored!$C$5:$C$31,$A14,Raspored!$G$5:$G$31,"x")</f>
        <v/>
      </c>
    </row>
    <row r="15">
      <c r="A15" s="17" t="inlineStr">
        <is>
          <t>ožujak</t>
        </is>
      </c>
      <c r="B15" s="7">
        <f>COUNTIFS(Raspored!$C$5:$C$31,$A15,Raspored!$D$5:$D$31,"x")</f>
        <v/>
      </c>
      <c r="C15" s="7">
        <f>COUNTIFS(Raspored!$C$5:$C$31,$A15,Raspored!$E$5:$E$31,"x")</f>
        <v/>
      </c>
      <c r="D15" s="7">
        <f>COUNTIFS(Raspored!$C$5:$C$31,$A15,Raspored!$F$5:$F$31,"x")</f>
        <v/>
      </c>
      <c r="E15" s="7">
        <f>COUNTIFS(Raspored!$C$5:$C$31,$A15,Raspored!$G$5:$G$31,"x")</f>
        <v/>
      </c>
    </row>
    <row r="16">
      <c r="A16" s="17" t="inlineStr">
        <is>
          <t>travanj</t>
        </is>
      </c>
      <c r="B16" s="7">
        <f>COUNTIFS(Raspored!$C$5:$C$31,$A16,Raspored!$D$5:$D$31,"x")</f>
        <v/>
      </c>
      <c r="C16" s="7">
        <f>COUNTIFS(Raspored!$C$5:$C$31,$A16,Raspored!$E$5:$E$31,"x")</f>
        <v/>
      </c>
      <c r="D16" s="7">
        <f>COUNTIFS(Raspored!$C$5:$C$31,$A16,Raspored!$F$5:$F$31,"x")</f>
        <v/>
      </c>
      <c r="E16" s="7">
        <f>COUNTIFS(Raspored!$C$5:$C$31,$A16,Raspored!$G$5:$G$31,"x")</f>
        <v/>
      </c>
    </row>
    <row r="17">
      <c r="A17" s="17" t="inlineStr">
        <is>
          <t>svibanj</t>
        </is>
      </c>
      <c r="B17" s="7">
        <f>COUNTIFS(Raspored!$C$5:$C$31,$A17,Raspored!$D$5:$D$31,"x")</f>
        <v/>
      </c>
      <c r="C17" s="7">
        <f>COUNTIFS(Raspored!$C$5:$C$31,$A17,Raspored!$E$5:$E$31,"x")</f>
        <v/>
      </c>
      <c r="D17" s="7">
        <f>COUNTIFS(Raspored!$C$5:$C$31,$A17,Raspored!$F$5:$F$31,"x")</f>
        <v/>
      </c>
      <c r="E17" s="7">
        <f>COUNTIFS(Raspored!$C$5:$C$31,$A17,Raspored!$G$5:$G$31,"x")</f>
        <v/>
      </c>
    </row>
    <row r="18">
      <c r="A18" s="17" t="inlineStr">
        <is>
          <t>lipanj</t>
        </is>
      </c>
      <c r="B18" s="7">
        <f>COUNTIFS(Raspored!$C$5:$C$31,$A18,Raspored!$D$5:$D$31,"x")</f>
        <v/>
      </c>
      <c r="C18" s="7">
        <f>COUNTIFS(Raspored!$C$5:$C$31,$A18,Raspored!$E$5:$E$31,"x")</f>
        <v/>
      </c>
      <c r="D18" s="7">
        <f>COUNTIFS(Raspored!$C$5:$C$31,$A18,Raspored!$F$5:$F$31,"x")</f>
        <v/>
      </c>
      <c r="E18" s="7">
        <f>COUNTIFS(Raspored!$C$5:$C$31,$A18,Raspored!$G$5:$G$31,"x")</f>
        <v/>
      </c>
    </row>
    <row r="19">
      <c r="A19" s="17" t="inlineStr">
        <is>
          <t>srpanj</t>
        </is>
      </c>
      <c r="B19" s="7">
        <f>COUNTIFS(Raspored!$C$5:$C$31,$A19,Raspored!$D$5:$D$31,"x")</f>
        <v/>
      </c>
      <c r="C19" s="7">
        <f>COUNTIFS(Raspored!$C$5:$C$31,$A19,Raspored!$E$5:$E$31,"x")</f>
        <v/>
      </c>
      <c r="D19" s="7">
        <f>COUNTIFS(Raspored!$C$5:$C$31,$A19,Raspored!$F$5:$F$31,"x")</f>
        <v/>
      </c>
      <c r="E19" s="7">
        <f>COUNTIFS(Raspored!$C$5:$C$31,$A19,Raspored!$G$5:$G$31,"x")</f>
        <v/>
      </c>
    </row>
    <row r="20">
      <c r="A20" s="17" t="inlineStr">
        <is>
          <t>kolovoz</t>
        </is>
      </c>
      <c r="B20" s="7">
        <f>COUNTIFS(Raspored!$C$5:$C$31,$A20,Raspored!$D$5:$D$31,"x")</f>
        <v/>
      </c>
      <c r="C20" s="7">
        <f>COUNTIFS(Raspored!$C$5:$C$31,$A20,Raspored!$E$5:$E$31,"x")</f>
        <v/>
      </c>
      <c r="D20" s="7">
        <f>COUNTIFS(Raspored!$C$5:$C$31,$A20,Raspored!$F$5:$F$31,"x")</f>
        <v/>
      </c>
      <c r="E20" s="7">
        <f>COUNTIFS(Raspored!$C$5:$C$31,$A20,Raspored!$G$5:$G$31,"x")</f>
        <v/>
      </c>
    </row>
    <row r="21">
      <c r="A21" s="17" t="inlineStr">
        <is>
          <t>rujan</t>
        </is>
      </c>
      <c r="B21" s="7">
        <f>COUNTIFS(Raspored!$C$5:$C$31,$A21,Raspored!$D$5:$D$31,"x")</f>
        <v/>
      </c>
      <c r="C21" s="7">
        <f>COUNTIFS(Raspored!$C$5:$C$31,$A21,Raspored!$E$5:$E$31,"x")</f>
        <v/>
      </c>
      <c r="D21" s="7">
        <f>COUNTIFS(Raspored!$C$5:$C$31,$A21,Raspored!$F$5:$F$31,"x")</f>
        <v/>
      </c>
      <c r="E21" s="7">
        <f>COUNTIFS(Raspored!$C$5:$C$31,$A21,Raspored!$G$5:$G$31,"x")</f>
        <v/>
      </c>
    </row>
    <row r="22">
      <c r="A22" s="17" t="inlineStr">
        <is>
          <t>listopad</t>
        </is>
      </c>
      <c r="B22" s="7">
        <f>COUNTIFS(Raspored!$C$5:$C$31,$A22,Raspored!$D$5:$D$31,"x")</f>
        <v/>
      </c>
      <c r="C22" s="7">
        <f>COUNTIFS(Raspored!$C$5:$C$31,$A22,Raspored!$E$5:$E$31,"x")</f>
        <v/>
      </c>
      <c r="D22" s="7">
        <f>COUNTIFS(Raspored!$C$5:$C$31,$A22,Raspored!$F$5:$F$31,"x")</f>
        <v/>
      </c>
      <c r="E22" s="7">
        <f>COUNTIFS(Raspored!$C$5:$C$31,$A22,Raspored!$G$5:$G$31,"x")</f>
        <v/>
      </c>
    </row>
    <row r="23">
      <c r="A23" s="17" t="inlineStr">
        <is>
          <t>studeni</t>
        </is>
      </c>
      <c r="B23" s="7">
        <f>COUNTIFS(Raspored!$C$5:$C$31,$A23,Raspored!$D$5:$D$31,"x")</f>
        <v/>
      </c>
      <c r="C23" s="7">
        <f>COUNTIFS(Raspored!$C$5:$C$31,$A23,Raspored!$E$5:$E$31,"x")</f>
        <v/>
      </c>
      <c r="D23" s="7">
        <f>COUNTIFS(Raspored!$C$5:$C$31,$A23,Raspored!$F$5:$F$31,"x")</f>
        <v/>
      </c>
      <c r="E23" s="7">
        <f>COUNTIFS(Raspored!$C$5:$C$31,$A23,Raspored!$G$5:$G$31,"x")</f>
        <v/>
      </c>
    </row>
    <row r="24">
      <c r="A24" s="17" t="inlineStr">
        <is>
          <t>prosinac</t>
        </is>
      </c>
      <c r="B24" s="7">
        <f>COUNTIFS(Raspored!$C$5:$C$31,$A24,Raspored!$D$5:$D$31,"x")</f>
        <v/>
      </c>
      <c r="C24" s="7">
        <f>COUNTIFS(Raspored!$C$5:$C$31,$A24,Raspored!$E$5:$E$31,"x")</f>
        <v/>
      </c>
      <c r="D24" s="7">
        <f>COUNTIFS(Raspored!$C$5:$C$31,$A24,Raspored!$F$5:$F$31,"x")</f>
        <v/>
      </c>
      <c r="E24" s="7">
        <f>COUNTIFS(Raspored!$C$5:$C$31,$A24,Raspored!$G$5:$G$31,"x")</f>
        <v/>
      </c>
    </row>
    <row r="25">
      <c r="A25" s="18" t="inlineStr">
        <is>
          <t>Ukupno</t>
        </is>
      </c>
      <c r="B25" s="19">
        <f>SUM(B13:B24)</f>
        <v/>
      </c>
      <c r="C25" s="19">
        <f>SUM(C13:C24)</f>
        <v/>
      </c>
      <c r="D25" s="19">
        <f>SUM(D13:D24)</f>
        <v/>
      </c>
      <c r="E25" s="19">
        <f>SUM(E13:E24)</f>
        <v/>
      </c>
    </row>
    <row r="27">
      <c r="A27" s="20" t="inlineStr">
        <is>
          <t>Napomene:</t>
        </is>
      </c>
    </row>
    <row r="28">
      <c r="A28" s="21" t="inlineStr">
        <is>
          <t>• Crveno označeni datumi u listu "Raspored" su pomaknuti zbog neradnog dana u tom tjednu (inače je odvoz srijedom).</t>
        </is>
      </c>
    </row>
    <row r="29">
      <c r="A29" s="21" t="inlineStr">
        <is>
          <t>• Vrijeme odvoza: miješani od 7 sati; reciklabilni od 7 sati; papir od 7 sati; glomazni od 7 sati.</t>
        </is>
      </c>
    </row>
    <row r="30">
      <c r="A30" s="21" t="inlineStr">
        <is>
          <t>• Biootpad se na ovom području ne odvozi; preporučuje se kućno kompostiranje.</t>
        </is>
      </c>
    </row>
    <row r="31">
      <c r="A31" s="21" t="inlineStr">
        <is>
          <t>• Datumi otisnuti crveno u kalendaru (promjene zbog blagdana i praznika) označeni su kao pomaknuti.</t>
        </is>
      </c>
    </row>
    <row r="32">
      <c r="A32" s="21" t="inlineStr">
        <is>
          <t>• Kante postavite na javnu površinu prije vremena odvoza navedenog za vrstu otpada (npr. miješani od 15 sati, ostalo od 7 sati); vrijeme je u napomeni zone.</t>
        </is>
      </c>
    </row>
    <row r="33">
      <c r="A33" s="21" t="inlineStr">
        <is>
          <t>• Glomazni otpad odvozi se na predviđene datume samo uz narudžbu najkasnije 3 dana prije (048 720 918, www.komunalno.hr ili kupon iz kalendara); jedan odvoz godišnje je besplatan.</t>
        </is>
      </c>
    </row>
    <row r="34">
      <c r="A34" s="21" t="inlineStr">
        <is>
          <t>• Višak otpada: miješani u vrećama Komunalnog poduzeća, reciklabilni u narančastim, papir u plavim i biootpad u smeđim vrećama (besplatne na blagajni i u reciklažnom dvorištu).</t>
        </is>
      </c>
    </row>
    <row r="35">
      <c r="A35" s="21" t="inlineStr">
        <is>
          <t>• Reciklažno dvorište Donji Cubinec 30: ponedjeljak 8–18, utorak–petak 8–16, subota 8–14 sati (048 693 561). Informacije: 048 720 918, info@komunalno.hr.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13" customWidth="1" min="7" max="7"/>
    <col width="44" customWidth="1" min="8" max="8"/>
  </cols>
  <sheetData>
    <row r="1">
      <c r="A1" s="1" t="inlineStr">
        <is>
          <t>Raspored odvoza otpada 2026., Zona 17 (Sveti Ivan Žabno)</t>
        </is>
      </c>
    </row>
    <row r="2">
      <c r="A2" s="22" t="inlineStr">
        <is>
          <t>"x" = odvoz tog dana. Spremnike iznijeti do 07:00. Prošli datumi su posivljeni.</t>
        </is>
      </c>
    </row>
    <row r="4" ht="32" customHeight="1">
      <c r="A4" s="4" t="inlineStr">
        <is>
          <t>Datum</t>
        </is>
      </c>
      <c r="B4" s="4" t="inlineStr">
        <is>
          <t>Dan</t>
        </is>
      </c>
      <c r="C4" s="4" t="inlineStr">
        <is>
          <t>Mjesec</t>
        </is>
      </c>
      <c r="D4" s="13" t="inlineStr">
        <is>
          <t>Miješani komunalni otpad</t>
        </is>
      </c>
      <c r="E4" s="14" t="inlineStr">
        <is>
          <t>Reciklabilni otpad (plastika, metal, tetrapak)</t>
        </is>
      </c>
      <c r="F4" s="15" t="inlineStr">
        <is>
          <t>Papir i karton</t>
        </is>
      </c>
      <c r="G4" s="16" t="inlineStr">
        <is>
          <t>Glomazni otpad (samo uz narudžbu)</t>
        </is>
      </c>
      <c r="H4" s="4" t="inlineStr">
        <is>
          <t>Napomena</t>
        </is>
      </c>
    </row>
    <row r="5">
      <c r="A5" s="6" t="n">
        <v>46036</v>
      </c>
      <c r="B5" s="7" t="inlineStr">
        <is>
          <t>srijeda</t>
        </is>
      </c>
      <c r="C5" s="7" t="inlineStr">
        <is>
          <t>siječanj</t>
        </is>
      </c>
      <c r="D5" s="7" t="inlineStr">
        <is>
          <t>x</t>
        </is>
      </c>
      <c r="E5" s="7" t="n"/>
      <c r="F5" s="7" t="inlineStr">
        <is>
          <t>x</t>
        </is>
      </c>
      <c r="G5" s="7" t="n"/>
      <c r="H5" s="23" t="n"/>
    </row>
    <row r="6">
      <c r="A6" s="6" t="n">
        <v>46050</v>
      </c>
      <c r="B6" s="7" t="inlineStr">
        <is>
          <t>srijeda</t>
        </is>
      </c>
      <c r="C6" s="7" t="inlineStr">
        <is>
          <t>siječanj</t>
        </is>
      </c>
      <c r="D6" s="7" t="inlineStr">
        <is>
          <t>x</t>
        </is>
      </c>
      <c r="E6" s="7" t="inlineStr">
        <is>
          <t>x</t>
        </is>
      </c>
      <c r="F6" s="7" t="n"/>
      <c r="G6" s="7" t="n"/>
      <c r="H6" s="23" t="n"/>
    </row>
    <row r="7">
      <c r="A7" s="6" t="n">
        <v>46064</v>
      </c>
      <c r="B7" s="7" t="inlineStr">
        <is>
          <t>srijeda</t>
        </is>
      </c>
      <c r="C7" s="7" t="inlineStr">
        <is>
          <t>veljača</t>
        </is>
      </c>
      <c r="D7" s="7" t="inlineStr">
        <is>
          <t>x</t>
        </is>
      </c>
      <c r="E7" s="7" t="n"/>
      <c r="F7" s="7" t="inlineStr">
        <is>
          <t>x</t>
        </is>
      </c>
      <c r="G7" s="7" t="n"/>
      <c r="H7" s="23" t="n"/>
    </row>
    <row r="8">
      <c r="A8" s="6" t="n">
        <v>46078</v>
      </c>
      <c r="B8" s="7" t="inlineStr">
        <is>
          <t>srijeda</t>
        </is>
      </c>
      <c r="C8" s="7" t="inlineStr">
        <is>
          <t>veljača</t>
        </is>
      </c>
      <c r="D8" s="7" t="inlineStr">
        <is>
          <t>x</t>
        </is>
      </c>
      <c r="E8" s="7" t="inlineStr">
        <is>
          <t>x</t>
        </is>
      </c>
      <c r="F8" s="7" t="n"/>
      <c r="G8" s="7" t="n"/>
      <c r="H8" s="23" t="n"/>
    </row>
    <row r="9">
      <c r="A9" s="6" t="n">
        <v>46092</v>
      </c>
      <c r="B9" s="7" t="inlineStr">
        <is>
          <t>srijeda</t>
        </is>
      </c>
      <c r="C9" s="7" t="inlineStr">
        <is>
          <t>ožujak</t>
        </is>
      </c>
      <c r="D9" s="7" t="inlineStr">
        <is>
          <t>x</t>
        </is>
      </c>
      <c r="E9" s="7" t="n"/>
      <c r="F9" s="7" t="inlineStr">
        <is>
          <t>x</t>
        </is>
      </c>
      <c r="G9" s="7" t="n"/>
      <c r="H9" s="23" t="n"/>
    </row>
    <row r="10">
      <c r="A10" s="6" t="n">
        <v>46106</v>
      </c>
      <c r="B10" s="7" t="inlineStr">
        <is>
          <t>srijeda</t>
        </is>
      </c>
      <c r="C10" s="7" t="inlineStr">
        <is>
          <t>ožujak</t>
        </is>
      </c>
      <c r="D10" s="7" t="inlineStr">
        <is>
          <t>x</t>
        </is>
      </c>
      <c r="E10" s="7" t="inlineStr">
        <is>
          <t>x</t>
        </is>
      </c>
      <c r="F10" s="7" t="n"/>
      <c r="G10" s="7" t="n"/>
      <c r="H10" s="23" t="n"/>
    </row>
    <row r="11">
      <c r="A11" s="6" t="n">
        <v>46120</v>
      </c>
      <c r="B11" s="7" t="inlineStr">
        <is>
          <t>srijeda</t>
        </is>
      </c>
      <c r="C11" s="7" t="inlineStr">
        <is>
          <t>travanj</t>
        </is>
      </c>
      <c r="D11" s="7" t="inlineStr">
        <is>
          <t>x</t>
        </is>
      </c>
      <c r="E11" s="7" t="n"/>
      <c r="F11" s="7" t="inlineStr">
        <is>
          <t>x</t>
        </is>
      </c>
      <c r="G11" s="7" t="n"/>
      <c r="H11" s="23" t="n"/>
    </row>
    <row r="12">
      <c r="A12" s="6" t="n">
        <v>46134</v>
      </c>
      <c r="B12" s="7" t="inlineStr">
        <is>
          <t>srijeda</t>
        </is>
      </c>
      <c r="C12" s="7" t="inlineStr">
        <is>
          <t>travanj</t>
        </is>
      </c>
      <c r="D12" s="7" t="inlineStr">
        <is>
          <t>x</t>
        </is>
      </c>
      <c r="E12" s="7" t="inlineStr">
        <is>
          <t>x</t>
        </is>
      </c>
      <c r="F12" s="7" t="n"/>
      <c r="G12" s="7" t="n"/>
      <c r="H12" s="23" t="n"/>
    </row>
    <row r="13">
      <c r="A13" s="6" t="n">
        <v>46148</v>
      </c>
      <c r="B13" s="7" t="inlineStr">
        <is>
          <t>srijeda</t>
        </is>
      </c>
      <c r="C13" s="7" t="inlineStr">
        <is>
          <t>svibanj</t>
        </is>
      </c>
      <c r="D13" s="7" t="inlineStr">
        <is>
          <t>x</t>
        </is>
      </c>
      <c r="E13" s="7" t="n"/>
      <c r="F13" s="7" t="inlineStr">
        <is>
          <t>x</t>
        </is>
      </c>
      <c r="G13" s="7" t="n"/>
      <c r="H13" s="23" t="n"/>
    </row>
    <row r="14">
      <c r="A14" s="6" t="n">
        <v>46162</v>
      </c>
      <c r="B14" s="7" t="inlineStr">
        <is>
          <t>srijeda</t>
        </is>
      </c>
      <c r="C14" s="7" t="inlineStr">
        <is>
          <t>svibanj</t>
        </is>
      </c>
      <c r="D14" s="7" t="inlineStr">
        <is>
          <t>x</t>
        </is>
      </c>
      <c r="E14" s="7" t="inlineStr">
        <is>
          <t>x</t>
        </is>
      </c>
      <c r="F14" s="7" t="n"/>
      <c r="G14" s="7" t="n"/>
      <c r="H14" s="23" t="n"/>
    </row>
    <row r="15">
      <c r="A15" s="6" t="n">
        <v>46176</v>
      </c>
      <c r="B15" s="7" t="inlineStr">
        <is>
          <t>srijeda</t>
        </is>
      </c>
      <c r="C15" s="7" t="inlineStr">
        <is>
          <t>lipanj</t>
        </is>
      </c>
      <c r="D15" s="7" t="inlineStr">
        <is>
          <t>x</t>
        </is>
      </c>
      <c r="E15" s="7" t="n"/>
      <c r="F15" s="7" t="inlineStr">
        <is>
          <t>x</t>
        </is>
      </c>
      <c r="G15" s="7" t="n"/>
      <c r="H15" s="23" t="n"/>
    </row>
    <row r="16">
      <c r="A16" s="6" t="n">
        <v>46183</v>
      </c>
      <c r="B16" s="7" t="inlineStr">
        <is>
          <t>srijeda</t>
        </is>
      </c>
      <c r="C16" s="7" t="inlineStr">
        <is>
          <t>lipanj</t>
        </is>
      </c>
      <c r="D16" s="7" t="n"/>
      <c r="E16" s="7" t="n"/>
      <c r="F16" s="7" t="n"/>
      <c r="G16" s="7" t="inlineStr">
        <is>
          <t>x</t>
        </is>
      </c>
      <c r="H16" s="23" t="n"/>
    </row>
    <row r="17">
      <c r="A17" s="6" t="n">
        <v>46190</v>
      </c>
      <c r="B17" s="7" t="inlineStr">
        <is>
          <t>srijeda</t>
        </is>
      </c>
      <c r="C17" s="7" t="inlineStr">
        <is>
          <t>lipanj</t>
        </is>
      </c>
      <c r="D17" s="7" t="inlineStr">
        <is>
          <t>x</t>
        </is>
      </c>
      <c r="E17" s="7" t="inlineStr">
        <is>
          <t>x</t>
        </is>
      </c>
      <c r="F17" s="7" t="n"/>
      <c r="G17" s="7" t="n"/>
      <c r="H17" s="23" t="n"/>
    </row>
    <row r="18">
      <c r="A18" s="6" t="n">
        <v>46204</v>
      </c>
      <c r="B18" s="7" t="inlineStr">
        <is>
          <t>srijeda</t>
        </is>
      </c>
      <c r="C18" s="7" t="inlineStr">
        <is>
          <t>srpanj</t>
        </is>
      </c>
      <c r="D18" s="7" t="inlineStr">
        <is>
          <t>x</t>
        </is>
      </c>
      <c r="E18" s="7" t="n"/>
      <c r="F18" s="7" t="inlineStr">
        <is>
          <t>x</t>
        </is>
      </c>
      <c r="G18" s="7" t="n"/>
      <c r="H18" s="23" t="n"/>
    </row>
    <row r="19">
      <c r="A19" s="6" t="n">
        <v>46218</v>
      </c>
      <c r="B19" s="7" t="inlineStr">
        <is>
          <t>srijeda</t>
        </is>
      </c>
      <c r="C19" s="7" t="inlineStr">
        <is>
          <t>srpanj</t>
        </is>
      </c>
      <c r="D19" s="7" t="inlineStr">
        <is>
          <t>x</t>
        </is>
      </c>
      <c r="E19" s="7" t="inlineStr">
        <is>
          <t>x</t>
        </is>
      </c>
      <c r="F19" s="7" t="n"/>
      <c r="G19" s="7" t="n"/>
      <c r="H19" s="23" t="n"/>
    </row>
    <row r="20">
      <c r="A20" s="6" t="n">
        <v>46232</v>
      </c>
      <c r="B20" s="7" t="inlineStr">
        <is>
          <t>srijeda</t>
        </is>
      </c>
      <c r="C20" s="7" t="inlineStr">
        <is>
          <t>srpanj</t>
        </is>
      </c>
      <c r="D20" s="7" t="inlineStr">
        <is>
          <t>x</t>
        </is>
      </c>
      <c r="E20" s="7" t="n"/>
      <c r="F20" s="7" t="inlineStr">
        <is>
          <t>x</t>
        </is>
      </c>
      <c r="G20" s="7" t="n"/>
      <c r="H20" s="23" t="n"/>
    </row>
    <row r="21">
      <c r="A21" s="6" t="n">
        <v>46246</v>
      </c>
      <c r="B21" s="7" t="inlineStr">
        <is>
          <t>srijeda</t>
        </is>
      </c>
      <c r="C21" s="7" t="inlineStr">
        <is>
          <t>kolovoz</t>
        </is>
      </c>
      <c r="D21" s="7" t="inlineStr">
        <is>
          <t>x</t>
        </is>
      </c>
      <c r="E21" s="7" t="inlineStr">
        <is>
          <t>x</t>
        </is>
      </c>
      <c r="F21" s="7" t="n"/>
      <c r="G21" s="7" t="n"/>
      <c r="H21" s="23" t="n"/>
    </row>
    <row r="22">
      <c r="A22" s="6" t="n">
        <v>46260</v>
      </c>
      <c r="B22" s="7" t="inlineStr">
        <is>
          <t>srijeda</t>
        </is>
      </c>
      <c r="C22" s="7" t="inlineStr">
        <is>
          <t>kolovoz</t>
        </is>
      </c>
      <c r="D22" s="7" t="inlineStr">
        <is>
          <t>x</t>
        </is>
      </c>
      <c r="E22" s="7" t="n"/>
      <c r="F22" s="7" t="inlineStr">
        <is>
          <t>x</t>
        </is>
      </c>
      <c r="G22" s="7" t="n"/>
      <c r="H22" s="23" t="n"/>
    </row>
    <row r="23">
      <c r="A23" s="6" t="n">
        <v>46274</v>
      </c>
      <c r="B23" s="7" t="inlineStr">
        <is>
          <t>srijeda</t>
        </is>
      </c>
      <c r="C23" s="7" t="inlineStr">
        <is>
          <t>rujan</t>
        </is>
      </c>
      <c r="D23" s="7" t="inlineStr">
        <is>
          <t>x</t>
        </is>
      </c>
      <c r="E23" s="7" t="inlineStr">
        <is>
          <t>x</t>
        </is>
      </c>
      <c r="F23" s="7" t="n"/>
      <c r="G23" s="7" t="n"/>
      <c r="H23" s="23" t="n"/>
    </row>
    <row r="24">
      <c r="A24" s="6" t="n">
        <v>46288</v>
      </c>
      <c r="B24" s="7" t="inlineStr">
        <is>
          <t>srijeda</t>
        </is>
      </c>
      <c r="C24" s="7" t="inlineStr">
        <is>
          <t>rujan</t>
        </is>
      </c>
      <c r="D24" s="7" t="inlineStr">
        <is>
          <t>x</t>
        </is>
      </c>
      <c r="E24" s="7" t="n"/>
      <c r="F24" s="7" t="inlineStr">
        <is>
          <t>x</t>
        </is>
      </c>
      <c r="G24" s="7" t="n"/>
      <c r="H24" s="23" t="n"/>
    </row>
    <row r="25">
      <c r="A25" s="6" t="n">
        <v>46302</v>
      </c>
      <c r="B25" s="7" t="inlineStr">
        <is>
          <t>srijeda</t>
        </is>
      </c>
      <c r="C25" s="7" t="inlineStr">
        <is>
          <t>listopad</t>
        </is>
      </c>
      <c r="D25" s="7" t="inlineStr">
        <is>
          <t>x</t>
        </is>
      </c>
      <c r="E25" s="7" t="inlineStr">
        <is>
          <t>x</t>
        </is>
      </c>
      <c r="F25" s="7" t="n"/>
      <c r="G25" s="7" t="n"/>
      <c r="H25" s="23" t="n"/>
    </row>
    <row r="26">
      <c r="A26" s="6" t="n">
        <v>46316</v>
      </c>
      <c r="B26" s="7" t="inlineStr">
        <is>
          <t>srijeda</t>
        </is>
      </c>
      <c r="C26" s="7" t="inlineStr">
        <is>
          <t>listopad</t>
        </is>
      </c>
      <c r="D26" s="7" t="inlineStr">
        <is>
          <t>x</t>
        </is>
      </c>
      <c r="E26" s="7" t="n"/>
      <c r="F26" s="7" t="inlineStr">
        <is>
          <t>x</t>
        </is>
      </c>
      <c r="G26" s="7" t="n"/>
      <c r="H26" s="23" t="n"/>
    </row>
    <row r="27">
      <c r="A27" s="6" t="n">
        <v>46330</v>
      </c>
      <c r="B27" s="7" t="inlineStr">
        <is>
          <t>srijeda</t>
        </is>
      </c>
      <c r="C27" s="7" t="inlineStr">
        <is>
          <t>studeni</t>
        </is>
      </c>
      <c r="D27" s="7" t="inlineStr">
        <is>
          <t>x</t>
        </is>
      </c>
      <c r="E27" s="7" t="inlineStr">
        <is>
          <t>x</t>
        </is>
      </c>
      <c r="F27" s="7" t="n"/>
      <c r="G27" s="7" t="n"/>
      <c r="H27" s="23" t="n"/>
    </row>
    <row r="28">
      <c r="A28" s="24" t="n">
        <v>46347</v>
      </c>
      <c r="B28" s="25" t="inlineStr">
        <is>
          <t>subota</t>
        </is>
      </c>
      <c r="C28" s="7" t="inlineStr">
        <is>
          <t>studeni</t>
        </is>
      </c>
      <c r="D28" s="7" t="inlineStr">
        <is>
          <t>x</t>
        </is>
      </c>
      <c r="E28" s="7" t="n"/>
      <c r="F28" s="7" t="inlineStr">
        <is>
          <t>x</t>
        </is>
      </c>
      <c r="G28" s="7" t="n"/>
      <c r="H28" s="23" t="inlineStr">
        <is>
          <t>Pomaknuto zbog neradnog dana u tjednu</t>
        </is>
      </c>
    </row>
    <row r="29">
      <c r="A29" s="6" t="n">
        <v>46358</v>
      </c>
      <c r="B29" s="7" t="inlineStr">
        <is>
          <t>srijeda</t>
        </is>
      </c>
      <c r="C29" s="7" t="inlineStr">
        <is>
          <t>prosinac</t>
        </is>
      </c>
      <c r="D29" s="7" t="inlineStr">
        <is>
          <t>x</t>
        </is>
      </c>
      <c r="E29" s="7" t="inlineStr">
        <is>
          <t>x</t>
        </is>
      </c>
      <c r="F29" s="7" t="n"/>
      <c r="G29" s="7" t="n"/>
      <c r="H29" s="23" t="n"/>
    </row>
    <row r="30">
      <c r="A30" s="6" t="n">
        <v>46372</v>
      </c>
      <c r="B30" s="7" t="inlineStr">
        <is>
          <t>srijeda</t>
        </is>
      </c>
      <c r="C30" s="7" t="inlineStr">
        <is>
          <t>prosinac</t>
        </is>
      </c>
      <c r="D30" s="7" t="inlineStr">
        <is>
          <t>x</t>
        </is>
      </c>
      <c r="E30" s="7" t="n"/>
      <c r="F30" s="7" t="inlineStr">
        <is>
          <t>x</t>
        </is>
      </c>
      <c r="G30" s="7" t="n"/>
      <c r="H30" s="23" t="n"/>
    </row>
    <row r="31">
      <c r="A31" s="6" t="n">
        <v>46386</v>
      </c>
      <c r="B31" s="7" t="inlineStr">
        <is>
          <t>srijeda</t>
        </is>
      </c>
      <c r="C31" s="7" t="inlineStr">
        <is>
          <t>prosinac</t>
        </is>
      </c>
      <c r="D31" s="7" t="inlineStr">
        <is>
          <t>x</t>
        </is>
      </c>
      <c r="E31" s="7" t="inlineStr">
        <is>
          <t>x</t>
        </is>
      </c>
      <c r="F31" s="7" t="n"/>
      <c r="G31" s="7" t="n"/>
      <c r="H31" s="23" t="n"/>
    </row>
  </sheetData>
  <autoFilter ref="A4:H31"/>
  <conditionalFormatting sqref="D5:D31">
    <cfRule type="expression" priority="1" dxfId="0">
      <formula>D5="x"</formula>
    </cfRule>
  </conditionalFormatting>
  <conditionalFormatting sqref="E5:E31">
    <cfRule type="expression" priority="2" dxfId="1">
      <formula>E5="x"</formula>
    </cfRule>
  </conditionalFormatting>
  <conditionalFormatting sqref="F5:F31">
    <cfRule type="expression" priority="3" dxfId="2">
      <formula>F5="x"</formula>
    </cfRule>
  </conditionalFormatting>
  <conditionalFormatting sqref="G5:G31">
    <cfRule type="expression" priority="4" dxfId="3">
      <formula>G5="x"</formula>
    </cfRule>
  </conditionalFormatting>
  <conditionalFormatting sqref="A5:H31">
    <cfRule type="expression" priority="5" dxfId="4"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6" t="n">
        <v>46036</v>
      </c>
      <c r="B2" s="17" t="inlineStr">
        <is>
          <t>srijeda</t>
        </is>
      </c>
      <c r="C2" s="5" t="inlineStr">
        <is>
          <t>Miješani komunalni otpad</t>
        </is>
      </c>
      <c r="D2" s="17" t="n"/>
    </row>
    <row r="3">
      <c r="A3" s="26" t="n">
        <v>46036</v>
      </c>
      <c r="B3" s="17" t="inlineStr">
        <is>
          <t>srijeda</t>
        </is>
      </c>
      <c r="C3" s="10" t="inlineStr">
        <is>
          <t>Papir i karton</t>
        </is>
      </c>
      <c r="D3" s="17" t="n"/>
    </row>
    <row r="4">
      <c r="A4" s="26" t="n">
        <v>46050</v>
      </c>
      <c r="B4" s="17" t="inlineStr">
        <is>
          <t>srijeda</t>
        </is>
      </c>
      <c r="C4" s="5" t="inlineStr">
        <is>
          <t>Miješani komunalni otpad</t>
        </is>
      </c>
      <c r="D4" s="17" t="n"/>
    </row>
    <row r="5">
      <c r="A5" s="26" t="n">
        <v>46050</v>
      </c>
      <c r="B5" s="17" t="inlineStr">
        <is>
          <t>srijeda</t>
        </is>
      </c>
      <c r="C5" s="9" t="inlineStr">
        <is>
          <t>Reciklabilni otpad (plastika, metal, tetrapak)</t>
        </is>
      </c>
      <c r="D5" s="17" t="n"/>
    </row>
    <row r="6">
      <c r="A6" s="26" t="n">
        <v>46064</v>
      </c>
      <c r="B6" s="17" t="inlineStr">
        <is>
          <t>srijeda</t>
        </is>
      </c>
      <c r="C6" s="5" t="inlineStr">
        <is>
          <t>Miješani komunalni otpad</t>
        </is>
      </c>
      <c r="D6" s="17" t="n"/>
    </row>
    <row r="7">
      <c r="A7" s="26" t="n">
        <v>46064</v>
      </c>
      <c r="B7" s="17" t="inlineStr">
        <is>
          <t>srijeda</t>
        </is>
      </c>
      <c r="C7" s="10" t="inlineStr">
        <is>
          <t>Papir i karton</t>
        </is>
      </c>
      <c r="D7" s="17" t="n"/>
    </row>
    <row r="8">
      <c r="A8" s="26" t="n">
        <v>46078</v>
      </c>
      <c r="B8" s="17" t="inlineStr">
        <is>
          <t>srijeda</t>
        </is>
      </c>
      <c r="C8" s="5" t="inlineStr">
        <is>
          <t>Miješani komunalni otpad</t>
        </is>
      </c>
      <c r="D8" s="17" t="n"/>
    </row>
    <row r="9">
      <c r="A9" s="26" t="n">
        <v>46078</v>
      </c>
      <c r="B9" s="17" t="inlineStr">
        <is>
          <t>srijeda</t>
        </is>
      </c>
      <c r="C9" s="9" t="inlineStr">
        <is>
          <t>Reciklabilni otpad (plastika, metal, tetrapak)</t>
        </is>
      </c>
      <c r="D9" s="17" t="n"/>
    </row>
    <row r="10">
      <c r="A10" s="26" t="n">
        <v>46092</v>
      </c>
      <c r="B10" s="17" t="inlineStr">
        <is>
          <t>srijeda</t>
        </is>
      </c>
      <c r="C10" s="5" t="inlineStr">
        <is>
          <t>Miješani komunalni otpad</t>
        </is>
      </c>
      <c r="D10" s="17" t="n"/>
    </row>
    <row r="11">
      <c r="A11" s="26" t="n">
        <v>46092</v>
      </c>
      <c r="B11" s="17" t="inlineStr">
        <is>
          <t>srijeda</t>
        </is>
      </c>
      <c r="C11" s="10" t="inlineStr">
        <is>
          <t>Papir i karton</t>
        </is>
      </c>
      <c r="D11" s="17" t="n"/>
    </row>
    <row r="12">
      <c r="A12" s="26" t="n">
        <v>46106</v>
      </c>
      <c r="B12" s="17" t="inlineStr">
        <is>
          <t>srijeda</t>
        </is>
      </c>
      <c r="C12" s="5" t="inlineStr">
        <is>
          <t>Miješani komunalni otpad</t>
        </is>
      </c>
      <c r="D12" s="17" t="n"/>
    </row>
    <row r="13">
      <c r="A13" s="26" t="n">
        <v>46106</v>
      </c>
      <c r="B13" s="17" t="inlineStr">
        <is>
          <t>srijeda</t>
        </is>
      </c>
      <c r="C13" s="9" t="inlineStr">
        <is>
          <t>Reciklabilni otpad (plastika, metal, tetrapak)</t>
        </is>
      </c>
      <c r="D13" s="17" t="n"/>
    </row>
    <row r="14">
      <c r="A14" s="26" t="n">
        <v>46120</v>
      </c>
      <c r="B14" s="17" t="inlineStr">
        <is>
          <t>srijeda</t>
        </is>
      </c>
      <c r="C14" s="5" t="inlineStr">
        <is>
          <t>Miješani komunalni otpad</t>
        </is>
      </c>
      <c r="D14" s="17" t="n"/>
    </row>
    <row r="15">
      <c r="A15" s="26" t="n">
        <v>46120</v>
      </c>
      <c r="B15" s="17" t="inlineStr">
        <is>
          <t>srijeda</t>
        </is>
      </c>
      <c r="C15" s="10" t="inlineStr">
        <is>
          <t>Papir i karton</t>
        </is>
      </c>
      <c r="D15" s="17" t="n"/>
    </row>
    <row r="16">
      <c r="A16" s="26" t="n">
        <v>46134</v>
      </c>
      <c r="B16" s="17" t="inlineStr">
        <is>
          <t>srijeda</t>
        </is>
      </c>
      <c r="C16" s="5" t="inlineStr">
        <is>
          <t>Miješani komunalni otpad</t>
        </is>
      </c>
      <c r="D16" s="17" t="n"/>
    </row>
    <row r="17">
      <c r="A17" s="26" t="n">
        <v>46134</v>
      </c>
      <c r="B17" s="17" t="inlineStr">
        <is>
          <t>srijeda</t>
        </is>
      </c>
      <c r="C17" s="9" t="inlineStr">
        <is>
          <t>Reciklabilni otpad (plastika, metal, tetrapak)</t>
        </is>
      </c>
      <c r="D17" s="17" t="n"/>
    </row>
    <row r="18">
      <c r="A18" s="26" t="n">
        <v>46148</v>
      </c>
      <c r="B18" s="17" t="inlineStr">
        <is>
          <t>srijeda</t>
        </is>
      </c>
      <c r="C18" s="5" t="inlineStr">
        <is>
          <t>Miješani komunalni otpad</t>
        </is>
      </c>
      <c r="D18" s="17" t="n"/>
    </row>
    <row r="19">
      <c r="A19" s="26" t="n">
        <v>46148</v>
      </c>
      <c r="B19" s="17" t="inlineStr">
        <is>
          <t>srijeda</t>
        </is>
      </c>
      <c r="C19" s="10" t="inlineStr">
        <is>
          <t>Papir i karton</t>
        </is>
      </c>
      <c r="D19" s="17" t="n"/>
    </row>
    <row r="20">
      <c r="A20" s="26" t="n">
        <v>46162</v>
      </c>
      <c r="B20" s="17" t="inlineStr">
        <is>
          <t>srijeda</t>
        </is>
      </c>
      <c r="C20" s="5" t="inlineStr">
        <is>
          <t>Miješani komunalni otpad</t>
        </is>
      </c>
      <c r="D20" s="17" t="n"/>
    </row>
    <row r="21">
      <c r="A21" s="26" t="n">
        <v>46162</v>
      </c>
      <c r="B21" s="17" t="inlineStr">
        <is>
          <t>srijeda</t>
        </is>
      </c>
      <c r="C21" s="9" t="inlineStr">
        <is>
          <t>Reciklabilni otpad (plastika, metal, tetrapak)</t>
        </is>
      </c>
      <c r="D21" s="17" t="n"/>
    </row>
    <row r="22">
      <c r="A22" s="26" t="n">
        <v>46176</v>
      </c>
      <c r="B22" s="17" t="inlineStr">
        <is>
          <t>srijeda</t>
        </is>
      </c>
      <c r="C22" s="5" t="inlineStr">
        <is>
          <t>Miješani komunalni otpad</t>
        </is>
      </c>
      <c r="D22" s="17" t="n"/>
    </row>
    <row r="23">
      <c r="A23" s="26" t="n">
        <v>46176</v>
      </c>
      <c r="B23" s="17" t="inlineStr">
        <is>
          <t>srijeda</t>
        </is>
      </c>
      <c r="C23" s="10" t="inlineStr">
        <is>
          <t>Papir i karton</t>
        </is>
      </c>
      <c r="D23" s="17" t="n"/>
    </row>
    <row r="24">
      <c r="A24" s="26" t="n">
        <v>46183</v>
      </c>
      <c r="B24" s="17" t="inlineStr">
        <is>
          <t>srijeda</t>
        </is>
      </c>
      <c r="C24" s="11" t="inlineStr">
        <is>
          <t>Glomazni otpad (samo uz narudžbu)</t>
        </is>
      </c>
      <c r="D24" s="17" t="n"/>
    </row>
    <row r="25">
      <c r="A25" s="26" t="n">
        <v>46190</v>
      </c>
      <c r="B25" s="17" t="inlineStr">
        <is>
          <t>srijeda</t>
        </is>
      </c>
      <c r="C25" s="5" t="inlineStr">
        <is>
          <t>Miješani komunalni otpad</t>
        </is>
      </c>
      <c r="D25" s="17" t="n"/>
    </row>
    <row r="26">
      <c r="A26" s="26" t="n">
        <v>46190</v>
      </c>
      <c r="B26" s="17" t="inlineStr">
        <is>
          <t>srijeda</t>
        </is>
      </c>
      <c r="C26" s="9" t="inlineStr">
        <is>
          <t>Reciklabilni otpad (plastika, metal, tetrapak)</t>
        </is>
      </c>
      <c r="D26" s="17" t="n"/>
    </row>
    <row r="27">
      <c r="A27" s="26" t="n">
        <v>46204</v>
      </c>
      <c r="B27" s="17" t="inlineStr">
        <is>
          <t>srijeda</t>
        </is>
      </c>
      <c r="C27" s="5" t="inlineStr">
        <is>
          <t>Miješani komunalni otpad</t>
        </is>
      </c>
      <c r="D27" s="17" t="n"/>
    </row>
    <row r="28">
      <c r="A28" s="26" t="n">
        <v>46204</v>
      </c>
      <c r="B28" s="17" t="inlineStr">
        <is>
          <t>srijeda</t>
        </is>
      </c>
      <c r="C28" s="10" t="inlineStr">
        <is>
          <t>Papir i karton</t>
        </is>
      </c>
      <c r="D28" s="17" t="n"/>
    </row>
    <row r="29">
      <c r="A29" s="26" t="n">
        <v>46218</v>
      </c>
      <c r="B29" s="17" t="inlineStr">
        <is>
          <t>srijeda</t>
        </is>
      </c>
      <c r="C29" s="5" t="inlineStr">
        <is>
          <t>Miješani komunalni otpad</t>
        </is>
      </c>
      <c r="D29" s="17" t="n"/>
    </row>
    <row r="30">
      <c r="A30" s="26" t="n">
        <v>46218</v>
      </c>
      <c r="B30" s="17" t="inlineStr">
        <is>
          <t>srijeda</t>
        </is>
      </c>
      <c r="C30" s="9" t="inlineStr">
        <is>
          <t>Reciklabilni otpad (plastika, metal, tetrapak)</t>
        </is>
      </c>
      <c r="D30" s="17" t="n"/>
    </row>
    <row r="31">
      <c r="A31" s="26" t="n">
        <v>46232</v>
      </c>
      <c r="B31" s="17" t="inlineStr">
        <is>
          <t>srijeda</t>
        </is>
      </c>
      <c r="C31" s="5" t="inlineStr">
        <is>
          <t>Miješani komunalni otpad</t>
        </is>
      </c>
      <c r="D31" s="17" t="n"/>
    </row>
    <row r="32">
      <c r="A32" s="26" t="n">
        <v>46232</v>
      </c>
      <c r="B32" s="17" t="inlineStr">
        <is>
          <t>srijeda</t>
        </is>
      </c>
      <c r="C32" s="10" t="inlineStr">
        <is>
          <t>Papir i karton</t>
        </is>
      </c>
      <c r="D32" s="17" t="n"/>
    </row>
    <row r="33">
      <c r="A33" s="26" t="n">
        <v>46246</v>
      </c>
      <c r="B33" s="17" t="inlineStr">
        <is>
          <t>srijeda</t>
        </is>
      </c>
      <c r="C33" s="5" t="inlineStr">
        <is>
          <t>Miješani komunalni otpad</t>
        </is>
      </c>
      <c r="D33" s="17" t="n"/>
    </row>
    <row r="34">
      <c r="A34" s="26" t="n">
        <v>46246</v>
      </c>
      <c r="B34" s="17" t="inlineStr">
        <is>
          <t>srijeda</t>
        </is>
      </c>
      <c r="C34" s="9" t="inlineStr">
        <is>
          <t>Reciklabilni otpad (plastika, metal, tetrapak)</t>
        </is>
      </c>
      <c r="D34" s="17" t="n"/>
    </row>
    <row r="35">
      <c r="A35" s="26" t="n">
        <v>46260</v>
      </c>
      <c r="B35" s="17" t="inlineStr">
        <is>
          <t>srijeda</t>
        </is>
      </c>
      <c r="C35" s="5" t="inlineStr">
        <is>
          <t>Miješani komunalni otpad</t>
        </is>
      </c>
      <c r="D35" s="17" t="n"/>
    </row>
    <row r="36">
      <c r="A36" s="26" t="n">
        <v>46260</v>
      </c>
      <c r="B36" s="17" t="inlineStr">
        <is>
          <t>srijeda</t>
        </is>
      </c>
      <c r="C36" s="10" t="inlineStr">
        <is>
          <t>Papir i karton</t>
        </is>
      </c>
      <c r="D36" s="17" t="n"/>
    </row>
    <row r="37">
      <c r="A37" s="26" t="n">
        <v>46274</v>
      </c>
      <c r="B37" s="17" t="inlineStr">
        <is>
          <t>srijeda</t>
        </is>
      </c>
      <c r="C37" s="5" t="inlineStr">
        <is>
          <t>Miješani komunalni otpad</t>
        </is>
      </c>
      <c r="D37" s="17" t="n"/>
    </row>
    <row r="38">
      <c r="A38" s="26" t="n">
        <v>46274</v>
      </c>
      <c r="B38" s="17" t="inlineStr">
        <is>
          <t>srijeda</t>
        </is>
      </c>
      <c r="C38" s="9" t="inlineStr">
        <is>
          <t>Reciklabilni otpad (plastika, metal, tetrapak)</t>
        </is>
      </c>
      <c r="D38" s="17" t="n"/>
    </row>
    <row r="39">
      <c r="A39" s="26" t="n">
        <v>46288</v>
      </c>
      <c r="B39" s="17" t="inlineStr">
        <is>
          <t>srijeda</t>
        </is>
      </c>
      <c r="C39" s="5" t="inlineStr">
        <is>
          <t>Miješani komunalni otpad</t>
        </is>
      </c>
      <c r="D39" s="17" t="n"/>
    </row>
    <row r="40">
      <c r="A40" s="26" t="n">
        <v>46288</v>
      </c>
      <c r="B40" s="17" t="inlineStr">
        <is>
          <t>srijeda</t>
        </is>
      </c>
      <c r="C40" s="10" t="inlineStr">
        <is>
          <t>Papir i karton</t>
        </is>
      </c>
      <c r="D40" s="17" t="n"/>
    </row>
    <row r="41">
      <c r="A41" s="26" t="n">
        <v>46302</v>
      </c>
      <c r="B41" s="17" t="inlineStr">
        <is>
          <t>srijeda</t>
        </is>
      </c>
      <c r="C41" s="5" t="inlineStr">
        <is>
          <t>Miješani komunalni otpad</t>
        </is>
      </c>
      <c r="D41" s="17" t="n"/>
    </row>
    <row r="42">
      <c r="A42" s="26" t="n">
        <v>46302</v>
      </c>
      <c r="B42" s="17" t="inlineStr">
        <is>
          <t>srijeda</t>
        </is>
      </c>
      <c r="C42" s="9" t="inlineStr">
        <is>
          <t>Reciklabilni otpad (plastika, metal, tetrapak)</t>
        </is>
      </c>
      <c r="D42" s="17" t="n"/>
    </row>
    <row r="43">
      <c r="A43" s="26" t="n">
        <v>46316</v>
      </c>
      <c r="B43" s="17" t="inlineStr">
        <is>
          <t>srijeda</t>
        </is>
      </c>
      <c r="C43" s="5" t="inlineStr">
        <is>
          <t>Miješani komunalni otpad</t>
        </is>
      </c>
      <c r="D43" s="17" t="n"/>
    </row>
    <row r="44">
      <c r="A44" s="26" t="n">
        <v>46316</v>
      </c>
      <c r="B44" s="17" t="inlineStr">
        <is>
          <t>srijeda</t>
        </is>
      </c>
      <c r="C44" s="10" t="inlineStr">
        <is>
          <t>Papir i karton</t>
        </is>
      </c>
      <c r="D44" s="17" t="n"/>
    </row>
    <row r="45">
      <c r="A45" s="26" t="n">
        <v>46330</v>
      </c>
      <c r="B45" s="17" t="inlineStr">
        <is>
          <t>srijeda</t>
        </is>
      </c>
      <c r="C45" s="5" t="inlineStr">
        <is>
          <t>Miješani komunalni otpad</t>
        </is>
      </c>
      <c r="D45" s="17" t="n"/>
    </row>
    <row r="46">
      <c r="A46" s="26" t="n">
        <v>46330</v>
      </c>
      <c r="B46" s="17" t="inlineStr">
        <is>
          <t>srijeda</t>
        </is>
      </c>
      <c r="C46" s="9" t="inlineStr">
        <is>
          <t>Reciklabilni otpad (plastika, metal, tetrapak)</t>
        </is>
      </c>
      <c r="D46" s="17" t="n"/>
    </row>
    <row r="47">
      <c r="A47" s="26" t="n">
        <v>46347</v>
      </c>
      <c r="B47" s="17" t="inlineStr">
        <is>
          <t>subota</t>
        </is>
      </c>
      <c r="C47" s="5" t="inlineStr">
        <is>
          <t>Miješani komunalni otpad</t>
        </is>
      </c>
      <c r="D47" s="17" t="inlineStr">
        <is>
          <t>Pomaknuto zbog neradnog dana u tjednu</t>
        </is>
      </c>
    </row>
    <row r="48">
      <c r="A48" s="26" t="n">
        <v>46347</v>
      </c>
      <c r="B48" s="17" t="inlineStr">
        <is>
          <t>subota</t>
        </is>
      </c>
      <c r="C48" s="10" t="inlineStr">
        <is>
          <t>Papir i karton</t>
        </is>
      </c>
      <c r="D48" s="17" t="inlineStr">
        <is>
          <t>Pomaknuto zbog neradnog dana u tjednu</t>
        </is>
      </c>
    </row>
    <row r="49">
      <c r="A49" s="26" t="n">
        <v>46358</v>
      </c>
      <c r="B49" s="17" t="inlineStr">
        <is>
          <t>srijeda</t>
        </is>
      </c>
      <c r="C49" s="5" t="inlineStr">
        <is>
          <t>Miješani komunalni otpad</t>
        </is>
      </c>
      <c r="D49" s="17" t="n"/>
    </row>
    <row r="50">
      <c r="A50" s="26" t="n">
        <v>46358</v>
      </c>
      <c r="B50" s="17" t="inlineStr">
        <is>
          <t>srijeda</t>
        </is>
      </c>
      <c r="C50" s="9" t="inlineStr">
        <is>
          <t>Reciklabilni otpad (plastika, metal, tetrapak)</t>
        </is>
      </c>
      <c r="D50" s="17" t="n"/>
    </row>
    <row r="51">
      <c r="A51" s="26" t="n">
        <v>46372</v>
      </c>
      <c r="B51" s="17" t="inlineStr">
        <is>
          <t>srijeda</t>
        </is>
      </c>
      <c r="C51" s="5" t="inlineStr">
        <is>
          <t>Miješani komunalni otpad</t>
        </is>
      </c>
      <c r="D51" s="17" t="n"/>
    </row>
    <row r="52">
      <c r="A52" s="26" t="n">
        <v>46372</v>
      </c>
      <c r="B52" s="17" t="inlineStr">
        <is>
          <t>srijeda</t>
        </is>
      </c>
      <c r="C52" s="10" t="inlineStr">
        <is>
          <t>Papir i karton</t>
        </is>
      </c>
      <c r="D52" s="17" t="n"/>
    </row>
    <row r="53">
      <c r="A53" s="26" t="n">
        <v>46386</v>
      </c>
      <c r="B53" s="17" t="inlineStr">
        <is>
          <t>srijeda</t>
        </is>
      </c>
      <c r="C53" s="5" t="inlineStr">
        <is>
          <t>Miješani komunalni otpad</t>
        </is>
      </c>
      <c r="D53" s="17" t="n"/>
    </row>
    <row r="54">
      <c r="A54" s="26" t="n">
        <v>46386</v>
      </c>
      <c r="B54" s="17" t="inlineStr">
        <is>
          <t>srijeda</t>
        </is>
      </c>
      <c r="C54" s="9" t="inlineStr">
        <is>
          <t>Reciklabilni otpad (plastika, metal, tetrapak)</t>
        </is>
      </c>
      <c r="D54" s="17" t="n"/>
    </row>
  </sheetData>
  <autoFilter ref="A1:D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0"/>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17 (Sveti Ivan Žabno): ulice i naselja</t>
        </is>
      </c>
    </row>
    <row r="2">
      <c r="A2" s="22" t="inlineStr">
        <is>
          <t>Benčakova ulica, Borička, Carova ulica, Cirkvensko Brdo, Donja ulica, Duga ulica, Đurekova, Gradišće, Grobljanska ulica, Hrsovo, Kenđelovec, Kolodvorska ulica, Kuštani, Ladinec, Ledine, Markovac Križevački, Mlinarska ulica, Novi Glog, Pavlićeva ulica, Predavčeva ulica, Pužarova ulica, Topljakova ulica, Trg slobode, Ulica Novi Glog, Varoška ulica i Vinogradska ulica</t>
        </is>
      </c>
    </row>
    <row r="4">
      <c r="A4" s="4" t="inlineStr">
        <is>
          <t>Ulica / naselje</t>
        </is>
      </c>
    </row>
    <row r="5">
      <c r="A5" s="17" t="inlineStr">
        <is>
          <t>Benčakova ulica</t>
        </is>
      </c>
    </row>
    <row r="6">
      <c r="A6" s="17" t="inlineStr">
        <is>
          <t>Borička</t>
        </is>
      </c>
    </row>
    <row r="7">
      <c r="A7" s="17" t="inlineStr">
        <is>
          <t>Carova ulica</t>
        </is>
      </c>
    </row>
    <row r="8">
      <c r="A8" s="17" t="inlineStr">
        <is>
          <t>Cirkvensko Brdo</t>
        </is>
      </c>
    </row>
    <row r="9">
      <c r="A9" s="17" t="inlineStr">
        <is>
          <t>Donja ulica</t>
        </is>
      </c>
    </row>
    <row r="10">
      <c r="A10" s="17" t="inlineStr">
        <is>
          <t>Duga ulica</t>
        </is>
      </c>
    </row>
    <row r="11">
      <c r="A11" s="17" t="inlineStr">
        <is>
          <t>Đurekova</t>
        </is>
      </c>
    </row>
    <row r="12">
      <c r="A12" s="17" t="inlineStr">
        <is>
          <t>Gradišće</t>
        </is>
      </c>
    </row>
    <row r="13">
      <c r="A13" s="17" t="inlineStr">
        <is>
          <t>Grobljanska ulica</t>
        </is>
      </c>
    </row>
    <row r="14">
      <c r="A14" s="17" t="inlineStr">
        <is>
          <t>Hrsovo</t>
        </is>
      </c>
    </row>
    <row r="15">
      <c r="A15" s="17" t="inlineStr">
        <is>
          <t>Kenđelovec</t>
        </is>
      </c>
    </row>
    <row r="16">
      <c r="A16" s="17" t="inlineStr">
        <is>
          <t>Kolodvorska ulica</t>
        </is>
      </c>
    </row>
    <row r="17">
      <c r="A17" s="17" t="inlineStr">
        <is>
          <t>Kuštani</t>
        </is>
      </c>
    </row>
    <row r="18">
      <c r="A18" s="17" t="inlineStr">
        <is>
          <t>Ladinec</t>
        </is>
      </c>
    </row>
    <row r="19">
      <c r="A19" s="17" t="inlineStr">
        <is>
          <t>Ledine</t>
        </is>
      </c>
    </row>
    <row r="20">
      <c r="A20" s="17" t="inlineStr">
        <is>
          <t>Markovac Križevački</t>
        </is>
      </c>
    </row>
    <row r="21">
      <c r="A21" s="17" t="inlineStr">
        <is>
          <t>Mlinarska ulica</t>
        </is>
      </c>
    </row>
    <row r="22">
      <c r="A22" s="17" t="inlineStr">
        <is>
          <t>Novi Glog</t>
        </is>
      </c>
    </row>
    <row r="23">
      <c r="A23" s="17" t="inlineStr">
        <is>
          <t>Pavlićeva ulica</t>
        </is>
      </c>
    </row>
    <row r="24">
      <c r="A24" s="17" t="inlineStr">
        <is>
          <t>Predavčeva ulica</t>
        </is>
      </c>
    </row>
    <row r="25">
      <c r="A25" s="17" t="inlineStr">
        <is>
          <t>Pužarova ulica</t>
        </is>
      </c>
    </row>
    <row r="26">
      <c r="A26" s="17" t="inlineStr">
        <is>
          <t>Topljakova ulica</t>
        </is>
      </c>
    </row>
    <row r="27">
      <c r="A27" s="17" t="inlineStr">
        <is>
          <t>Trg slobode</t>
        </is>
      </c>
    </row>
    <row r="28">
      <c r="A28" s="17" t="inlineStr">
        <is>
          <t>Ulica Novi Glog</t>
        </is>
      </c>
    </row>
    <row r="29">
      <c r="A29" s="17" t="inlineStr">
        <is>
          <t>Varoška ulica</t>
        </is>
      </c>
    </row>
    <row r="30">
      <c r="A30" s="17" t="inlineStr">
        <is>
          <t>Vinogradska ulica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2026-10-07T18:17:09Z</dcterms:created>
  <dcterms:modified xmlns:dcterms="http://purl.org/dc/terms/" xmlns:xsi="http://www.w3.org/2001/XMLSchema-instance" xsi:type="dcterms:W3CDTF">2026-10-07T18:17:09Z</dcterms:modified>
</cp:coreProperties>
</file>
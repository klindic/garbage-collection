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'Raspored'!$A$4:$G$30</definedName>
    <definedName name="_xlnm._FilterDatabase" localSheetId="2" hidden="1">'Po vrsti'!$A$1:$D$41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Glomazni otpad (samo uz narudžbu)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(plastika, metal, tetrapak)</t>
        </is>
      </c>
      <c r="D11" s="14" t="inlineStr">
        <is>
          <t>Glomazni otpad (samo uz narudžbu)</t>
        </is>
      </c>
    </row>
    <row r="12">
      <c r="A12" s="15" t="inlineStr">
        <is>
          <t>siječanj</t>
        </is>
      </c>
      <c r="B12" s="7">
        <f>COUNTIFS(Raspored!$C$5:$C$30,$A12,Raspored!$D$5:$D$30,"x")</f>
        <v/>
      </c>
      <c r="C12" s="7">
        <f>COUNTIFS(Raspored!$C$5:$C$30,$A12,Raspored!$E$5:$E$30,"x")</f>
        <v/>
      </c>
      <c r="D12" s="7">
        <f>COUNTIFS(Raspored!$C$5:$C$30,$A12,Raspored!$F$5:$F$30,"x")</f>
        <v/>
      </c>
    </row>
    <row r="13">
      <c r="A13" s="15" t="inlineStr">
        <is>
          <t>veljača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</row>
    <row r="14">
      <c r="A14" s="15" t="inlineStr">
        <is>
          <t>ožujak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</row>
    <row r="15">
      <c r="A15" s="15" t="inlineStr">
        <is>
          <t>travanj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</row>
    <row r="16">
      <c r="A16" s="15" t="inlineStr">
        <is>
          <t>svibanj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</row>
    <row r="17">
      <c r="A17" s="15" t="inlineStr">
        <is>
          <t>lipanj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</row>
    <row r="18">
      <c r="A18" s="15" t="inlineStr">
        <is>
          <t>srpanj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</row>
    <row r="19">
      <c r="A19" s="15" t="inlineStr">
        <is>
          <t>kolovoz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</row>
    <row r="20">
      <c r="A20" s="15" t="inlineStr">
        <is>
          <t>rujan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</row>
    <row r="21">
      <c r="A21" s="15" t="inlineStr">
        <is>
          <t>listopad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</row>
    <row r="22">
      <c r="A22" s="15" t="inlineStr">
        <is>
          <t>studeni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</row>
    <row r="23">
      <c r="A23" s="15" t="inlineStr">
        <is>
          <t>prosinac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Vrijeme odvoza: miješani od 7 sati; reciklabilni od 7 sati; glomazni od 7 sati.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Datumi otisnuti crveno u kalendaru (promjene zbog blagdana i praznika) označeni su kao pomaknuti.</t>
        </is>
      </c>
    </row>
    <row r="31">
      <c r="A31" s="19" t="inlineStr">
        <is>
          <t>• Kante postavite na javnu površinu prije vremena odvoza navedenog za vrstu otpada (npr. miješani od 15 sati, ostalo od 7 sati); vrijeme je u napomeni zone.</t>
        </is>
      </c>
    </row>
    <row r="32">
      <c r="A32" s="19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3">
      <c r="A33" s="19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4">
      <c r="A34" s="19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(Kalnik)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(plastika, metal, tetrapak)</t>
        </is>
      </c>
      <c r="F4" s="14" t="inlineStr">
        <is>
          <t>Glomazni otpad (samo uz narudžbu)</t>
        </is>
      </c>
      <c r="G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46050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46064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46078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46092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46106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46120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46134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46148</v>
      </c>
      <c r="B13" s="7" t="inlineStr">
        <is>
          <t>srijeda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46162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46176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46190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46204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46218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46232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46246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46260</v>
      </c>
      <c r="B21" s="7" t="inlineStr">
        <is>
          <t>srijeda</t>
        </is>
      </c>
      <c r="C21" s="7" t="inlineStr">
        <is>
          <t>kolovoz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46274</v>
      </c>
      <c r="B22" s="7" t="inlineStr">
        <is>
          <t>srijeda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46288</v>
      </c>
      <c r="B23" s="7" t="inlineStr">
        <is>
          <t>srijeda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46302</v>
      </c>
      <c r="B24" s="7" t="inlineStr">
        <is>
          <t>srijeda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46316</v>
      </c>
      <c r="B25" s="7" t="inlineStr">
        <is>
          <t>srijeda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46330</v>
      </c>
      <c r="B26" s="7" t="inlineStr">
        <is>
          <t>srijeda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22" t="n">
        <v>46347</v>
      </c>
      <c r="B27" s="23" t="inlineStr">
        <is>
          <t>subota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21" t="inlineStr">
        <is>
          <t>Pomaknuto zbog neradnog dana u tjednu</t>
        </is>
      </c>
    </row>
    <row r="28">
      <c r="A28" s="6" t="n">
        <v>46358</v>
      </c>
      <c r="B28" s="7" t="inlineStr">
        <is>
          <t>srijeda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46372</v>
      </c>
      <c r="B29" s="7" t="inlineStr">
        <is>
          <t>srijeda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46386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</sheetData>
  <autoFilter ref="A4:G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A5:G3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46036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46050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Reciklabilni otpad (plastika, metal, tetrapak)</t>
        </is>
      </c>
      <c r="D4" s="15" t="n"/>
    </row>
    <row r="5">
      <c r="A5" s="24" t="n">
        <v>46064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46078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46078</v>
      </c>
      <c r="B7" s="15" t="inlineStr">
        <is>
          <t>srijeda</t>
        </is>
      </c>
      <c r="C7" s="9" t="inlineStr">
        <is>
          <t>Reciklabilni otpad (plastika, metal, tetrapak)</t>
        </is>
      </c>
      <c r="D7" s="15" t="n"/>
    </row>
    <row r="8">
      <c r="A8" s="24" t="n">
        <v>46092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46092</v>
      </c>
      <c r="B9" s="15" t="inlineStr">
        <is>
          <t>srijeda</t>
        </is>
      </c>
      <c r="C9" s="10" t="inlineStr">
        <is>
          <t>Glomazni otpad (samo uz narudžbu)</t>
        </is>
      </c>
      <c r="D9" s="15" t="n"/>
    </row>
    <row r="10">
      <c r="A10" s="24" t="n">
        <v>46106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46106</v>
      </c>
      <c r="B11" s="15" t="inlineStr">
        <is>
          <t>srijeda</t>
        </is>
      </c>
      <c r="C11" s="9" t="inlineStr">
        <is>
          <t>Reciklabilni otpad (plastika, metal, tetrapak)</t>
        </is>
      </c>
      <c r="D11" s="15" t="n"/>
    </row>
    <row r="12">
      <c r="A12" s="24" t="n">
        <v>46120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46134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46134</v>
      </c>
      <c r="B14" s="15" t="inlineStr">
        <is>
          <t>srijeda</t>
        </is>
      </c>
      <c r="C14" s="9" t="inlineStr">
        <is>
          <t>Reciklabilni otpad (plastika, metal, tetrapak)</t>
        </is>
      </c>
      <c r="D14" s="15" t="n"/>
    </row>
    <row r="15">
      <c r="A15" s="24" t="n">
        <v>46148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46162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46162</v>
      </c>
      <c r="B17" s="15" t="inlineStr">
        <is>
          <t>srijeda</t>
        </is>
      </c>
      <c r="C17" s="9" t="inlineStr">
        <is>
          <t>Reciklabilni otpad (plastika, metal, tetrapak)</t>
        </is>
      </c>
      <c r="D17" s="15" t="n"/>
    </row>
    <row r="18">
      <c r="A18" s="24" t="n">
        <v>46176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46190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46190</v>
      </c>
      <c r="B20" s="15" t="inlineStr">
        <is>
          <t>srijeda</t>
        </is>
      </c>
      <c r="C20" s="9" t="inlineStr">
        <is>
          <t>Reciklabilni otpad (plastika, metal, tetrapak)</t>
        </is>
      </c>
      <c r="D20" s="15" t="n"/>
    </row>
    <row r="21">
      <c r="A21" s="24" t="n">
        <v>46204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46218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46218</v>
      </c>
      <c r="B23" s="15" t="inlineStr">
        <is>
          <t>srijeda</t>
        </is>
      </c>
      <c r="C23" s="9" t="inlineStr">
        <is>
          <t>Reciklabilni otpad (plastika, metal, tetrapak)</t>
        </is>
      </c>
      <c r="D23" s="15" t="n"/>
    </row>
    <row r="24">
      <c r="A24" s="24" t="n">
        <v>46232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46246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46246</v>
      </c>
      <c r="B26" s="15" t="inlineStr">
        <is>
          <t>srijeda</t>
        </is>
      </c>
      <c r="C26" s="9" t="inlineStr">
        <is>
          <t>Reciklabilni otpad (plastika, metal, tetrapak)</t>
        </is>
      </c>
      <c r="D26" s="15" t="n"/>
    </row>
    <row r="27">
      <c r="A27" s="24" t="n">
        <v>46260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46274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46274</v>
      </c>
      <c r="B29" s="15" t="inlineStr">
        <is>
          <t>srijeda</t>
        </is>
      </c>
      <c r="C29" s="9" t="inlineStr">
        <is>
          <t>Reciklabilni otpad (plastika, metal, tetrapak)</t>
        </is>
      </c>
      <c r="D29" s="15" t="n"/>
    </row>
    <row r="30">
      <c r="A30" s="24" t="n">
        <v>46288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46302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46302</v>
      </c>
      <c r="B32" s="15" t="inlineStr">
        <is>
          <t>srijeda</t>
        </is>
      </c>
      <c r="C32" s="9" t="inlineStr">
        <is>
          <t>Reciklabilni otpad (plastika, metal, tetrapak)</t>
        </is>
      </c>
      <c r="D32" s="15" t="n"/>
    </row>
    <row r="33">
      <c r="A33" s="24" t="n">
        <v>46316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46330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46330</v>
      </c>
      <c r="B35" s="15" t="inlineStr">
        <is>
          <t>srijeda</t>
        </is>
      </c>
      <c r="C35" s="9" t="inlineStr">
        <is>
          <t>Reciklabilni otpad (plastika, metal, tetrapak)</t>
        </is>
      </c>
      <c r="D35" s="15" t="n"/>
    </row>
    <row r="36">
      <c r="A36" s="24" t="n">
        <v>46347</v>
      </c>
      <c r="B36" s="15" t="inlineStr">
        <is>
          <t>subota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46358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46358</v>
      </c>
      <c r="B38" s="15" t="inlineStr">
        <is>
          <t>srijeda</t>
        </is>
      </c>
      <c r="C38" s="9" t="inlineStr">
        <is>
          <t>Reciklabilni otpad (plastika, metal, tetrapak)</t>
        </is>
      </c>
      <c r="D38" s="15" t="n"/>
    </row>
    <row r="39">
      <c r="A39" s="24" t="n">
        <v>46372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46386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46386</v>
      </c>
      <c r="B41" s="15" t="inlineStr">
        <is>
          <t>srijeda</t>
        </is>
      </c>
      <c r="C41" s="9" t="inlineStr">
        <is>
          <t>Reciklabilni otpad (plastika, metal, tetrapak)</t>
        </is>
      </c>
      <c r="D41" s="15" t="n"/>
    </row>
  </sheetData>
  <autoFilter ref="A1:D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(Kalnik): ulice i naselja</t>
        </is>
      </c>
    </row>
    <row r="2">
      <c r="A2" s="20" t="inlineStr">
        <is>
          <t>Borje, Kalnik, Kamešnica, Obrež, Popovec, Potok Kalnički, Šopron i Vojnovec</t>
        </is>
      </c>
    </row>
    <row r="4">
      <c r="A4" s="4" t="inlineStr">
        <is>
          <t>Ulica / naselje</t>
        </is>
      </c>
    </row>
    <row r="5">
      <c r="A5" s="15" t="inlineStr">
        <is>
          <t>Borje</t>
        </is>
      </c>
    </row>
    <row r="6">
      <c r="A6" s="15" t="inlineStr">
        <is>
          <t>Kalnik</t>
        </is>
      </c>
    </row>
    <row r="7">
      <c r="A7" s="15" t="inlineStr">
        <is>
          <t>Kamešnica</t>
        </is>
      </c>
    </row>
    <row r="8">
      <c r="A8" s="15" t="inlineStr">
        <is>
          <t>Obrež</t>
        </is>
      </c>
    </row>
    <row r="9">
      <c r="A9" s="15" t="inlineStr">
        <is>
          <t>Popovec</t>
        </is>
      </c>
    </row>
    <row r="10">
      <c r="A10" s="15" t="inlineStr">
        <is>
          <t>Potok Kalnički</t>
        </is>
      </c>
    </row>
    <row r="11">
      <c r="A11" s="15" t="inlineStr">
        <is>
          <t>Šopron</t>
        </is>
      </c>
    </row>
    <row r="12">
      <c r="A12" s="15" t="inlineStr">
        <is>
          <t>Vojnovec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
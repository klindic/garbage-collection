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'Raspored'!$A$4:$H$69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Plastika i metal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Papir i karton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9">
      <c r="A9" s="11" t="inlineStr">
        <is>
          <t>Glomazni otpad</t>
        </is>
      </c>
      <c r="B9" s="6">
        <f>IFERROR(1/(1/_xlfn.MINIFS(Raspored!$A$5:$A$69,Raspored!$G$5:$G$69,"x",Raspored!$A$5:$A$69,"&gt;="&amp;$B$3)),"nema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  <c r="E13" s="7">
        <f>COUNTIFS(Raspored!$C$5:$C$69,$A13,Raspored!$G$5:$G$69,"x")</f>
        <v/>
      </c>
    </row>
    <row r="14">
      <c r="A14" s="17" t="inlineStr">
        <is>
          <t>veljača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  <c r="E14" s="7">
        <f>COUNTIFS(Raspored!$C$5:$C$69,$A14,Raspored!$G$5:$G$69,"x")</f>
        <v/>
      </c>
    </row>
    <row r="15">
      <c r="A15" s="17" t="inlineStr">
        <is>
          <t>ožujak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  <c r="E15" s="7">
        <f>COUNTIFS(Raspored!$C$5:$C$69,$A15,Raspored!$G$5:$G$69,"x")</f>
        <v/>
      </c>
    </row>
    <row r="16">
      <c r="A16" s="17" t="inlineStr">
        <is>
          <t>travanj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  <c r="E16" s="7">
        <f>COUNTIFS(Raspored!$C$5:$C$69,$A16,Raspored!$G$5:$G$69,"x")</f>
        <v/>
      </c>
    </row>
    <row r="17">
      <c r="A17" s="17" t="inlineStr">
        <is>
          <t>svibanj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  <c r="E17" s="7">
        <f>COUNTIFS(Raspored!$C$5:$C$69,$A17,Raspored!$G$5:$G$69,"x")</f>
        <v/>
      </c>
    </row>
    <row r="18">
      <c r="A18" s="17" t="inlineStr">
        <is>
          <t>lipanj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  <c r="E18" s="7">
        <f>COUNTIFS(Raspored!$C$5:$C$69,$A18,Raspored!$G$5:$G$69,"x")</f>
        <v/>
      </c>
    </row>
    <row r="19">
      <c r="A19" s="17" t="inlineStr">
        <is>
          <t>srpanj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  <c r="E19" s="7">
        <f>COUNTIFS(Raspored!$C$5:$C$69,$A19,Raspored!$G$5:$G$69,"x")</f>
        <v/>
      </c>
    </row>
    <row r="20">
      <c r="A20" s="17" t="inlineStr">
        <is>
          <t>kolovoz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  <c r="E20" s="7">
        <f>COUNTIFS(Raspored!$C$5:$C$69,$A20,Raspored!$G$5:$G$69,"x")</f>
        <v/>
      </c>
    </row>
    <row r="21">
      <c r="A21" s="17" t="inlineStr">
        <is>
          <t>rujan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  <c r="E21" s="7">
        <f>COUNTIFS(Raspored!$C$5:$C$69,$A21,Raspored!$G$5:$G$69,"x")</f>
        <v/>
      </c>
    </row>
    <row r="22">
      <c r="A22" s="17" t="inlineStr">
        <is>
          <t>listopad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  <c r="E22" s="7">
        <f>COUNTIFS(Raspored!$C$5:$C$69,$A22,Raspored!$G$5:$G$69,"x")</f>
        <v/>
      </c>
    </row>
    <row r="23">
      <c r="A23" s="17" t="inlineStr">
        <is>
          <t>studeni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  <c r="E23" s="7">
        <f>COUNTIFS(Raspored!$C$5:$C$69,$A23,Raspored!$G$5:$G$69,"x")</f>
        <v/>
      </c>
    </row>
    <row r="24">
      <c r="A24" s="17" t="inlineStr">
        <is>
          <t>prosinac</t>
        </is>
      </c>
      <c r="B24" s="7">
        <f>COUNTIFS(Raspored!$C$5:$C$69,$A24,Raspored!$D$5:$D$69,"x")</f>
        <v/>
      </c>
      <c r="C24" s="7">
        <f>COUNTIFS(Raspored!$C$5:$C$69,$A24,Raspored!$E$5:$E$69,"x")</f>
        <v/>
      </c>
      <c r="D24" s="7">
        <f>COUNTIFS(Raspored!$C$5:$C$69,$A24,Raspored!$F$5:$F$69,"x")</f>
        <v/>
      </c>
      <c r="E24" s="7">
        <f>COUNTIFS(Raspored!$C$5:$C$69,$A24,Raspored!$G$5:$G$69,"x")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Dan odvoza miješanog otpada prema obavijesti davatelja iz 2025.; provjerite na računu.</t>
        </is>
      </c>
    </row>
    <row r="29">
      <c r="A29" s="21" t="inlineStr">
        <is>
          <t>• Biootpad se na ovom području ne odvozi; preporučuje se kućno kompostiranje.</t>
        </is>
      </c>
    </row>
    <row r="30">
      <c r="A30" s="21" t="inlineStr">
        <is>
          <t>• Raspored vrijedi za obiteljske kuće; stambene zgrade imaju vlastiti raspored (papir i plastika jednom tjedno, biootpad, glomazni otpad).</t>
        </is>
      </c>
    </row>
    <row r="31">
      <c r="A31" s="21" t="inlineStr">
        <is>
          <t>• Papir i plastika odvoze se istog dana (plavi i žuti spremnik).</t>
        </is>
      </c>
    </row>
    <row r="32">
      <c r="A32" s="21" t="inlineStr">
        <is>
          <t>• Glomazni otpad u Gradu Bjelovaru odvozi se subotom po skupinama ulica; raspored: https://komunalac-bj.hr/obavijesti-komunalac-bjelovar/odvoz-otpada.</t>
        </is>
      </c>
    </row>
    <row r="33">
      <c r="A33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4">
      <c r="A34" s="21" t="inlineStr">
        <is>
          <t>• Grad Bjelovar: za blagdane davatelj objavljuje posebne obavijesti; bez obavijesti je upisan redoviti dan.</t>
        </is>
      </c>
    </row>
    <row r="35">
      <c r="A35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31 (Severin)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46066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46094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inlineStr">
        <is>
          <t>x</t>
        </is>
      </c>
      <c r="G18" s="7" t="n"/>
      <c r="H18" s="23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46122</v>
      </c>
      <c r="B22" s="7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46129</v>
      </c>
      <c r="B23" s="7" t="inlineStr">
        <is>
          <t>petak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46143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46150</v>
      </c>
      <c r="B27" s="7" t="inlineStr">
        <is>
          <t>petak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46157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46161</v>
      </c>
      <c r="B29" s="7" t="inlineStr">
        <is>
          <t>utorak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46178</v>
      </c>
      <c r="B32" s="7" t="inlineStr">
        <is>
          <t>petak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46185</v>
      </c>
      <c r="B33" s="7" t="inlineStr">
        <is>
          <t>petak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46189</v>
      </c>
      <c r="B34" s="7" t="inlineStr">
        <is>
          <t>utorak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inlineStr">
        <is>
          <t>x</t>
        </is>
      </c>
      <c r="G34" s="7" t="n"/>
      <c r="H34" s="23" t="n"/>
    </row>
    <row r="35">
      <c r="A35" s="6" t="n">
        <v>46192</v>
      </c>
      <c r="B35" s="7" t="inlineStr">
        <is>
          <t>petak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46199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46206</v>
      </c>
      <c r="B37" s="7" t="inlineStr">
        <is>
          <t>petak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46213</v>
      </c>
      <c r="B38" s="7" t="inlineStr">
        <is>
          <t>petak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46220</v>
      </c>
      <c r="B39" s="7" t="inlineStr">
        <is>
          <t>petak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46224</v>
      </c>
      <c r="B40" s="7" t="inlineStr">
        <is>
          <t>utorak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inlineStr">
        <is>
          <t>x</t>
        </is>
      </c>
      <c r="G40" s="7" t="n"/>
      <c r="H40" s="23" t="n"/>
    </row>
    <row r="41">
      <c r="A41" s="6" t="n">
        <v>46227</v>
      </c>
      <c r="B41" s="7" t="inlineStr">
        <is>
          <t>petak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46234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46241</v>
      </c>
      <c r="B43" s="7" t="inlineStr">
        <is>
          <t>petak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46248</v>
      </c>
      <c r="B44" s="7" t="inlineStr">
        <is>
          <t>petak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46252</v>
      </c>
      <c r="B45" s="7" t="inlineStr">
        <is>
          <t>utorak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46255</v>
      </c>
      <c r="B46" s="7" t="inlineStr">
        <is>
          <t>petak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46262</v>
      </c>
      <c r="B47" s="7" t="inlineStr">
        <is>
          <t>petak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46263</v>
      </c>
      <c r="B48" s="7" t="inlineStr">
        <is>
          <t>subota</t>
        </is>
      </c>
      <c r="C48" s="7" t="inlineStr">
        <is>
          <t>kolovoz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46269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46276</v>
      </c>
      <c r="B50" s="7" t="inlineStr">
        <is>
          <t>petak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46283</v>
      </c>
      <c r="B51" s="7" t="inlineStr">
        <is>
          <t>petak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46287</v>
      </c>
      <c r="B52" s="7" t="inlineStr">
        <is>
          <t>utorak</t>
        </is>
      </c>
      <c r="C52" s="7" t="inlineStr">
        <is>
          <t>rujan</t>
        </is>
      </c>
      <c r="D52" s="7" t="n"/>
      <c r="E52" s="7" t="inlineStr">
        <is>
          <t>x</t>
        </is>
      </c>
      <c r="F52" s="7" t="inlineStr">
        <is>
          <t>x</t>
        </is>
      </c>
      <c r="G52" s="7" t="n"/>
      <c r="H52" s="23" t="n"/>
    </row>
    <row r="53">
      <c r="A53" s="6" t="n">
        <v>46290</v>
      </c>
      <c r="B53" s="7" t="inlineStr">
        <is>
          <t>petak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46297</v>
      </c>
      <c r="B54" s="7" t="inlineStr">
        <is>
          <t>petak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46304</v>
      </c>
      <c r="B55" s="7" t="inlineStr">
        <is>
          <t>petak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46311</v>
      </c>
      <c r="B56" s="7" t="inlineStr">
        <is>
          <t>petak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46315</v>
      </c>
      <c r="B57" s="7" t="inlineStr">
        <is>
          <t>utorak</t>
        </is>
      </c>
      <c r="C57" s="7" t="inlineStr">
        <is>
          <t>listopad</t>
        </is>
      </c>
      <c r="D57" s="7" t="n"/>
      <c r="E57" s="7" t="inlineStr">
        <is>
          <t>x</t>
        </is>
      </c>
      <c r="F57" s="7" t="inlineStr">
        <is>
          <t>x</t>
        </is>
      </c>
      <c r="G57" s="7" t="n"/>
      <c r="H57" s="23" t="n"/>
    </row>
    <row r="58">
      <c r="A58" s="6" t="n">
        <v>46318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46325</v>
      </c>
      <c r="B59" s="7" t="inlineStr">
        <is>
          <t>petak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46332</v>
      </c>
      <c r="B60" s="7" t="inlineStr">
        <is>
          <t>petak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46339</v>
      </c>
      <c r="B61" s="7" t="inlineStr">
        <is>
          <t>petak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46343</v>
      </c>
      <c r="B62" s="7" t="inlineStr">
        <is>
          <t>utorak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inlineStr">
        <is>
          <t>x</t>
        </is>
      </c>
      <c r="G62" s="7" t="n"/>
      <c r="H62" s="23" t="n"/>
    </row>
    <row r="63">
      <c r="A63" s="6" t="n">
        <v>46346</v>
      </c>
      <c r="B63" s="7" t="inlineStr">
        <is>
          <t>petak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46353</v>
      </c>
      <c r="B64" s="7" t="inlineStr">
        <is>
          <t>petak</t>
        </is>
      </c>
      <c r="C64" s="7" t="inlineStr">
        <is>
          <t>studeni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46360</v>
      </c>
      <c r="B65" s="7" t="inlineStr">
        <is>
          <t>petak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46367</v>
      </c>
      <c r="B66" s="7" t="inlineStr">
        <is>
          <t>petak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46371</v>
      </c>
      <c r="B67" s="7" t="inlineStr">
        <is>
          <t>utorak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inlineStr">
        <is>
          <t>x</t>
        </is>
      </c>
      <c r="G67" s="7" t="n"/>
      <c r="H67" s="23" t="n"/>
    </row>
    <row r="68">
      <c r="A68" s="6" t="n">
        <v>46374</v>
      </c>
      <c r="B68" s="7" t="inlineStr">
        <is>
          <t>petak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46381</v>
      </c>
      <c r="B69" s="7" t="inlineStr">
        <is>
          <t>petak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7" t="n"/>
      <c r="H69" s="23" t="n"/>
    </row>
  </sheetData>
  <autoFilter ref="A4:H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G5:G69">
    <cfRule type="expression" priority="4" dxfId="3">
      <formula>G5="x"</formula>
    </cfRule>
  </conditionalFormatting>
  <conditionalFormatting sqref="A5:H6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46031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46038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4" t="n">
        <v>46042</v>
      </c>
      <c r="B5" s="17" t="inlineStr">
        <is>
          <t>utorak</t>
        </is>
      </c>
      <c r="C5" s="9" t="inlineStr">
        <is>
          <t>Plastika i metal</t>
        </is>
      </c>
      <c r="D5" s="17" t="n"/>
    </row>
    <row r="6">
      <c r="A6" s="24" t="n">
        <v>46042</v>
      </c>
      <c r="B6" s="17" t="inlineStr">
        <is>
          <t>utorak</t>
        </is>
      </c>
      <c r="C6" s="10" t="inlineStr">
        <is>
          <t>Papir i karton</t>
        </is>
      </c>
      <c r="D6" s="17" t="n"/>
    </row>
    <row r="7">
      <c r="A7" s="24" t="n">
        <v>46045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46052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46059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4" t="n">
        <v>46066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4" t="n">
        <v>46070</v>
      </c>
      <c r="B11" s="17" t="inlineStr">
        <is>
          <t>utorak</t>
        </is>
      </c>
      <c r="C11" s="9" t="inlineStr">
        <is>
          <t>Plastika i metal</t>
        </is>
      </c>
      <c r="D11" s="17" t="n"/>
    </row>
    <row r="12">
      <c r="A12" s="24" t="n">
        <v>46070</v>
      </c>
      <c r="B12" s="17" t="inlineStr">
        <is>
          <t>utorak</t>
        </is>
      </c>
      <c r="C12" s="10" t="inlineStr">
        <is>
          <t>Papir i karton</t>
        </is>
      </c>
      <c r="D12" s="17" t="n"/>
    </row>
    <row r="13">
      <c r="A13" s="24" t="n">
        <v>46073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4" t="n">
        <v>46080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46087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46094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4" t="n">
        <v>46098</v>
      </c>
      <c r="B17" s="17" t="inlineStr">
        <is>
          <t>utorak</t>
        </is>
      </c>
      <c r="C17" s="9" t="inlineStr">
        <is>
          <t>Plastika i metal</t>
        </is>
      </c>
      <c r="D17" s="17" t="n"/>
    </row>
    <row r="18">
      <c r="A18" s="24" t="n">
        <v>46098</v>
      </c>
      <c r="B18" s="17" t="inlineStr">
        <is>
          <t>utorak</t>
        </is>
      </c>
      <c r="C18" s="10" t="inlineStr">
        <is>
          <t>Papir i karton</t>
        </is>
      </c>
      <c r="D18" s="17" t="n"/>
    </row>
    <row r="19">
      <c r="A19" s="24" t="n">
        <v>46101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4" t="n">
        <v>46108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46115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4" t="n">
        <v>46122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46129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46133</v>
      </c>
      <c r="B24" s="17" t="inlineStr">
        <is>
          <t>utorak</t>
        </is>
      </c>
      <c r="C24" s="9" t="inlineStr">
        <is>
          <t>Plastika i metal</t>
        </is>
      </c>
      <c r="D24" s="17" t="n"/>
    </row>
    <row r="25">
      <c r="A25" s="24" t="n">
        <v>46133</v>
      </c>
      <c r="B25" s="17" t="inlineStr">
        <is>
          <t>utorak</t>
        </is>
      </c>
      <c r="C25" s="10" t="inlineStr">
        <is>
          <t>Papir i karton</t>
        </is>
      </c>
      <c r="D25" s="17" t="n"/>
    </row>
    <row r="26">
      <c r="A26" s="24" t="n">
        <v>46136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46143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46150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4" t="n">
        <v>46157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46161</v>
      </c>
      <c r="B30" s="17" t="inlineStr">
        <is>
          <t>utorak</t>
        </is>
      </c>
      <c r="C30" s="9" t="inlineStr">
        <is>
          <t>Plastika i metal</t>
        </is>
      </c>
      <c r="D30" s="17" t="n"/>
    </row>
    <row r="31">
      <c r="A31" s="24" t="n">
        <v>46161</v>
      </c>
      <c r="B31" s="17" t="inlineStr">
        <is>
          <t>utorak</t>
        </is>
      </c>
      <c r="C31" s="10" t="inlineStr">
        <is>
          <t>Papir i karton</t>
        </is>
      </c>
      <c r="D31" s="17" t="n"/>
    </row>
    <row r="32">
      <c r="A32" s="24" t="n">
        <v>46164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46171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4" t="n">
        <v>46178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46185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46189</v>
      </c>
      <c r="B36" s="17" t="inlineStr">
        <is>
          <t>utorak</t>
        </is>
      </c>
      <c r="C36" s="9" t="inlineStr">
        <is>
          <t>Plastika i metal</t>
        </is>
      </c>
      <c r="D36" s="17" t="n"/>
    </row>
    <row r="37">
      <c r="A37" s="24" t="n">
        <v>46189</v>
      </c>
      <c r="B37" s="17" t="inlineStr">
        <is>
          <t>utorak</t>
        </is>
      </c>
      <c r="C37" s="10" t="inlineStr">
        <is>
          <t>Papir i karton</t>
        </is>
      </c>
      <c r="D37" s="17" t="n"/>
    </row>
    <row r="38">
      <c r="A38" s="24" t="n">
        <v>46192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46199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46206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4" t="n">
        <v>46213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46220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46224</v>
      </c>
      <c r="B43" s="17" t="inlineStr">
        <is>
          <t>utorak</t>
        </is>
      </c>
      <c r="C43" s="9" t="inlineStr">
        <is>
          <t>Plastika i metal</t>
        </is>
      </c>
      <c r="D43" s="17" t="n"/>
    </row>
    <row r="44">
      <c r="A44" s="24" t="n">
        <v>46224</v>
      </c>
      <c r="B44" s="17" t="inlineStr">
        <is>
          <t>utorak</t>
        </is>
      </c>
      <c r="C44" s="10" t="inlineStr">
        <is>
          <t>Papir i karton</t>
        </is>
      </c>
      <c r="D44" s="17" t="n"/>
    </row>
    <row r="45">
      <c r="A45" s="24" t="n">
        <v>46227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4" t="n">
        <v>46234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4" t="n">
        <v>46241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46248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46252</v>
      </c>
      <c r="B49" s="17" t="inlineStr">
        <is>
          <t>utorak</t>
        </is>
      </c>
      <c r="C49" s="9" t="inlineStr">
        <is>
          <t>Plastika i metal</t>
        </is>
      </c>
      <c r="D49" s="17" t="n"/>
    </row>
    <row r="50">
      <c r="A50" s="24" t="n">
        <v>46252</v>
      </c>
      <c r="B50" s="17" t="inlineStr">
        <is>
          <t>utorak</t>
        </is>
      </c>
      <c r="C50" s="10" t="inlineStr">
        <is>
          <t>Papir i karton</t>
        </is>
      </c>
      <c r="D50" s="17" t="n"/>
    </row>
    <row r="51">
      <c r="A51" s="24" t="n">
        <v>46255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46262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46263</v>
      </c>
      <c r="B53" s="17" t="inlineStr">
        <is>
          <t>subota</t>
        </is>
      </c>
      <c r="C53" s="11" t="inlineStr">
        <is>
          <t>Glomazni otpad</t>
        </is>
      </c>
      <c r="D53" s="17" t="n"/>
    </row>
    <row r="54">
      <c r="A54" s="24" t="n">
        <v>46269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4" t="n">
        <v>46276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4" t="n">
        <v>46283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46287</v>
      </c>
      <c r="B57" s="17" t="inlineStr">
        <is>
          <t>utorak</t>
        </is>
      </c>
      <c r="C57" s="9" t="inlineStr">
        <is>
          <t>Plastika i metal</t>
        </is>
      </c>
      <c r="D57" s="17" t="n"/>
    </row>
    <row r="58">
      <c r="A58" s="24" t="n">
        <v>46287</v>
      </c>
      <c r="B58" s="17" t="inlineStr">
        <is>
          <t>utorak</t>
        </is>
      </c>
      <c r="C58" s="10" t="inlineStr">
        <is>
          <t>Papir i karton</t>
        </is>
      </c>
      <c r="D58" s="17" t="n"/>
    </row>
    <row r="59">
      <c r="A59" s="24" t="n">
        <v>46290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46297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4" t="n">
        <v>46304</v>
      </c>
      <c r="B61" s="17" t="inlineStr">
        <is>
          <t>petak</t>
        </is>
      </c>
      <c r="C61" s="5" t="inlineStr">
        <is>
          <t>Miješani komunalni otpad</t>
        </is>
      </c>
      <c r="D61" s="17" t="n"/>
    </row>
    <row r="62">
      <c r="A62" s="24" t="n">
        <v>46311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46315</v>
      </c>
      <c r="B63" s="17" t="inlineStr">
        <is>
          <t>utorak</t>
        </is>
      </c>
      <c r="C63" s="9" t="inlineStr">
        <is>
          <t>Plastika i metal</t>
        </is>
      </c>
      <c r="D63" s="17" t="n"/>
    </row>
    <row r="64">
      <c r="A64" s="24" t="n">
        <v>46315</v>
      </c>
      <c r="B64" s="17" t="inlineStr">
        <is>
          <t>utorak</t>
        </is>
      </c>
      <c r="C64" s="10" t="inlineStr">
        <is>
          <t>Papir i karton</t>
        </is>
      </c>
      <c r="D64" s="17" t="n"/>
    </row>
    <row r="65">
      <c r="A65" s="24" t="n">
        <v>46318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46325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46332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46339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46343</v>
      </c>
      <c r="B69" s="17" t="inlineStr">
        <is>
          <t>utorak</t>
        </is>
      </c>
      <c r="C69" s="9" t="inlineStr">
        <is>
          <t>Plastika i metal</t>
        </is>
      </c>
      <c r="D69" s="17" t="n"/>
    </row>
    <row r="70">
      <c r="A70" s="24" t="n">
        <v>46343</v>
      </c>
      <c r="B70" s="17" t="inlineStr">
        <is>
          <t>utorak</t>
        </is>
      </c>
      <c r="C70" s="10" t="inlineStr">
        <is>
          <t>Papir i karton</t>
        </is>
      </c>
      <c r="D70" s="17" t="n"/>
    </row>
    <row r="71">
      <c r="A71" s="24" t="n">
        <v>46346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46353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46360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4" t="n">
        <v>46367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46371</v>
      </c>
      <c r="B75" s="17" t="inlineStr">
        <is>
          <t>utorak</t>
        </is>
      </c>
      <c r="C75" s="9" t="inlineStr">
        <is>
          <t>Plastika i metal</t>
        </is>
      </c>
      <c r="D75" s="17" t="n"/>
    </row>
    <row r="76">
      <c r="A76" s="24" t="n">
        <v>46371</v>
      </c>
      <c r="B76" s="17" t="inlineStr">
        <is>
          <t>utorak</t>
        </is>
      </c>
      <c r="C76" s="10" t="inlineStr">
        <is>
          <t>Papir i karton</t>
        </is>
      </c>
      <c r="D76" s="17" t="n"/>
    </row>
    <row r="77">
      <c r="A77" s="24" t="n">
        <v>46374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46381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31 (Severin): ulice i naselja</t>
        </is>
      </c>
    </row>
    <row r="4">
      <c r="A4" s="4" t="inlineStr">
        <is>
          <t>Ulica / naselje</t>
        </is>
      </c>
    </row>
    <row r="5">
      <c r="A5" s="17" t="inlineStr">
        <is>
          <t>Orovac</t>
        </is>
      </c>
    </row>
    <row r="6">
      <c r="A6" s="17" t="inlineStr">
        <is>
          <t>Severin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2026-10-08T05:26:19Z</dcterms:created>
  <dcterms:modified xmlns:dcterms="http://purl.org/dc/terms/" xmlns:xsi="http://www.w3.org/2001/XMLSchema-instance" xsi:type="dcterms:W3CDTF">2026-10-08T05:26:19Z</dcterms:modified>
</cp:coreProperties>
</file>
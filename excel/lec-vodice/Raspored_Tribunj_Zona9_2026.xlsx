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Reciklabilni otpad (papir, plastika, metal)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COUNTIFS(Raspored!$C$5:$C$78,$A11,Raspored!$D$5:$D$78,"x")</f>
        <v/>
      </c>
      <c r="C11" s="7">
        <f>COUNTIFS(Raspored!$C$5:$C$78,$A11,Raspored!$E$5:$E$78,"x")</f>
        <v/>
      </c>
    </row>
    <row r="12">
      <c r="A12" s="13" t="inlineStr">
        <is>
          <t>veljača</t>
        </is>
      </c>
      <c r="B12" s="7">
        <f>COUNTIFS(Raspored!$C$5:$C$78,$A12,Raspored!$D$5:$D$78,"x")</f>
        <v/>
      </c>
      <c r="C12" s="7">
        <f>COUNTIFS(Raspored!$C$5:$C$78,$A12,Raspored!$E$5:$E$78,"x")</f>
        <v/>
      </c>
    </row>
    <row r="13">
      <c r="A13" s="13" t="inlineStr">
        <is>
          <t>ožujak</t>
        </is>
      </c>
      <c r="B13" s="7">
        <f>COUNTIFS(Raspored!$C$5:$C$78,$A13,Raspored!$D$5:$D$78,"x")</f>
        <v/>
      </c>
      <c r="C13" s="7">
        <f>COUNTIFS(Raspored!$C$5:$C$78,$A13,Raspored!$E$5:$E$78,"x")</f>
        <v/>
      </c>
    </row>
    <row r="14">
      <c r="A14" s="13" t="inlineStr">
        <is>
          <t>travanj</t>
        </is>
      </c>
      <c r="B14" s="7">
        <f>COUNTIFS(Raspored!$C$5:$C$78,$A14,Raspored!$D$5:$D$78,"x")</f>
        <v/>
      </c>
      <c r="C14" s="7">
        <f>COUNTIFS(Raspored!$C$5:$C$78,$A14,Raspored!$E$5:$E$78,"x")</f>
        <v/>
      </c>
    </row>
    <row r="15">
      <c r="A15" s="13" t="inlineStr">
        <is>
          <t>svibanj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</row>
    <row r="16">
      <c r="A16" s="13" t="inlineStr">
        <is>
          <t>lipanj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</row>
    <row r="17">
      <c r="A17" s="13" t="inlineStr">
        <is>
          <t>srpanj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</row>
    <row r="18">
      <c r="A18" s="13" t="inlineStr">
        <is>
          <t>kolovoz</t>
        </is>
      </c>
      <c r="B18" s="7">
        <f>COUNTIFS(Raspored!$C$5:$C$78,$A18,Raspored!$D$5:$D$78,"x")</f>
        <v/>
      </c>
      <c r="C18" s="7">
        <f>COUNTIFS(Raspored!$C$5:$C$78,$A18,Raspored!$E$5:$E$78,"x")</f>
        <v/>
      </c>
    </row>
    <row r="19">
      <c r="A19" s="13" t="inlineStr">
        <is>
          <t>rujan</t>
        </is>
      </c>
      <c r="B19" s="7">
        <f>COUNTIFS(Raspored!$C$5:$C$78,$A19,Raspored!$D$5:$D$78,"x")</f>
        <v/>
      </c>
      <c r="C19" s="7">
        <f>COUNTIFS(Raspored!$C$5:$C$78,$A19,Raspored!$E$5:$E$78,"x")</f>
        <v/>
      </c>
    </row>
    <row r="20">
      <c r="A20" s="13" t="inlineStr">
        <is>
          <t>listopad</t>
        </is>
      </c>
      <c r="B20" s="7">
        <f>COUNTIFS(Raspored!$C$5:$C$78,$A20,Raspored!$D$5:$D$78,"x")</f>
        <v/>
      </c>
      <c r="C20" s="7">
        <f>COUNTIFS(Raspored!$C$5:$C$78,$A20,Raspored!$E$5:$E$78,"x")</f>
        <v/>
      </c>
    </row>
    <row r="21">
      <c r="A21" s="13" t="inlineStr">
        <is>
          <t>studeni</t>
        </is>
      </c>
      <c r="B21" s="7">
        <f>COUNTIFS(Raspored!$C$5:$C$78,$A21,Raspored!$D$5:$D$78,"x")</f>
        <v/>
      </c>
      <c r="C21" s="7">
        <f>COUNTIFS(Raspored!$C$5:$C$78,$A21,Raspored!$E$5:$E$78,"x")</f>
        <v/>
      </c>
    </row>
    <row r="22">
      <c r="A22" s="13" t="inlineStr">
        <is>
          <t>prosinac</t>
        </is>
      </c>
      <c r="B22" s="7">
        <f>COUNTIFS(Raspored!$C$5:$C$78,$A22,Raspored!$D$5:$D$78,"x")</f>
        <v/>
      </c>
      <c r="C22" s="7">
        <f>COUNTIFS(Raspored!$C$5:$C$78,$A22,Raspored!$E$5:$E$78,"x")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utorkom; svibanj–rujan: utorkom i petkom. Reciklabilni otpad – siječanj–svibanj i listopad–prosinac: drugi utorak u mjesecu; lipanj–rujan: drugi i četvrti utorak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 (Tribunj)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1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19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1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19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46301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19" t="n"/>
    </row>
    <row r="67">
      <c r="A67" s="6" t="n">
        <v>46308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46315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19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19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46385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</sheetData>
  <autoFilter ref="A4:F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A5:F7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46035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46035</v>
      </c>
      <c r="B4" s="13" t="inlineStr">
        <is>
          <t>utorak</t>
        </is>
      </c>
      <c r="C4" s="9" t="inlineStr">
        <is>
          <t>Reciklabilni otpad (papir, plastika, metal)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46049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46056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46063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46063</v>
      </c>
      <c r="B9" s="13" t="inlineStr">
        <is>
          <t>utorak</t>
        </is>
      </c>
      <c r="C9" s="9" t="inlineStr">
        <is>
          <t>Reciklabilni otpad (papir, plastika, metal)</t>
        </is>
      </c>
      <c r="D9" s="13" t="n"/>
    </row>
    <row r="10">
      <c r="A10" s="20" t="n">
        <v>46070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46077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46084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46091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46091</v>
      </c>
      <c r="B14" s="13" t="inlineStr">
        <is>
          <t>utorak</t>
        </is>
      </c>
      <c r="C14" s="9" t="inlineStr">
        <is>
          <t>Reciklabilni otpad (papir, plastika, metal)</t>
        </is>
      </c>
      <c r="D14" s="13" t="n"/>
    </row>
    <row r="15">
      <c r="A15" s="20" t="n">
        <v>46098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46105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46112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46119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46126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46126</v>
      </c>
      <c r="B20" s="13" t="inlineStr">
        <is>
          <t>utorak</t>
        </is>
      </c>
      <c r="C20" s="9" t="inlineStr">
        <is>
          <t>Reciklabilni otpad (papir, plastika, metal)</t>
        </is>
      </c>
      <c r="D20" s="13" t="n"/>
    </row>
    <row r="21">
      <c r="A21" s="20" t="n">
        <v>46133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46140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46143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46147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46150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46154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46154</v>
      </c>
      <c r="B27" s="13" t="inlineStr">
        <is>
          <t>utorak</t>
        </is>
      </c>
      <c r="C27" s="9" t="inlineStr">
        <is>
          <t>Reciklabilni otpad (papir, plastika, metal)</t>
        </is>
      </c>
      <c r="D27" s="13" t="n"/>
    </row>
    <row r="28">
      <c r="A28" s="20" t="n">
        <v>46157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46161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46164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46168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46171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46175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46178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46182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46182</v>
      </c>
      <c r="B36" s="13" t="inlineStr">
        <is>
          <t>utorak</t>
        </is>
      </c>
      <c r="C36" s="9" t="inlineStr">
        <is>
          <t>Reciklabilni otpad (papir, plastika, metal)</t>
        </is>
      </c>
      <c r="D36" s="13" t="n"/>
    </row>
    <row r="37">
      <c r="A37" s="20" t="n">
        <v>46185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46189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46192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46196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46196</v>
      </c>
      <c r="B41" s="13" t="inlineStr">
        <is>
          <t>utorak</t>
        </is>
      </c>
      <c r="C41" s="9" t="inlineStr">
        <is>
          <t>Reciklabilni otpad (papir, plastika, metal)</t>
        </is>
      </c>
      <c r="D41" s="13" t="n"/>
    </row>
    <row r="42">
      <c r="A42" s="20" t="n">
        <v>46199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46203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46206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46210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46213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46217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46217</v>
      </c>
      <c r="B48" s="13" t="inlineStr">
        <is>
          <t>utorak</t>
        </is>
      </c>
      <c r="C48" s="9" t="inlineStr">
        <is>
          <t>Reciklabilni otpad (papir, plastika, metal)</t>
        </is>
      </c>
      <c r="D48" s="13" t="n"/>
    </row>
    <row r="49">
      <c r="A49" s="20" t="n">
        <v>46220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46224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46227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46231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46231</v>
      </c>
      <c r="B53" s="13" t="inlineStr">
        <is>
          <t>utorak</t>
        </is>
      </c>
      <c r="C53" s="9" t="inlineStr">
        <is>
          <t>Reciklabilni otpad (papir, plastika, metal)</t>
        </is>
      </c>
      <c r="D53" s="13" t="n"/>
    </row>
    <row r="54">
      <c r="A54" s="20" t="n">
        <v>46234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46238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46241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46245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46245</v>
      </c>
      <c r="B58" s="13" t="inlineStr">
        <is>
          <t>utorak</t>
        </is>
      </c>
      <c r="C58" s="9" t="inlineStr">
        <is>
          <t>Reciklabilni otpad (papir, plastika, metal)</t>
        </is>
      </c>
      <c r="D58" s="13" t="n"/>
    </row>
    <row r="59">
      <c r="A59" s="20" t="n">
        <v>46248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46252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46255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46259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46259</v>
      </c>
      <c r="B63" s="13" t="inlineStr">
        <is>
          <t>utorak</t>
        </is>
      </c>
      <c r="C63" s="9" t="inlineStr">
        <is>
          <t>Reciklabilni otpad (papir, plastika, metal)</t>
        </is>
      </c>
      <c r="D63" s="13" t="n"/>
    </row>
    <row r="64">
      <c r="A64" s="20" t="n">
        <v>46262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46266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46269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46273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46273</v>
      </c>
      <c r="B68" s="13" t="inlineStr">
        <is>
          <t>utorak</t>
        </is>
      </c>
      <c r="C68" s="9" t="inlineStr">
        <is>
          <t>Reciklabilni otpad (papir, plastika, metal)</t>
        </is>
      </c>
      <c r="D68" s="13" t="n"/>
    </row>
    <row r="69">
      <c r="A69" s="20" t="n">
        <v>46276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46280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46283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46287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46287</v>
      </c>
      <c r="B73" s="13" t="inlineStr">
        <is>
          <t>utorak</t>
        </is>
      </c>
      <c r="C73" s="9" t="inlineStr">
        <is>
          <t>Reciklabilni otpad (papir, plastika, metal)</t>
        </is>
      </c>
      <c r="D73" s="13" t="n"/>
    </row>
    <row r="74">
      <c r="A74" s="20" t="n">
        <v>46290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46294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46301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46308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46308</v>
      </c>
      <c r="B78" s="13" t="inlineStr">
        <is>
          <t>utorak</t>
        </is>
      </c>
      <c r="C78" s="9" t="inlineStr">
        <is>
          <t>Reciklabilni otpad (papir, plastika, metal)</t>
        </is>
      </c>
      <c r="D78" s="13" t="n"/>
    </row>
    <row r="79">
      <c r="A79" s="20" t="n">
        <v>46315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46322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46329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46336</v>
      </c>
      <c r="B82" s="13" t="inlineStr">
        <is>
          <t>utorak</t>
        </is>
      </c>
      <c r="C82" s="5" t="inlineStr">
        <is>
          <t>Miješani komunalni otpad</t>
        </is>
      </c>
      <c r="D82" s="13" t="n"/>
    </row>
    <row r="83">
      <c r="A83" s="20" t="n">
        <v>46336</v>
      </c>
      <c r="B83" s="13" t="inlineStr">
        <is>
          <t>utorak</t>
        </is>
      </c>
      <c r="C83" s="9" t="inlineStr">
        <is>
          <t>Reciklabilni otpad (papir, plastika, metal)</t>
        </is>
      </c>
      <c r="D83" s="13" t="n"/>
    </row>
    <row r="84">
      <c r="A84" s="20" t="n">
        <v>46343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46350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46357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46364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46364</v>
      </c>
      <c r="B88" s="13" t="inlineStr">
        <is>
          <t>utorak</t>
        </is>
      </c>
      <c r="C88" s="9" t="inlineStr">
        <is>
          <t>Reciklabilni otpad (papir, plastika, metal)</t>
        </is>
      </c>
      <c r="D88" s="13" t="n"/>
    </row>
    <row r="89">
      <c r="A89" s="20" t="n">
        <v>46371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46378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46385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(Tribunj): ulice i naselja</t>
        </is>
      </c>
    </row>
    <row r="4">
      <c r="A4" s="4" t="inlineStr">
        <is>
          <t>Ulica / naselje</t>
        </is>
      </c>
    </row>
    <row r="5">
      <c r="A5" s="13" t="inlineStr">
        <is>
          <t>Dubravice</t>
        </is>
      </c>
    </row>
    <row r="6">
      <c r="A6" s="13" t="inlineStr">
        <is>
          <t>Garofula</t>
        </is>
      </c>
    </row>
    <row r="7">
      <c r="A7" s="13" t="inlineStr">
        <is>
          <t>Glavičine</t>
        </is>
      </c>
    </row>
    <row r="8">
      <c r="A8" s="13" t="inlineStr">
        <is>
          <t>Jurjeva</t>
        </is>
      </c>
    </row>
    <row r="9">
      <c r="A9" s="13" t="inlineStr">
        <is>
          <t>Kadulje</t>
        </is>
      </c>
    </row>
    <row r="10">
      <c r="A10" s="13" t="inlineStr">
        <is>
          <t>Kamenska</t>
        </is>
      </c>
    </row>
    <row r="11">
      <c r="A11" s="13" t="inlineStr">
        <is>
          <t>Križine (dio Uličina do raskrižja za Sovlju)</t>
        </is>
      </c>
    </row>
    <row r="12">
      <c r="A12" s="13" t="inlineStr">
        <is>
          <t>Križine – Odvojak VIII</t>
        </is>
      </c>
    </row>
    <row r="13">
      <c r="A13" s="13" t="inlineStr">
        <is>
          <t>Lavande</t>
        </is>
      </c>
    </row>
    <row r="14">
      <c r="A14" s="13" t="inlineStr">
        <is>
          <t>Lokvica</t>
        </is>
      </c>
    </row>
    <row r="15">
      <c r="A15" s="13" t="inlineStr">
        <is>
          <t>Mornarska</t>
        </is>
      </c>
    </row>
    <row r="16">
      <c r="A16" s="13" t="inlineStr">
        <is>
          <t>Mrte</t>
        </is>
      </c>
    </row>
    <row r="17">
      <c r="A17" s="13" t="inlineStr">
        <is>
          <t>Murtele</t>
        </is>
      </c>
    </row>
    <row r="18">
      <c r="A18" s="13" t="inlineStr">
        <is>
          <t>Put Male Gospe</t>
        </is>
      </c>
    </row>
    <row r="19">
      <c r="A19" s="13" t="inlineStr">
        <is>
          <t>Put slobode</t>
        </is>
      </c>
    </row>
    <row r="20">
      <c r="A20" s="13" t="inlineStr">
        <is>
          <t>Put Sovlja</t>
        </is>
      </c>
    </row>
    <row r="21">
      <c r="A21" s="13" t="inlineStr">
        <is>
          <t>Ribarska</t>
        </is>
      </c>
    </row>
    <row r="22">
      <c r="A22" s="13" t="inlineStr">
        <is>
          <t>Ružmarina</t>
        </is>
      </c>
    </row>
    <row r="23">
      <c r="A23" s="13" t="inlineStr">
        <is>
          <t>Šepurinska</t>
        </is>
      </c>
    </row>
    <row r="24">
      <c r="A24" s="13" t="inlineStr">
        <is>
          <t>Trg Pijaca</t>
        </is>
      </c>
    </row>
    <row r="25">
      <c r="A25" s="13" t="inlineStr">
        <is>
          <t>Uličine</t>
        </is>
      </c>
    </row>
    <row r="26">
      <c r="A26" s="13" t="inlineStr">
        <is>
          <t>Vrtli</t>
        </is>
      </c>
    </row>
    <row r="27">
      <c r="A27" s="13" t="inlineStr">
        <is>
          <t>Zamalin</t>
        </is>
      </c>
    </row>
    <row r="28">
      <c r="A28" s="13" t="inlineStr">
        <is>
          <t>Živode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
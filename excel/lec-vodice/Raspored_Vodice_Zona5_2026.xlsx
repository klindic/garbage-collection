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Reciklabilni otpad (papir, plastika, metal)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COUNTIFS(Raspored!$C$5:$C$78,$A11,Raspored!$D$5:$D$78,"x")</f>
        <v/>
      </c>
      <c r="C11" s="7">
        <f>COUNTIFS(Raspored!$C$5:$C$78,$A11,Raspored!$E$5:$E$78,"x")</f>
        <v/>
      </c>
    </row>
    <row r="12">
      <c r="A12" s="13" t="inlineStr">
        <is>
          <t>veljača</t>
        </is>
      </c>
      <c r="B12" s="7">
        <f>COUNTIFS(Raspored!$C$5:$C$78,$A12,Raspored!$D$5:$D$78,"x")</f>
        <v/>
      </c>
      <c r="C12" s="7">
        <f>COUNTIFS(Raspored!$C$5:$C$78,$A12,Raspored!$E$5:$E$78,"x")</f>
        <v/>
      </c>
    </row>
    <row r="13">
      <c r="A13" s="13" t="inlineStr">
        <is>
          <t>ožujak</t>
        </is>
      </c>
      <c r="B13" s="7">
        <f>COUNTIFS(Raspored!$C$5:$C$78,$A13,Raspored!$D$5:$D$78,"x")</f>
        <v/>
      </c>
      <c r="C13" s="7">
        <f>COUNTIFS(Raspored!$C$5:$C$78,$A13,Raspored!$E$5:$E$78,"x")</f>
        <v/>
      </c>
    </row>
    <row r="14">
      <c r="A14" s="13" t="inlineStr">
        <is>
          <t>travanj</t>
        </is>
      </c>
      <c r="B14" s="7">
        <f>COUNTIFS(Raspored!$C$5:$C$78,$A14,Raspored!$D$5:$D$78,"x")</f>
        <v/>
      </c>
      <c r="C14" s="7">
        <f>COUNTIFS(Raspored!$C$5:$C$78,$A14,Raspored!$E$5:$E$78,"x")</f>
        <v/>
      </c>
    </row>
    <row r="15">
      <c r="A15" s="13" t="inlineStr">
        <is>
          <t>svibanj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</row>
    <row r="16">
      <c r="A16" s="13" t="inlineStr">
        <is>
          <t>lipanj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</row>
    <row r="17">
      <c r="A17" s="13" t="inlineStr">
        <is>
          <t>srpanj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</row>
    <row r="18">
      <c r="A18" s="13" t="inlineStr">
        <is>
          <t>kolovoz</t>
        </is>
      </c>
      <c r="B18" s="7">
        <f>COUNTIFS(Raspored!$C$5:$C$78,$A18,Raspored!$D$5:$D$78,"x")</f>
        <v/>
      </c>
      <c r="C18" s="7">
        <f>COUNTIFS(Raspored!$C$5:$C$78,$A18,Raspored!$E$5:$E$78,"x")</f>
        <v/>
      </c>
    </row>
    <row r="19">
      <c r="A19" s="13" t="inlineStr">
        <is>
          <t>rujan</t>
        </is>
      </c>
      <c r="B19" s="7">
        <f>COUNTIFS(Raspored!$C$5:$C$78,$A19,Raspored!$D$5:$D$78,"x")</f>
        <v/>
      </c>
      <c r="C19" s="7">
        <f>COUNTIFS(Raspored!$C$5:$C$78,$A19,Raspored!$E$5:$E$78,"x")</f>
        <v/>
      </c>
    </row>
    <row r="20">
      <c r="A20" s="13" t="inlineStr">
        <is>
          <t>listopad</t>
        </is>
      </c>
      <c r="B20" s="7">
        <f>COUNTIFS(Raspored!$C$5:$C$78,$A20,Raspored!$D$5:$D$78,"x")</f>
        <v/>
      </c>
      <c r="C20" s="7">
        <f>COUNTIFS(Raspored!$C$5:$C$78,$A20,Raspored!$E$5:$E$78,"x")</f>
        <v/>
      </c>
    </row>
    <row r="21">
      <c r="A21" s="13" t="inlineStr">
        <is>
          <t>studeni</t>
        </is>
      </c>
      <c r="B21" s="7">
        <f>COUNTIFS(Raspored!$C$5:$C$78,$A21,Raspored!$D$5:$D$78,"x")</f>
        <v/>
      </c>
      <c r="C21" s="7">
        <f>COUNTIFS(Raspored!$C$5:$C$78,$A21,Raspored!$E$5:$E$78,"x")</f>
        <v/>
      </c>
    </row>
    <row r="22">
      <c r="A22" s="13" t="inlineStr">
        <is>
          <t>prosinac</t>
        </is>
      </c>
      <c r="B22" s="7">
        <f>COUNTIFS(Raspored!$C$5:$C$78,$A22,Raspored!$D$5:$D$78,"x")</f>
        <v/>
      </c>
      <c r="C22" s="7">
        <f>COUNTIFS(Raspored!$C$5:$C$78,$A22,Raspored!$E$5:$E$78,"x")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utorkom; svibanj–rujan: utorkom i petkom. Reciklabilni otpad – siječanj–svibanj i listopad–prosinac: prvi utorak u mjesecu; lipanj–rujan: prvi i treći utorak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5 (Vodice)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19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19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19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19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19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19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19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46294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46301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19" t="n"/>
    </row>
    <row r="67">
      <c r="A67" s="6" t="n">
        <v>46308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19" t="n"/>
    </row>
    <row r="68">
      <c r="A68" s="6" t="n">
        <v>46315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19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19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19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46378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  <row r="78">
      <c r="A78" s="6" t="n">
        <v>46385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19" t="n"/>
    </row>
  </sheetData>
  <autoFilter ref="A4:F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A5:F7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Reciklabilni otpad (papir, plastika, metal)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46042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46049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46056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46056</v>
      </c>
      <c r="B8" s="13" t="inlineStr">
        <is>
          <t>utorak</t>
        </is>
      </c>
      <c r="C8" s="9" t="inlineStr">
        <is>
          <t>Reciklabilni otpad (papir, plastika, metal)</t>
        </is>
      </c>
      <c r="D8" s="13" t="n"/>
    </row>
    <row r="9">
      <c r="A9" s="20" t="n">
        <v>46063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46070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46077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46084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46084</v>
      </c>
      <c r="B13" s="13" t="inlineStr">
        <is>
          <t>utorak</t>
        </is>
      </c>
      <c r="C13" s="9" t="inlineStr">
        <is>
          <t>Reciklabilni otpad (papir, plastika, metal)</t>
        </is>
      </c>
      <c r="D13" s="13" t="n"/>
    </row>
    <row r="14">
      <c r="A14" s="20" t="n">
        <v>46091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46098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46105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46112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46119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46119</v>
      </c>
      <c r="B19" s="13" t="inlineStr">
        <is>
          <t>utorak</t>
        </is>
      </c>
      <c r="C19" s="9" t="inlineStr">
        <is>
          <t>Reciklabilni otpad (papir, plastika, metal)</t>
        </is>
      </c>
      <c r="D19" s="13" t="n"/>
    </row>
    <row r="20">
      <c r="A20" s="20" t="n">
        <v>46126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46133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46140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46143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46147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46147</v>
      </c>
      <c r="B25" s="13" t="inlineStr">
        <is>
          <t>utorak</t>
        </is>
      </c>
      <c r="C25" s="9" t="inlineStr">
        <is>
          <t>Reciklabilni otpad (papir, plastika, metal)</t>
        </is>
      </c>
      <c r="D25" s="13" t="n"/>
    </row>
    <row r="26">
      <c r="A26" s="20" t="n">
        <v>46150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46154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46157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46161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46164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46168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46171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46175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46175</v>
      </c>
      <c r="B34" s="13" t="inlineStr">
        <is>
          <t>utorak</t>
        </is>
      </c>
      <c r="C34" s="9" t="inlineStr">
        <is>
          <t>Reciklabilni otpad (papir, plastika, metal)</t>
        </is>
      </c>
      <c r="D34" s="13" t="n"/>
    </row>
    <row r="35">
      <c r="A35" s="20" t="n">
        <v>46178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46182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46185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46189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46189</v>
      </c>
      <c r="B39" s="13" t="inlineStr">
        <is>
          <t>utorak</t>
        </is>
      </c>
      <c r="C39" s="9" t="inlineStr">
        <is>
          <t>Reciklabilni otpad (papir, plastika, metal)</t>
        </is>
      </c>
      <c r="D39" s="13" t="n"/>
    </row>
    <row r="40">
      <c r="A40" s="20" t="n">
        <v>46192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46196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46199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46203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46206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46210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46210</v>
      </c>
      <c r="B46" s="13" t="inlineStr">
        <is>
          <t>utorak</t>
        </is>
      </c>
      <c r="C46" s="9" t="inlineStr">
        <is>
          <t>Reciklabilni otpad (papir, plastika, metal)</t>
        </is>
      </c>
      <c r="D46" s="13" t="n"/>
    </row>
    <row r="47">
      <c r="A47" s="20" t="n">
        <v>46213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46217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46220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46224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46224</v>
      </c>
      <c r="B51" s="13" t="inlineStr">
        <is>
          <t>utorak</t>
        </is>
      </c>
      <c r="C51" s="9" t="inlineStr">
        <is>
          <t>Reciklabilni otpad (papir, plastika, metal)</t>
        </is>
      </c>
      <c r="D51" s="13" t="n"/>
    </row>
    <row r="52">
      <c r="A52" s="20" t="n">
        <v>46227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46231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46234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46238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46238</v>
      </c>
      <c r="B56" s="13" t="inlineStr">
        <is>
          <t>utorak</t>
        </is>
      </c>
      <c r="C56" s="9" t="inlineStr">
        <is>
          <t>Reciklabilni otpad (papir, plastika, metal)</t>
        </is>
      </c>
      <c r="D56" s="13" t="n"/>
    </row>
    <row r="57">
      <c r="A57" s="20" t="n">
        <v>46241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46245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46248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46252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46252</v>
      </c>
      <c r="B61" s="13" t="inlineStr">
        <is>
          <t>utorak</t>
        </is>
      </c>
      <c r="C61" s="9" t="inlineStr">
        <is>
          <t>Reciklabilni otpad (papir, plastika, metal)</t>
        </is>
      </c>
      <c r="D61" s="13" t="n"/>
    </row>
    <row r="62">
      <c r="A62" s="20" t="n">
        <v>46255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46259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46262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46266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46266</v>
      </c>
      <c r="B66" s="13" t="inlineStr">
        <is>
          <t>utorak</t>
        </is>
      </c>
      <c r="C66" s="9" t="inlineStr">
        <is>
          <t>Reciklabilni otpad (papir, plastika, metal)</t>
        </is>
      </c>
      <c r="D66" s="13" t="n"/>
    </row>
    <row r="67">
      <c r="A67" s="20" t="n">
        <v>46269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46273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46276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0" t="n">
        <v>46280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46280</v>
      </c>
      <c r="B71" s="13" t="inlineStr">
        <is>
          <t>utorak</t>
        </is>
      </c>
      <c r="C71" s="9" t="inlineStr">
        <is>
          <t>Reciklabilni otpad (papir, plastika, metal)</t>
        </is>
      </c>
      <c r="D71" s="13" t="n"/>
    </row>
    <row r="72">
      <c r="A72" s="20" t="n">
        <v>46283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46287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46290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46294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46301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46301</v>
      </c>
      <c r="B77" s="13" t="inlineStr">
        <is>
          <t>utorak</t>
        </is>
      </c>
      <c r="C77" s="9" t="inlineStr">
        <is>
          <t>Reciklabilni otpad (papir, plastika, metal)</t>
        </is>
      </c>
      <c r="D77" s="13" t="n"/>
    </row>
    <row r="78">
      <c r="A78" s="20" t="n">
        <v>46308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46315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46322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46329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46329</v>
      </c>
      <c r="B82" s="13" t="inlineStr">
        <is>
          <t>utorak</t>
        </is>
      </c>
      <c r="C82" s="9" t="inlineStr">
        <is>
          <t>Reciklabilni otpad (papir, plastika, metal)</t>
        </is>
      </c>
      <c r="D82" s="13" t="n"/>
    </row>
    <row r="83">
      <c r="A83" s="20" t="n">
        <v>46336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46343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46350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46357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46357</v>
      </c>
      <c r="B87" s="13" t="inlineStr">
        <is>
          <t>utorak</t>
        </is>
      </c>
      <c r="C87" s="9" t="inlineStr">
        <is>
          <t>Reciklabilni otpad (papir, plastika, metal)</t>
        </is>
      </c>
      <c r="D87" s="13" t="n"/>
    </row>
    <row r="88">
      <c r="A88" s="20" t="n">
        <v>46364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46371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46378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46385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(Vodice): ulice i naselja</t>
        </is>
      </c>
    </row>
    <row r="4">
      <c r="A4" s="4" t="inlineStr">
        <is>
          <t>Ulica / naselje</t>
        </is>
      </c>
    </row>
    <row r="5">
      <c r="A5" s="13" t="inlineStr">
        <is>
          <t>Srima II</t>
        </is>
      </c>
    </row>
    <row r="6">
      <c r="A6" s="13" t="inlineStr">
        <is>
          <t>Srima XXI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